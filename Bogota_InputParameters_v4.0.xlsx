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hidePivotFieldList="1" defaultThemeVersion="166925"/>
  <mc:AlternateContent xmlns:mc="http://schemas.openxmlformats.org/markup-compatibility/2006">
    <mc:Choice Requires="x15">
      <x15ac:absPath xmlns:x15ac="http://schemas.microsoft.com/office/spreadsheetml/2010/11/ac" url="/Users/chenxi/Documents/6.Exeter study/#论文写作/交通-德国项目/ITHIM-global/"/>
    </mc:Choice>
  </mc:AlternateContent>
  <xr:revisionPtr revIDLastSave="0" documentId="13_ncr:1_{A3F0E54A-6F8F-6F46-96C1-392B426B56B7}" xr6:coauthVersionLast="47" xr6:coauthVersionMax="47" xr10:uidLastSave="{00000000-0000-0000-0000-000000000000}"/>
  <bookViews>
    <workbookView xWindow="1200" yWindow="2260" windowWidth="29040" windowHeight="15840" activeTab="1" xr2:uid="{00000000-000D-0000-FFFF-FFFF00000000}"/>
  </bookViews>
  <sheets>
    <sheet name="Readme" sheetId="22" r:id="rId1"/>
    <sheet name="all_city_parameter_inputs" sheetId="9" r:id="rId2"/>
    <sheet name="All_city_list" sheetId="10" r:id="rId3"/>
    <sheet name="all_global_parameter_inputs" sheetId="24" r:id="rId4"/>
    <sheet name="All_global_list" sheetId="2" r:id="rId5"/>
    <sheet name="Default" sheetId="5" r:id="rId6"/>
    <sheet name="Further_input_files" sheetId="25" r:id="rId7"/>
    <sheet name="Grouped_Sources" sheetId="26" r:id="rId8"/>
    <sheet name="Lookup" sheetId="11" r:id="rId9"/>
    <sheet name="Safety in Numbers" sheetId="27" r:id="rId10"/>
  </sheets>
  <definedNames>
    <definedName name="_xlnm._FilterDatabase" localSheetId="2" hidden="1">All_city_list!$A$3:$R$2775</definedName>
    <definedName name="_xlnm._FilterDatabase" localSheetId="1" hidden="1">all_city_parameter_inputs!$A$2:$C$101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9" l="1"/>
  <c r="EC13" i="9"/>
  <c r="F5" i="2" l="1"/>
  <c r="C5" i="2"/>
  <c r="C6" i="2" s="1"/>
  <c r="C7" i="2" s="1"/>
  <c r="B27" i="5"/>
  <c r="G103" i="10" a="1"/>
  <c r="H103" i="10" a="1"/>
  <c r="F103" i="10" a="1"/>
  <c r="E103" i="10" a="1"/>
  <c r="G103" i="10" l="1"/>
  <c r="F103" i="10"/>
  <c r="J103" i="10" s="1"/>
  <c r="E103" i="10"/>
  <c r="H103" i="10"/>
  <c r="D103" i="10" l="1"/>
  <c r="C103" i="10"/>
  <c r="C47" i="24" l="1"/>
  <c r="E23" i="2" l="1"/>
  <c r="E20" i="2"/>
  <c r="C23" i="2"/>
  <c r="C70" i="26"/>
  <c r="C69" i="26"/>
  <c r="C68" i="26"/>
  <c r="C67" i="26"/>
  <c r="B33" i="5" l="1"/>
  <c r="B34" i="5"/>
  <c r="B35" i="5"/>
  <c r="B36" i="5"/>
  <c r="B37" i="5"/>
  <c r="B38" i="5"/>
  <c r="B39" i="5"/>
  <c r="C11" i="2"/>
  <c r="C12" i="2" s="1"/>
  <c r="C13" i="2" s="1"/>
  <c r="D11" i="2"/>
  <c r="E11" i="2"/>
  <c r="G11" i="2"/>
  <c r="D12" i="2"/>
  <c r="F12" i="2" s="1"/>
  <c r="E12" i="2"/>
  <c r="G12" i="2"/>
  <c r="D13" i="2"/>
  <c r="F13" i="2" s="1"/>
  <c r="E13" i="2"/>
  <c r="G13" i="2"/>
  <c r="C14" i="2"/>
  <c r="C15" i="2" s="1"/>
  <c r="C16" i="2" s="1"/>
  <c r="D14" i="2"/>
  <c r="E14" i="2"/>
  <c r="G14" i="2"/>
  <c r="D15" i="2"/>
  <c r="F15" i="2" s="1"/>
  <c r="E15" i="2"/>
  <c r="G15" i="2"/>
  <c r="D16" i="2"/>
  <c r="F16" i="2" s="1"/>
  <c r="E16" i="2"/>
  <c r="G16" i="2"/>
  <c r="C17" i="2"/>
  <c r="C18" i="2" s="1"/>
  <c r="C19" i="2" s="1"/>
  <c r="D17" i="2"/>
  <c r="E17" i="2"/>
  <c r="G17" i="2"/>
  <c r="D18" i="2"/>
  <c r="E18" i="2"/>
  <c r="F18" i="2"/>
  <c r="G18" i="2"/>
  <c r="D19" i="2"/>
  <c r="F19" i="2" s="1"/>
  <c r="E19" i="2"/>
  <c r="G19" i="2"/>
  <c r="C20" i="2"/>
  <c r="C21" i="2" s="1"/>
  <c r="C22" i="2" s="1"/>
  <c r="D20" i="2"/>
  <c r="G20" i="2"/>
  <c r="D21" i="2"/>
  <c r="F21" i="2" s="1"/>
  <c r="E21" i="2"/>
  <c r="G21" i="2"/>
  <c r="D22" i="2"/>
  <c r="E22" i="2"/>
  <c r="F22" i="2"/>
  <c r="G22" i="2"/>
  <c r="C24" i="2"/>
  <c r="C25" i="2" s="1"/>
  <c r="D23" i="2"/>
  <c r="G23" i="2"/>
  <c r="D24" i="2"/>
  <c r="F24" i="2" s="1"/>
  <c r="E24" i="2"/>
  <c r="G24" i="2"/>
  <c r="D25" i="2"/>
  <c r="E25" i="2"/>
  <c r="G25" i="2"/>
  <c r="C26" i="2"/>
  <c r="C27" i="2" s="1"/>
  <c r="C28" i="2" s="1"/>
  <c r="D26" i="2"/>
  <c r="E26" i="2"/>
  <c r="G26" i="2"/>
  <c r="D27" i="2"/>
  <c r="F27" i="2" s="1"/>
  <c r="E27" i="2"/>
  <c r="G27" i="2"/>
  <c r="D28" i="2"/>
  <c r="F28" i="2" s="1"/>
  <c r="E28" i="2"/>
  <c r="G28" i="2"/>
  <c r="C29" i="2"/>
  <c r="C30" i="2" s="1"/>
  <c r="C31" i="2" s="1"/>
  <c r="D29" i="2"/>
  <c r="E29" i="2"/>
  <c r="G29" i="2"/>
  <c r="D30" i="2"/>
  <c r="E30" i="2"/>
  <c r="F30" i="2"/>
  <c r="G30" i="2"/>
  <c r="D31" i="2"/>
  <c r="E31" i="2"/>
  <c r="F31" i="2"/>
  <c r="G31" i="2"/>
  <c r="B40" i="5"/>
  <c r="C72" i="2"/>
  <c r="D72" i="2"/>
  <c r="E72" i="2"/>
  <c r="G72" i="2"/>
  <c r="G71" i="2"/>
  <c r="G63" i="2"/>
  <c r="G64" i="2"/>
  <c r="G65" i="2"/>
  <c r="G66" i="2"/>
  <c r="G67" i="2"/>
  <c r="G6" i="2"/>
  <c r="G7" i="2"/>
  <c r="G8" i="2"/>
  <c r="G9" i="2"/>
  <c r="G10"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5" i="2"/>
  <c r="C71" i="2"/>
  <c r="D71" i="2"/>
  <c r="E71" i="2"/>
  <c r="C56" i="26"/>
  <c r="C54" i="26"/>
  <c r="C65" i="26"/>
  <c r="C63" i="26"/>
  <c r="C61" i="26"/>
  <c r="C59" i="26"/>
  <c r="C58" i="26"/>
  <c r="C57" i="26"/>
  <c r="C55" i="26"/>
  <c r="C53" i="26"/>
  <c r="C51" i="26"/>
  <c r="C52" i="26"/>
  <c r="C50" i="26"/>
  <c r="C49" i="26"/>
  <c r="B109" i="5"/>
  <c r="B108" i="5"/>
  <c r="B111" i="5"/>
  <c r="B112" i="5"/>
  <c r="B106" i="5"/>
  <c r="B99" i="5"/>
  <c r="B100" i="5"/>
  <c r="B101" i="5"/>
  <c r="B102" i="5"/>
  <c r="B103" i="5"/>
  <c r="B104" i="5"/>
  <c r="B105" i="5"/>
  <c r="C59" i="2"/>
  <c r="D59" i="2"/>
  <c r="E59" i="2"/>
  <c r="F102" i="10" a="1"/>
  <c r="E102" i="10" a="1"/>
  <c r="G102" i="10" a="1"/>
  <c r="H102" i="10" a="1"/>
  <c r="G102" i="10" l="1"/>
  <c r="F102" i="10"/>
  <c r="E102" i="10"/>
  <c r="H102" i="10"/>
  <c r="C62" i="26"/>
  <c r="C60" i="26"/>
  <c r="C66" i="26"/>
  <c r="C64" i="26"/>
  <c r="C53" i="2"/>
  <c r="C54" i="2" s="1"/>
  <c r="C55" i="2" s="1"/>
  <c r="D53" i="2"/>
  <c r="E53" i="2"/>
  <c r="D54" i="2"/>
  <c r="F54" i="2" s="1"/>
  <c r="E54" i="2"/>
  <c r="D55" i="2"/>
  <c r="F55" i="2" s="1"/>
  <c r="E55" i="2"/>
  <c r="C56" i="2"/>
  <c r="C57" i="2" s="1"/>
  <c r="C58" i="2" s="1"/>
  <c r="D56" i="2"/>
  <c r="E56" i="2"/>
  <c r="D57" i="2"/>
  <c r="F57" i="2" s="1"/>
  <c r="E57" i="2"/>
  <c r="D58" i="2"/>
  <c r="F58" i="2" s="1"/>
  <c r="E58" i="2"/>
  <c r="D51" i="2"/>
  <c r="F51" i="2" s="1"/>
  <c r="E51" i="2"/>
  <c r="D52" i="2"/>
  <c r="F52" i="2" s="1"/>
  <c r="E52" i="2"/>
  <c r="C38" i="2"/>
  <c r="C39" i="2" s="1"/>
  <c r="C40" i="2" s="1"/>
  <c r="D38" i="2"/>
  <c r="E38" i="2"/>
  <c r="D39" i="2"/>
  <c r="F39" i="2" s="1"/>
  <c r="E39" i="2"/>
  <c r="D40" i="2"/>
  <c r="F40" i="2" s="1"/>
  <c r="E40" i="2"/>
  <c r="C41" i="2"/>
  <c r="C42" i="2" s="1"/>
  <c r="C43" i="2" s="1"/>
  <c r="D41" i="2"/>
  <c r="E41" i="2"/>
  <c r="D42" i="2"/>
  <c r="F42" i="2" s="1"/>
  <c r="E42" i="2"/>
  <c r="D43" i="2"/>
  <c r="F43" i="2" s="1"/>
  <c r="E43" i="2"/>
  <c r="C44" i="2"/>
  <c r="C45" i="2" s="1"/>
  <c r="C46" i="2" s="1"/>
  <c r="D44" i="2"/>
  <c r="D45" i="2"/>
  <c r="F45" i="2" s="1"/>
  <c r="E45" i="2"/>
  <c r="D46" i="2"/>
  <c r="F46" i="2" s="1"/>
  <c r="E46" i="2"/>
  <c r="C47" i="2"/>
  <c r="C48" i="2" s="1"/>
  <c r="C49" i="2" s="1"/>
  <c r="D47" i="2"/>
  <c r="E47" i="2"/>
  <c r="D48" i="2"/>
  <c r="F48" i="2" s="1"/>
  <c r="E48" i="2"/>
  <c r="D49" i="2"/>
  <c r="F49" i="2" s="1"/>
  <c r="E49" i="2"/>
  <c r="C50" i="2"/>
  <c r="C51" i="2" s="1"/>
  <c r="C52" i="2" s="1"/>
  <c r="D50" i="2"/>
  <c r="E50" i="2"/>
  <c r="E44" i="2"/>
  <c r="C48" i="26"/>
  <c r="C47" i="26"/>
  <c r="B57" i="5"/>
  <c r="B58" i="5"/>
  <c r="C44" i="26"/>
  <c r="C46" i="26"/>
  <c r="C45" i="26"/>
  <c r="C43" i="26"/>
  <c r="D102" i="10" l="1"/>
  <c r="J102" i="10"/>
  <c r="C102" i="10"/>
  <c r="C42" i="26" l="1"/>
  <c r="C41" i="26"/>
  <c r="C40" i="26"/>
  <c r="C39" i="26"/>
  <c r="C38" i="26"/>
  <c r="C37" i="26"/>
  <c r="C36" i="26"/>
  <c r="C35" i="26"/>
  <c r="B55" i="5" l="1"/>
  <c r="C62" i="2"/>
  <c r="D62" i="2"/>
  <c r="E62" i="2"/>
  <c r="C34" i="26"/>
  <c r="C33" i="26"/>
  <c r="C32" i="26" l="1"/>
  <c r="C31" i="26"/>
  <c r="C17" i="26" l="1"/>
  <c r="C21" i="26"/>
  <c r="C22" i="26"/>
  <c r="C23" i="26"/>
  <c r="C24" i="26"/>
  <c r="C25" i="26"/>
  <c r="C26" i="26"/>
  <c r="C27" i="26"/>
  <c r="C28" i="26"/>
  <c r="C29" i="26"/>
  <c r="C30" i="26"/>
  <c r="C8" i="26"/>
  <c r="C9" i="26"/>
  <c r="C10" i="26"/>
  <c r="C11" i="26"/>
  <c r="C12" i="26"/>
  <c r="C13" i="26"/>
  <c r="C14" i="26"/>
  <c r="C15" i="26"/>
  <c r="C16" i="26"/>
  <c r="C18" i="26"/>
  <c r="C19" i="26"/>
  <c r="C20" i="26"/>
  <c r="C7" i="26"/>
  <c r="B92" i="5" l="1"/>
  <c r="B93" i="5"/>
  <c r="B114" i="5"/>
  <c r="B113" i="5"/>
  <c r="B96" i="5"/>
  <c r="B97" i="5"/>
  <c r="B98" i="5"/>
  <c r="B94" i="5"/>
  <c r="B45" i="5"/>
  <c r="B47" i="5"/>
  <c r="B48" i="5"/>
  <c r="B49" i="5"/>
  <c r="B50" i="5"/>
  <c r="B51" i="5"/>
  <c r="B52" i="5"/>
  <c r="B53" i="5"/>
  <c r="B54" i="5"/>
  <c r="B56" i="5"/>
  <c r="B59" i="5"/>
  <c r="B60" i="5"/>
  <c r="B44" i="5"/>
  <c r="C65" i="2"/>
  <c r="D65" i="2"/>
  <c r="E65" i="2"/>
  <c r="C66" i="2"/>
  <c r="D66" i="2"/>
  <c r="E66" i="2"/>
  <c r="C67" i="2"/>
  <c r="D67" i="2"/>
  <c r="E67" i="2"/>
  <c r="C68" i="2"/>
  <c r="D68" i="2"/>
  <c r="E68" i="2"/>
  <c r="C69" i="2"/>
  <c r="D69" i="2"/>
  <c r="E69" i="2"/>
  <c r="C70" i="2"/>
  <c r="D70" i="2"/>
  <c r="E70" i="2"/>
  <c r="B31" i="5"/>
  <c r="B32" i="5"/>
  <c r="B42" i="5"/>
  <c r="B43" i="5"/>
  <c r="B30" i="5"/>
  <c r="B29" i="5"/>
  <c r="B17" i="5"/>
  <c r="B7" i="5"/>
  <c r="B6" i="5"/>
  <c r="B5" i="5"/>
  <c r="D6" i="2"/>
  <c r="F6" i="2" s="1"/>
  <c r="D7" i="2"/>
  <c r="F7" i="2" s="1"/>
  <c r="D8" i="2"/>
  <c r="D9" i="2"/>
  <c r="F9" i="2" s="1"/>
  <c r="D10" i="2"/>
  <c r="F10" i="2" s="1"/>
  <c r="D32" i="2"/>
  <c r="D33" i="2"/>
  <c r="F33" i="2" s="1"/>
  <c r="D34" i="2"/>
  <c r="F34" i="2" s="1"/>
  <c r="D35" i="2"/>
  <c r="D36" i="2"/>
  <c r="F36" i="2" s="1"/>
  <c r="D37" i="2"/>
  <c r="F37" i="2" s="1"/>
  <c r="D60" i="2"/>
  <c r="D61" i="2"/>
  <c r="D63" i="2"/>
  <c r="D64" i="2"/>
  <c r="D5" i="2"/>
  <c r="E6" i="2"/>
  <c r="E7" i="2"/>
  <c r="E8" i="2"/>
  <c r="E9" i="2"/>
  <c r="E10" i="2"/>
  <c r="E32" i="2"/>
  <c r="E33" i="2"/>
  <c r="E34" i="2"/>
  <c r="E35" i="2"/>
  <c r="E36" i="2"/>
  <c r="E37" i="2"/>
  <c r="E60" i="2"/>
  <c r="E61" i="2"/>
  <c r="E63" i="2"/>
  <c r="E64" i="2"/>
  <c r="E5" i="2"/>
  <c r="C8" i="2"/>
  <c r="C9" i="2" s="1"/>
  <c r="C10" i="2" s="1"/>
  <c r="C32" i="2"/>
  <c r="C33" i="2" s="1"/>
  <c r="C34" i="2" s="1"/>
  <c r="C35" i="2"/>
  <c r="C36" i="2" s="1"/>
  <c r="C37" i="2" s="1"/>
  <c r="C60" i="2"/>
  <c r="C61" i="2"/>
  <c r="C63" i="2"/>
  <c r="C64" i="2"/>
  <c r="G96" i="10" a="1"/>
  <c r="F93" i="10" a="1"/>
  <c r="E99" i="10" a="1"/>
  <c r="G95" i="10" a="1"/>
  <c r="H96" i="10" a="1"/>
  <c r="G100" i="10" a="1"/>
  <c r="F98" i="10" a="1"/>
  <c r="G97" i="10" a="1"/>
  <c r="H97" i="10" a="1"/>
  <c r="H98" i="10" a="1"/>
  <c r="F99" i="10" a="1"/>
  <c r="E101" i="10" a="1"/>
  <c r="F101" i="10" a="1"/>
  <c r="E96" i="10" a="1"/>
  <c r="E90" i="10" a="1"/>
  <c r="F95" i="10" a="1"/>
  <c r="G99" i="10" a="1"/>
  <c r="E100" i="10" a="1"/>
  <c r="E93" i="10" a="1"/>
  <c r="H93" i="10" a="1"/>
  <c r="F97" i="10" a="1"/>
  <c r="E95" i="10" a="1"/>
  <c r="G101" i="10" a="1"/>
  <c r="H100" i="10" a="1"/>
  <c r="F100" i="10" a="1"/>
  <c r="G94" i="10" a="1"/>
  <c r="F94" i="10" a="1"/>
  <c r="H99" i="10" a="1"/>
  <c r="H101" i="10" a="1"/>
  <c r="H94" i="10" a="1"/>
  <c r="H95" i="10" a="1"/>
  <c r="E94" i="10" a="1"/>
  <c r="F96" i="10" a="1"/>
  <c r="G98" i="10" a="1"/>
  <c r="G93" i="10" a="1"/>
  <c r="E98" i="10" a="1"/>
  <c r="E97" i="10" a="1"/>
  <c r="F23" i="2" l="1"/>
  <c r="K103" i="10"/>
  <c r="I103" i="10"/>
  <c r="H32" i="2"/>
  <c r="H35" i="2"/>
  <c r="H38" i="2"/>
  <c r="H41" i="2"/>
  <c r="H44" i="2"/>
  <c r="H47" i="2"/>
  <c r="H50" i="2"/>
  <c r="H53" i="2"/>
  <c r="H56" i="2"/>
  <c r="H31" i="2"/>
  <c r="H21" i="2"/>
  <c r="H28" i="2"/>
  <c r="H25" i="2"/>
  <c r="H14" i="2"/>
  <c r="H11" i="2"/>
  <c r="H18" i="2"/>
  <c r="H17" i="2"/>
  <c r="H15" i="2"/>
  <c r="H22" i="2"/>
  <c r="H29" i="2"/>
  <c r="H23" i="2"/>
  <c r="H27" i="2"/>
  <c r="F26" i="2"/>
  <c r="H30" i="2"/>
  <c r="H19" i="2"/>
  <c r="H20" i="2"/>
  <c r="H12" i="2"/>
  <c r="H26" i="2"/>
  <c r="H16" i="2"/>
  <c r="H24" i="2"/>
  <c r="H13" i="2"/>
  <c r="F17" i="2"/>
  <c r="F20" i="2"/>
  <c r="F14" i="2"/>
  <c r="F29" i="2"/>
  <c r="F11" i="2"/>
  <c r="F67" i="2"/>
  <c r="F63" i="2"/>
  <c r="F60" i="2"/>
  <c r="F65" i="2"/>
  <c r="F64" i="2"/>
  <c r="F61" i="2"/>
  <c r="F66" i="2"/>
  <c r="F32" i="2"/>
  <c r="H6" i="2"/>
  <c r="H59" i="2"/>
  <c r="H72" i="2"/>
  <c r="H7" i="2"/>
  <c r="H60" i="2"/>
  <c r="H5" i="2"/>
  <c r="H71" i="2"/>
  <c r="H8" i="2"/>
  <c r="H61" i="2"/>
  <c r="H67" i="2"/>
  <c r="H9" i="2"/>
  <c r="H62" i="2"/>
  <c r="H66" i="2"/>
  <c r="H65" i="2"/>
  <c r="H10" i="2"/>
  <c r="H64" i="2"/>
  <c r="F71" i="2"/>
  <c r="F59" i="2"/>
  <c r="F72" i="2"/>
  <c r="F44" i="2"/>
  <c r="F41" i="2"/>
  <c r="F56" i="2"/>
  <c r="F53" i="2"/>
  <c r="F47" i="2"/>
  <c r="F50" i="2"/>
  <c r="F38" i="2"/>
  <c r="I102" i="10"/>
  <c r="K102" i="10"/>
  <c r="F62" i="2"/>
  <c r="F35" i="2"/>
  <c r="F8" i="2"/>
  <c r="E93" i="10"/>
  <c r="G101" i="10"/>
  <c r="H93" i="10"/>
  <c r="G94" i="10"/>
  <c r="F97" i="10"/>
  <c r="G97" i="10"/>
  <c r="G99" i="10"/>
  <c r="F93" i="10"/>
  <c r="E90" i="10"/>
  <c r="H96" i="10"/>
  <c r="F96" i="10"/>
  <c r="J96" i="10" s="1"/>
  <c r="H101" i="10"/>
  <c r="F101" i="10"/>
  <c r="J101" i="10" s="1"/>
  <c r="H97" i="10"/>
  <c r="F95" i="10"/>
  <c r="J95" i="10" s="1"/>
  <c r="E99" i="10"/>
  <c r="F100" i="10"/>
  <c r="H98" i="10"/>
  <c r="E100" i="10"/>
  <c r="H99" i="10"/>
  <c r="H95" i="10"/>
  <c r="H100" i="10"/>
  <c r="F94" i="10"/>
  <c r="H94" i="10"/>
  <c r="G95" i="10"/>
  <c r="E94" i="10"/>
  <c r="F99" i="10"/>
  <c r="J99" i="10" s="1"/>
  <c r="G93" i="10"/>
  <c r="G96" i="10"/>
  <c r="E97" i="10"/>
  <c r="E95" i="10"/>
  <c r="G100" i="10"/>
  <c r="E98" i="10"/>
  <c r="F98" i="10"/>
  <c r="E101" i="10"/>
  <c r="G98" i="10"/>
  <c r="E96" i="10"/>
  <c r="C96" i="10" l="1"/>
  <c r="K96" i="10" s="1"/>
  <c r="C100" i="10"/>
  <c r="K100" i="10" s="1"/>
  <c r="D96" i="10"/>
  <c r="C101" i="10"/>
  <c r="K101" i="10" s="1"/>
  <c r="D101" i="10"/>
  <c r="D95" i="10"/>
  <c r="C93" i="10"/>
  <c r="K93" i="10" s="1"/>
  <c r="C95" i="10"/>
  <c r="K95" i="10" s="1"/>
  <c r="C98" i="10"/>
  <c r="I98" i="10" s="1"/>
  <c r="J97" i="10"/>
  <c r="D97" i="10"/>
  <c r="D99" i="10"/>
  <c r="D98" i="10"/>
  <c r="J98" i="10"/>
  <c r="J93" i="10"/>
  <c r="D93" i="10"/>
  <c r="C97" i="10"/>
  <c r="J94" i="10"/>
  <c r="D94" i="10"/>
  <c r="J100" i="10"/>
  <c r="D100" i="10"/>
  <c r="C99" i="10"/>
  <c r="C94" i="10"/>
  <c r="I96" i="10" l="1"/>
  <c r="I100" i="10"/>
  <c r="I93" i="10"/>
  <c r="I101" i="10"/>
  <c r="K98" i="10"/>
  <c r="I95" i="10"/>
  <c r="K94" i="10"/>
  <c r="I94" i="10"/>
  <c r="K97" i="10"/>
  <c r="I97" i="10"/>
  <c r="I99" i="10"/>
  <c r="K99" i="10"/>
  <c r="H68" i="10" a="1"/>
  <c r="H75" i="10" a="1"/>
  <c r="G88" i="10" a="1"/>
  <c r="H48" i="10" a="1"/>
  <c r="H77" i="10" a="1"/>
  <c r="H74" i="10" a="1"/>
  <c r="E6" i="10" a="1"/>
  <c r="G89" i="10" a="1"/>
  <c r="E66" i="10" a="1"/>
  <c r="E58" i="10" a="1"/>
  <c r="F51" i="10" a="1"/>
  <c r="E80" i="10" a="1"/>
  <c r="E14" i="10" a="1"/>
  <c r="H86" i="10" a="1"/>
  <c r="E85" i="10" a="1"/>
  <c r="G58" i="10" a="1"/>
  <c r="E75" i="10" a="1"/>
  <c r="E48" i="10" a="1"/>
  <c r="H92" i="10" a="1"/>
  <c r="G15" i="10" a="1"/>
  <c r="G46" i="10" a="1"/>
  <c r="E9" i="10" a="1"/>
  <c r="H70" i="10" a="1"/>
  <c r="E12" i="10" a="1"/>
  <c r="E60" i="10" a="1"/>
  <c r="G14" i="10" a="1"/>
  <c r="E15" i="10" a="1"/>
  <c r="H49" i="10" a="1"/>
  <c r="G76" i="10" a="1"/>
  <c r="G50" i="10" a="1"/>
  <c r="G86" i="10" a="1"/>
  <c r="H6" i="10" a="1"/>
  <c r="H14" i="10" a="1"/>
  <c r="F88" i="10" a="1"/>
  <c r="E83" i="10" a="1"/>
  <c r="E51" i="10" a="1"/>
  <c r="G92" i="10" a="1"/>
  <c r="H64" i="10" a="1"/>
  <c r="F55" i="10" a="1"/>
  <c r="H60" i="10" a="1"/>
  <c r="G12" i="10" a="1"/>
  <c r="G56" i="10" a="1"/>
  <c r="E11" i="10" a="1"/>
  <c r="F56" i="10" a="1"/>
  <c r="G80" i="10" a="1"/>
  <c r="H73" i="10" a="1"/>
  <c r="G6" i="10" a="1"/>
  <c r="H83" i="10" a="1"/>
  <c r="H79" i="10" a="1"/>
  <c r="G51" i="10" a="1"/>
  <c r="G61" i="10" a="1"/>
  <c r="H63" i="10" a="1"/>
  <c r="E84" i="10" a="1"/>
  <c r="G53" i="10" a="1"/>
  <c r="G52" i="10" a="1"/>
  <c r="H12" i="10" a="1"/>
  <c r="E55" i="10" a="1"/>
  <c r="E63" i="10" a="1"/>
  <c r="H56" i="10" a="1"/>
  <c r="H82" i="10" a="1"/>
  <c r="G87" i="10" a="1"/>
  <c r="G74" i="10" a="1"/>
  <c r="H62" i="10" a="1"/>
  <c r="H81" i="10" a="1"/>
  <c r="E52" i="10" a="1"/>
  <c r="E79" i="10" a="1"/>
  <c r="E56" i="10" a="1"/>
  <c r="G59" i="10" a="1"/>
  <c r="H78" i="10" a="1"/>
  <c r="E70" i="10" a="1"/>
  <c r="H85" i="10" a="1"/>
  <c r="E8" i="10" a="1"/>
  <c r="H87" i="10" a="1"/>
  <c r="H91" i="10" a="1"/>
  <c r="G66" i="10" a="1"/>
  <c r="G62" i="10" a="1"/>
  <c r="E61" i="10" a="1"/>
  <c r="G67" i="10" a="1"/>
  <c r="H55" i="10" a="1"/>
  <c r="H53" i="10" a="1"/>
  <c r="H84" i="10" a="1"/>
  <c r="H50" i="10" a="1"/>
  <c r="G11" i="10" a="1"/>
  <c r="G60" i="10" a="1"/>
  <c r="E54" i="10" a="1"/>
  <c r="H13" i="10" a="1"/>
  <c r="G68" i="10" a="1"/>
  <c r="H7" i="10" a="1"/>
  <c r="E7" i="10" a="1"/>
  <c r="H88" i="10" a="1"/>
  <c r="G8" i="10" a="1"/>
  <c r="G84" i="10" a="1"/>
  <c r="H71" i="10" a="1"/>
  <c r="E77" i="10" a="1"/>
  <c r="G71" i="10" a="1"/>
  <c r="E88" i="10" a="1"/>
  <c r="G55" i="10" a="1"/>
  <c r="E74" i="10" a="1"/>
  <c r="E78" i="10" a="1"/>
  <c r="E82" i="10" a="1"/>
  <c r="H76" i="10" a="1"/>
  <c r="E92" i="10" a="1"/>
  <c r="H65" i="10" a="1"/>
  <c r="H57" i="10" a="1"/>
  <c r="G65" i="10" a="1"/>
  <c r="G70" i="10" a="1"/>
  <c r="H80" i="10" a="1"/>
  <c r="G57" i="10" a="1"/>
  <c r="E65" i="10" a="1"/>
  <c r="E68" i="10" a="1"/>
  <c r="G73" i="10" a="1"/>
  <c r="H66" i="10" a="1"/>
  <c r="G75" i="10" a="1"/>
  <c r="F92" i="10" a="1"/>
  <c r="H15" i="10" a="1"/>
  <c r="H89" i="10" a="1"/>
  <c r="E47" i="10" a="1"/>
  <c r="G48" i="10" a="1"/>
  <c r="H8" i="10" a="1"/>
  <c r="F63" i="10" a="1"/>
  <c r="E64" i="10" a="1"/>
  <c r="E87" i="10" a="1"/>
  <c r="E67" i="10" a="1"/>
  <c r="G69" i="10" a="1"/>
  <c r="G7" i="10" a="1"/>
  <c r="G91" i="10" a="1"/>
  <c r="E81" i="10" a="1"/>
  <c r="G90" i="10" a="1"/>
  <c r="G79" i="10" a="1"/>
  <c r="E49" i="10" a="1"/>
  <c r="E69" i="10" a="1"/>
  <c r="H69" i="10" a="1"/>
  <c r="E13" i="10" a="1"/>
  <c r="E76" i="10" a="1"/>
  <c r="H52" i="10" a="1"/>
  <c r="E89" i="10" a="1"/>
  <c r="H59" i="10" a="1"/>
  <c r="E50" i="10" a="1"/>
  <c r="G47" i="10" a="1"/>
  <c r="H11" i="10" a="1"/>
  <c r="E57" i="10" a="1"/>
  <c r="G13" i="10" a="1"/>
  <c r="G81" i="10" a="1"/>
  <c r="H72" i="10" a="1"/>
  <c r="E46" i="10" a="1"/>
  <c r="E59" i="10" a="1"/>
  <c r="H9" i="10" a="1"/>
  <c r="G54" i="10" a="1"/>
  <c r="G10" i="10" a="1"/>
  <c r="H51" i="10" a="1"/>
  <c r="E91" i="10" a="1"/>
  <c r="G49" i="10" a="1"/>
  <c r="H10" i="10" a="1"/>
  <c r="G82" i="10" a="1"/>
  <c r="H47" i="10" a="1"/>
  <c r="G72" i="10" a="1"/>
  <c r="H46" i="10" a="1"/>
  <c r="H90" i="10" a="1"/>
  <c r="G83" i="10" a="1"/>
  <c r="H61" i="10" a="1"/>
  <c r="G77" i="10" a="1"/>
  <c r="G64" i="10" a="1"/>
  <c r="E62" i="10" a="1"/>
  <c r="H67" i="10" a="1"/>
  <c r="E71" i="10" a="1"/>
  <c r="G9" i="10" a="1"/>
  <c r="E53" i="10" a="1"/>
  <c r="E86" i="10" a="1"/>
  <c r="E73" i="10" a="1"/>
  <c r="E10" i="10" a="1"/>
  <c r="G63" i="10" a="1"/>
  <c r="G78" i="10" a="1"/>
  <c r="H58" i="10" a="1"/>
  <c r="E72" i="10" a="1"/>
  <c r="H54" i="10" a="1"/>
  <c r="G85" i="10" a="1"/>
  <c r="E58" i="10" l="1"/>
  <c r="E68" i="10"/>
  <c r="G57" i="10"/>
  <c r="G10" i="10"/>
  <c r="G56" i="10"/>
  <c r="E49" i="10"/>
  <c r="H13" i="10"/>
  <c r="G92" i="10"/>
  <c r="H48" i="10"/>
  <c r="G77" i="10"/>
  <c r="I77" i="10" s="1"/>
  <c r="H84" i="10"/>
  <c r="H70" i="10"/>
  <c r="E59" i="10"/>
  <c r="G54" i="10"/>
  <c r="G63" i="10"/>
  <c r="E8" i="10"/>
  <c r="H63" i="10"/>
  <c r="F51" i="10"/>
  <c r="J51" i="10" s="1"/>
  <c r="E76" i="10"/>
  <c r="H81" i="10"/>
  <c r="G85" i="10"/>
  <c r="G89" i="10"/>
  <c r="G9" i="10"/>
  <c r="G88" i="10"/>
  <c r="G84" i="10"/>
  <c r="H61" i="10"/>
  <c r="G51" i="10"/>
  <c r="G7" i="10"/>
  <c r="H83" i="10"/>
  <c r="G86" i="10"/>
  <c r="G68" i="10"/>
  <c r="I68" i="10" s="1"/>
  <c r="E91" i="10"/>
  <c r="E81" i="10"/>
  <c r="G49" i="10"/>
  <c r="H86" i="10"/>
  <c r="E62" i="10"/>
  <c r="G66" i="10"/>
  <c r="E71" i="10"/>
  <c r="G91" i="10"/>
  <c r="H15" i="10"/>
  <c r="H58" i="10"/>
  <c r="E69" i="10"/>
  <c r="G14" i="10"/>
  <c r="E79" i="10"/>
  <c r="H91" i="10"/>
  <c r="E52" i="10"/>
  <c r="E74" i="10"/>
  <c r="G74" i="10"/>
  <c r="I74" i="10" s="1"/>
  <c r="E60" i="10"/>
  <c r="H78" i="10"/>
  <c r="E6" i="10"/>
  <c r="E87" i="10"/>
  <c r="E75" i="10"/>
  <c r="G59" i="10"/>
  <c r="E50" i="10"/>
  <c r="E88" i="10"/>
  <c r="E73" i="10"/>
  <c r="E56" i="10"/>
  <c r="E14" i="10"/>
  <c r="H56" i="10"/>
  <c r="H82" i="10"/>
  <c r="E67" i="10"/>
  <c r="E46" i="10"/>
  <c r="E66" i="10"/>
  <c r="G67" i="10"/>
  <c r="H68" i="10"/>
  <c r="G72" i="10"/>
  <c r="E51" i="10"/>
  <c r="H65" i="10"/>
  <c r="E72" i="10"/>
  <c r="H11" i="10"/>
  <c r="G73" i="10"/>
  <c r="H75" i="10"/>
  <c r="G79" i="10"/>
  <c r="H73" i="10"/>
  <c r="H76" i="10"/>
  <c r="E47" i="10"/>
  <c r="H67" i="10"/>
  <c r="F63" i="10"/>
  <c r="H90" i="10"/>
  <c r="E65" i="10"/>
  <c r="H51" i="10"/>
  <c r="H52" i="10"/>
  <c r="E82" i="10"/>
  <c r="E85" i="10"/>
  <c r="F56" i="10"/>
  <c r="J56" i="10" s="1"/>
  <c r="E84" i="10"/>
  <c r="G87" i="10"/>
  <c r="E92" i="10"/>
  <c r="G83" i="10"/>
  <c r="E53" i="10"/>
  <c r="H50" i="10"/>
  <c r="E86" i="10"/>
  <c r="G12" i="10"/>
  <c r="G15" i="10"/>
  <c r="G48" i="10"/>
  <c r="G47" i="10"/>
  <c r="G81" i="10"/>
  <c r="G53" i="10"/>
  <c r="I53" i="10" s="1"/>
  <c r="H60" i="10"/>
  <c r="E12" i="10"/>
  <c r="H47" i="10"/>
  <c r="G65" i="10"/>
  <c r="I65" i="10" s="1"/>
  <c r="F92" i="10"/>
  <c r="J92" i="10" s="1"/>
  <c r="H12" i="10"/>
  <c r="H66" i="10"/>
  <c r="E7" i="10"/>
  <c r="H79" i="10"/>
  <c r="G58" i="10"/>
  <c r="I58" i="10" s="1"/>
  <c r="G6" i="10"/>
  <c r="H8" i="10"/>
  <c r="H55" i="10"/>
  <c r="F88" i="10"/>
  <c r="G70" i="10"/>
  <c r="E70" i="10"/>
  <c r="H6" i="10"/>
  <c r="E80" i="10"/>
  <c r="G82" i="10"/>
  <c r="E13" i="10"/>
  <c r="H9" i="10"/>
  <c r="G50" i="10"/>
  <c r="E78" i="10"/>
  <c r="H46" i="10"/>
  <c r="H88" i="10"/>
  <c r="E48" i="10"/>
  <c r="H77" i="10"/>
  <c r="H49" i="10"/>
  <c r="E77" i="10"/>
  <c r="G55" i="10"/>
  <c r="H7" i="10"/>
  <c r="G71" i="10"/>
  <c r="I71" i="10" s="1"/>
  <c r="H72" i="10"/>
  <c r="E63" i="10"/>
  <c r="E64" i="10"/>
  <c r="H92" i="10"/>
  <c r="H57" i="10"/>
  <c r="G75" i="10"/>
  <c r="E9" i="10"/>
  <c r="E11" i="10"/>
  <c r="H69" i="10"/>
  <c r="G80" i="10"/>
  <c r="G78" i="10"/>
  <c r="G13" i="10"/>
  <c r="G52" i="10"/>
  <c r="G11" i="10"/>
  <c r="G8" i="10"/>
  <c r="G46" i="10"/>
  <c r="E61" i="10"/>
  <c r="E10" i="10"/>
  <c r="H10" i="10"/>
  <c r="E55" i="10"/>
  <c r="E54" i="10"/>
  <c r="E15" i="10"/>
  <c r="H64" i="10"/>
  <c r="G90" i="10"/>
  <c r="I90" i="10" s="1"/>
  <c r="H74" i="10"/>
  <c r="G69" i="10"/>
  <c r="G61" i="10"/>
  <c r="I61" i="10" s="1"/>
  <c r="H87" i="10"/>
  <c r="H71" i="10"/>
  <c r="E89" i="10"/>
  <c r="F55" i="10"/>
  <c r="J55" i="10" s="1"/>
  <c r="H89" i="10"/>
  <c r="H85" i="10"/>
  <c r="H80" i="10"/>
  <c r="H62" i="10"/>
  <c r="G60" i="10"/>
  <c r="E83" i="10"/>
  <c r="H14" i="10"/>
  <c r="H59" i="10"/>
  <c r="G64" i="10"/>
  <c r="G62" i="10"/>
  <c r="G76" i="10"/>
  <c r="H53" i="10"/>
  <c r="E57" i="10"/>
  <c r="H54" i="10"/>
  <c r="F64" i="10" a="1"/>
  <c r="F89" i="10" a="1"/>
  <c r="F52" i="10" a="1"/>
  <c r="F57" i="10" a="1"/>
  <c r="F60" i="10" a="1"/>
  <c r="C56" i="10" l="1"/>
  <c r="K56" i="10" s="1"/>
  <c r="C63" i="10"/>
  <c r="I63" i="10" s="1"/>
  <c r="C88" i="10"/>
  <c r="I88" i="10" s="1"/>
  <c r="C92" i="10"/>
  <c r="I92" i="10" s="1"/>
  <c r="F60" i="10"/>
  <c r="D60" i="10" s="1"/>
  <c r="F89" i="10"/>
  <c r="D89" i="10" s="1"/>
  <c r="F64" i="10"/>
  <c r="C64" i="10" s="1"/>
  <c r="K64" i="10" s="1"/>
  <c r="F57" i="10"/>
  <c r="C57" i="10" s="1"/>
  <c r="K57" i="10" s="1"/>
  <c r="F52" i="10"/>
  <c r="J52" i="10" s="1"/>
  <c r="D88" i="10"/>
  <c r="C51" i="10"/>
  <c r="C55" i="10"/>
  <c r="K55" i="10" s="1"/>
  <c r="D92" i="10"/>
  <c r="L92" i="10" s="1" a="1"/>
  <c r="L92" i="10" s="1"/>
  <c r="D63" i="10"/>
  <c r="D55" i="10"/>
  <c r="D56" i="10"/>
  <c r="J88" i="10"/>
  <c r="D51" i="10"/>
  <c r="J63" i="10"/>
  <c r="F58" i="10" a="1"/>
  <c r="F61" i="10" a="1"/>
  <c r="F53" i="10" a="1"/>
  <c r="F90" i="10" a="1"/>
  <c r="F65" i="10" a="1"/>
  <c r="I57" i="10" l="1"/>
  <c r="I64" i="10"/>
  <c r="I56" i="10"/>
  <c r="C60" i="10"/>
  <c r="K88" i="10"/>
  <c r="I54" i="10"/>
  <c r="D57" i="10"/>
  <c r="I59" i="10"/>
  <c r="J57" i="10"/>
  <c r="J89" i="10"/>
  <c r="D64" i="10"/>
  <c r="K63" i="10"/>
  <c r="K92" i="10"/>
  <c r="F53" i="10"/>
  <c r="F65" i="10"/>
  <c r="F90" i="10"/>
  <c r="F58" i="10"/>
  <c r="F61" i="10"/>
  <c r="I91" i="10"/>
  <c r="C52" i="10"/>
  <c r="D52" i="10"/>
  <c r="I55" i="10"/>
  <c r="J64" i="10"/>
  <c r="C89" i="10"/>
  <c r="I51" i="10"/>
  <c r="K51" i="10"/>
  <c r="J60" i="10"/>
  <c r="F66" i="10" a="1"/>
  <c r="F54" i="10" a="1"/>
  <c r="F91" i="10" a="1"/>
  <c r="F62" i="10" a="1"/>
  <c r="F59" i="10" a="1"/>
  <c r="F59" i="10" l="1"/>
  <c r="F54" i="10"/>
  <c r="F62" i="10"/>
  <c r="F91" i="10"/>
  <c r="D58" i="10"/>
  <c r="K52" i="10"/>
  <c r="I52" i="10"/>
  <c r="C53" i="10"/>
  <c r="K53" i="10" s="1"/>
  <c r="K60" i="10"/>
  <c r="I60" i="10"/>
  <c r="K89" i="10"/>
  <c r="I89" i="10"/>
  <c r="F66" i="10"/>
  <c r="D65" i="10"/>
  <c r="D53" i="10"/>
  <c r="J65" i="10"/>
  <c r="J53" i="10"/>
  <c r="C65" i="10"/>
  <c r="K65" i="10" s="1"/>
  <c r="D90" i="10"/>
  <c r="J90" i="10"/>
  <c r="C90" i="10"/>
  <c r="K90" i="10" s="1"/>
  <c r="C61" i="10"/>
  <c r="K61" i="10" s="1"/>
  <c r="D61" i="10"/>
  <c r="J61" i="10"/>
  <c r="C58" i="10"/>
  <c r="K58" i="10" s="1"/>
  <c r="J58" i="10"/>
  <c r="F67" i="10" a="1"/>
  <c r="F73" i="10" a="1"/>
  <c r="F70" i="10" a="1"/>
  <c r="F76" i="10" a="1"/>
  <c r="F79" i="10" a="1"/>
  <c r="J91" i="10" l="1"/>
  <c r="D91" i="10"/>
  <c r="L91" i="10" s="1" a="1"/>
  <c r="L91" i="10" s="1"/>
  <c r="C91" i="10"/>
  <c r="K91" i="10" s="1"/>
  <c r="D62" i="10"/>
  <c r="C62" i="10"/>
  <c r="J62" i="10"/>
  <c r="J54" i="10"/>
  <c r="D54" i="10"/>
  <c r="C54" i="10"/>
  <c r="K54" i="10" s="1"/>
  <c r="D59" i="10"/>
  <c r="C59" i="10"/>
  <c r="K59" i="10" s="1"/>
  <c r="J59" i="10"/>
  <c r="F67" i="10"/>
  <c r="F70" i="10"/>
  <c r="F76" i="10"/>
  <c r="F73" i="10"/>
  <c r="F79" i="10"/>
  <c r="C66" i="10"/>
  <c r="J66" i="10"/>
  <c r="D66" i="10"/>
  <c r="F74" i="10" a="1"/>
  <c r="F80" i="10" a="1"/>
  <c r="F71" i="10" a="1"/>
  <c r="F68" i="10" a="1"/>
  <c r="F77" i="10" a="1"/>
  <c r="I62" i="10" l="1"/>
  <c r="K62" i="10"/>
  <c r="F80" i="10"/>
  <c r="F74" i="10"/>
  <c r="F77" i="10"/>
  <c r="F71" i="10"/>
  <c r="F68" i="10"/>
  <c r="J79" i="10"/>
  <c r="C79" i="10"/>
  <c r="D79" i="10"/>
  <c r="C73" i="10"/>
  <c r="J73" i="10"/>
  <c r="D73" i="10"/>
  <c r="C76" i="10"/>
  <c r="D76" i="10"/>
  <c r="J76" i="10"/>
  <c r="D70" i="10"/>
  <c r="J70" i="10"/>
  <c r="C70" i="10"/>
  <c r="J67" i="10"/>
  <c r="D67" i="10"/>
  <c r="C67" i="10"/>
  <c r="I69" i="10"/>
  <c r="I78" i="10"/>
  <c r="I72" i="10"/>
  <c r="I75" i="10"/>
  <c r="K66" i="10"/>
  <c r="I66" i="10"/>
  <c r="F72" i="10" a="1"/>
  <c r="F81" i="10" a="1"/>
  <c r="F75" i="10" a="1"/>
  <c r="F78" i="10" a="1"/>
  <c r="F69" i="10" a="1"/>
  <c r="F69" i="10" l="1"/>
  <c r="F75" i="10"/>
  <c r="F72" i="10"/>
  <c r="F78" i="10"/>
  <c r="K73" i="10"/>
  <c r="I73" i="10"/>
  <c r="K70" i="10"/>
  <c r="I70" i="10"/>
  <c r="K67" i="10"/>
  <c r="I67" i="10"/>
  <c r="K76" i="10"/>
  <c r="I76" i="10"/>
  <c r="F81" i="10"/>
  <c r="K79" i="10"/>
  <c r="I79" i="10"/>
  <c r="C68" i="10"/>
  <c r="K68" i="10" s="1"/>
  <c r="D68" i="10"/>
  <c r="J68" i="10"/>
  <c r="C71" i="10"/>
  <c r="K71" i="10" s="1"/>
  <c r="J71" i="10"/>
  <c r="D71" i="10"/>
  <c r="D77" i="10"/>
  <c r="C77" i="10"/>
  <c r="K77" i="10" s="1"/>
  <c r="J77" i="10"/>
  <c r="C74" i="10"/>
  <c r="K74" i="10" s="1"/>
  <c r="J74" i="10"/>
  <c r="D74" i="10"/>
  <c r="D80" i="10"/>
  <c r="C80" i="10"/>
  <c r="J80" i="10"/>
  <c r="F82" i="10" a="1"/>
  <c r="C78" i="10" l="1"/>
  <c r="K78" i="10" s="1"/>
  <c r="D78" i="10"/>
  <c r="J78" i="10"/>
  <c r="D72" i="10"/>
  <c r="J72" i="10"/>
  <c r="C72" i="10"/>
  <c r="K72" i="10" s="1"/>
  <c r="D75" i="10"/>
  <c r="C75" i="10"/>
  <c r="K75" i="10" s="1"/>
  <c r="J75" i="10"/>
  <c r="D69" i="10"/>
  <c r="J69" i="10"/>
  <c r="C69" i="10"/>
  <c r="K69" i="10" s="1"/>
  <c r="F82" i="10"/>
  <c r="K80" i="10"/>
  <c r="I80" i="10"/>
  <c r="J81" i="10"/>
  <c r="C81" i="10"/>
  <c r="D81" i="10"/>
  <c r="I49" i="10"/>
  <c r="F83" i="10" a="1"/>
  <c r="F83" i="10" l="1"/>
  <c r="I81" i="10"/>
  <c r="K81" i="10"/>
  <c r="C82" i="10"/>
  <c r="D82" i="10"/>
  <c r="J82" i="10"/>
  <c r="F84" i="10" a="1"/>
  <c r="F84" i="10" l="1"/>
  <c r="I82" i="10"/>
  <c r="K82" i="10"/>
  <c r="C83" i="10"/>
  <c r="J83" i="10"/>
  <c r="D83" i="10"/>
  <c r="F85" i="10" a="1"/>
  <c r="F85" i="10" l="1"/>
  <c r="I83" i="10"/>
  <c r="K83" i="10"/>
  <c r="C84" i="10"/>
  <c r="D84" i="10"/>
  <c r="J84" i="10"/>
  <c r="H17" i="10" a="1"/>
  <c r="G38" i="10" a="1"/>
  <c r="H25" i="10" a="1"/>
  <c r="E4" i="10" a="1"/>
  <c r="E45" i="10" a="1"/>
  <c r="G19" i="10" a="1"/>
  <c r="H44" i="10" a="1"/>
  <c r="H22" i="10" a="1"/>
  <c r="H19" i="10" a="1"/>
  <c r="E30" i="10" a="1"/>
  <c r="G41" i="10" a="1"/>
  <c r="E18" i="10" a="1"/>
  <c r="G23" i="10" a="1"/>
  <c r="G27" i="10" a="1"/>
  <c r="H43" i="10" a="1"/>
  <c r="H39" i="10" a="1"/>
  <c r="E20" i="10" a="1"/>
  <c r="E39" i="10" a="1"/>
  <c r="F86" i="10" a="1"/>
  <c r="G25" i="10" a="1"/>
  <c r="H45" i="10" a="1"/>
  <c r="H27" i="10" a="1"/>
  <c r="H26" i="10" a="1"/>
  <c r="G16" i="10" a="1"/>
  <c r="G18" i="10" a="1"/>
  <c r="H31" i="10" a="1"/>
  <c r="H20" i="10" a="1"/>
  <c r="E22" i="10" a="1"/>
  <c r="G29" i="10" a="1"/>
  <c r="G21" i="10" a="1"/>
  <c r="E19" i="10" a="1"/>
  <c r="E5" i="10" a="1"/>
  <c r="E33" i="10" a="1"/>
  <c r="H37" i="10" a="1"/>
  <c r="H23" i="10" a="1"/>
  <c r="H42" i="10" a="1"/>
  <c r="H21" i="10" a="1"/>
  <c r="G30" i="10" a="1"/>
  <c r="G4" i="10" a="1"/>
  <c r="G42" i="10" a="1"/>
  <c r="H32" i="10" a="1"/>
  <c r="G37" i="10" a="1"/>
  <c r="E38" i="10" a="1"/>
  <c r="H41" i="10" a="1"/>
  <c r="E35" i="10" a="1"/>
  <c r="G17" i="10" a="1"/>
  <c r="E41" i="10" a="1"/>
  <c r="E16" i="10" a="1"/>
  <c r="E34" i="10" a="1"/>
  <c r="G35" i="10" a="1"/>
  <c r="H38" i="10" a="1"/>
  <c r="E25" i="10" a="1"/>
  <c r="E36" i="10" a="1"/>
  <c r="H4" i="10" a="1"/>
  <c r="H16" i="10" a="1"/>
  <c r="E24" i="10" a="1"/>
  <c r="E21" i="10" a="1"/>
  <c r="H24" i="10" a="1"/>
  <c r="E17" i="10" a="1"/>
  <c r="G33" i="10" a="1"/>
  <c r="F47" i="10" a="1"/>
  <c r="H29" i="10" a="1"/>
  <c r="F4" i="10" a="1"/>
  <c r="G34" i="10" a="1"/>
  <c r="G32" i="10" a="1"/>
  <c r="G20" i="10" a="1"/>
  <c r="G28" i="10" a="1"/>
  <c r="G43" i="10" a="1"/>
  <c r="G44" i="10" a="1"/>
  <c r="E23" i="10" a="1"/>
  <c r="G5" i="10" a="1"/>
  <c r="H34" i="10" a="1"/>
  <c r="E40" i="10" a="1"/>
  <c r="H35" i="10" a="1"/>
  <c r="G24" i="10" a="1"/>
  <c r="H40" i="10" a="1"/>
  <c r="G31" i="10" a="1"/>
  <c r="E42" i="10" a="1"/>
  <c r="G36" i="10" a="1"/>
  <c r="G22" i="10" a="1"/>
  <c r="H28" i="10" a="1"/>
  <c r="E29" i="10" a="1"/>
  <c r="G45" i="10" a="1"/>
  <c r="H30" i="10" a="1"/>
  <c r="G26" i="10" a="1"/>
  <c r="E28" i="10" a="1"/>
  <c r="E31" i="10" a="1"/>
  <c r="E26" i="10" a="1"/>
  <c r="E44" i="10" a="1"/>
  <c r="E27" i="10" a="1"/>
  <c r="E37" i="10" a="1"/>
  <c r="E43" i="10" a="1"/>
  <c r="E32" i="10" a="1"/>
  <c r="H5" i="10" a="1"/>
  <c r="H18" i="10" a="1"/>
  <c r="G39" i="10" a="1"/>
  <c r="H33" i="10" a="1"/>
  <c r="G40" i="10" a="1"/>
  <c r="H36" i="10" a="1"/>
  <c r="F86" i="10" l="1"/>
  <c r="K84" i="10"/>
  <c r="I84" i="10"/>
  <c r="D85" i="10"/>
  <c r="C85" i="10"/>
  <c r="J85" i="10"/>
  <c r="E38" i="10"/>
  <c r="E17" i="10"/>
  <c r="G27" i="10"/>
  <c r="G32" i="10"/>
  <c r="G38" i="10"/>
  <c r="G33" i="10"/>
  <c r="H45" i="10"/>
  <c r="H4" i="10"/>
  <c r="E36" i="10"/>
  <c r="H36" i="10"/>
  <c r="G17" i="10"/>
  <c r="E39" i="10"/>
  <c r="E23" i="10"/>
  <c r="H22" i="10"/>
  <c r="E45" i="10"/>
  <c r="E42" i="10"/>
  <c r="G19" i="10"/>
  <c r="H19" i="10"/>
  <c r="E26" i="10"/>
  <c r="H43" i="10"/>
  <c r="H38" i="10"/>
  <c r="H26" i="10"/>
  <c r="G24" i="10"/>
  <c r="G22" i="10"/>
  <c r="G39" i="10"/>
  <c r="E21" i="10"/>
  <c r="H34" i="10"/>
  <c r="G23" i="10"/>
  <c r="E30" i="10"/>
  <c r="H40" i="10"/>
  <c r="E19" i="10"/>
  <c r="H23" i="10"/>
  <c r="E16" i="10"/>
  <c r="E41" i="10"/>
  <c r="E20" i="10"/>
  <c r="E37" i="10"/>
  <c r="H35" i="10"/>
  <c r="G26" i="10"/>
  <c r="G25" i="10"/>
  <c r="H25" i="10"/>
  <c r="H33" i="10"/>
  <c r="H16" i="10"/>
  <c r="E4" i="10"/>
  <c r="E35" i="10"/>
  <c r="E33" i="10"/>
  <c r="H18" i="10"/>
  <c r="H41" i="10"/>
  <c r="G43" i="10"/>
  <c r="E22" i="10"/>
  <c r="F4" i="10"/>
  <c r="E34" i="10"/>
  <c r="H29" i="10"/>
  <c r="G42" i="10"/>
  <c r="G44" i="10"/>
  <c r="G30" i="10"/>
  <c r="G34" i="10"/>
  <c r="G28" i="10"/>
  <c r="H42" i="10"/>
  <c r="H31" i="10"/>
  <c r="E29" i="10"/>
  <c r="G4" i="10"/>
  <c r="E43" i="10"/>
  <c r="H20" i="10"/>
  <c r="E31" i="10"/>
  <c r="H24" i="10"/>
  <c r="G18" i="10"/>
  <c r="G16" i="10"/>
  <c r="G21" i="10"/>
  <c r="G37" i="10"/>
  <c r="E44" i="10"/>
  <c r="G35" i="10"/>
  <c r="H30" i="10"/>
  <c r="H27" i="10"/>
  <c r="E18" i="10"/>
  <c r="G45" i="10"/>
  <c r="E40" i="10"/>
  <c r="E24" i="10"/>
  <c r="H32" i="10"/>
  <c r="G29" i="10"/>
  <c r="F47" i="10"/>
  <c r="H37" i="10"/>
  <c r="G5" i="10"/>
  <c r="G31" i="10"/>
  <c r="G36" i="10"/>
  <c r="E28" i="10"/>
  <c r="E27" i="10"/>
  <c r="G20" i="10"/>
  <c r="H39" i="10"/>
  <c r="E32" i="10"/>
  <c r="G41" i="10"/>
  <c r="H17" i="10"/>
  <c r="G40" i="10"/>
  <c r="H44" i="10"/>
  <c r="E5" i="10"/>
  <c r="H5" i="10"/>
  <c r="H21" i="10"/>
  <c r="E25" i="10"/>
  <c r="H28" i="10"/>
  <c r="F26" i="10" a="1"/>
  <c r="F32" i="10" a="1"/>
  <c r="F44" i="10" a="1"/>
  <c r="F87" i="10" a="1"/>
  <c r="F17" i="10" a="1"/>
  <c r="F29" i="10" a="1"/>
  <c r="F38" i="10" a="1"/>
  <c r="F48" i="10" a="1"/>
  <c r="F35" i="10" a="1"/>
  <c r="F41" i="10" a="1"/>
  <c r="F5" i="10" a="1"/>
  <c r="F87" i="10" l="1"/>
  <c r="I85" i="10"/>
  <c r="K85" i="10"/>
  <c r="D86" i="10"/>
  <c r="C86" i="10"/>
  <c r="J86" i="10"/>
  <c r="F5" i="10"/>
  <c r="F44" i="10"/>
  <c r="C44" i="10" s="1"/>
  <c r="K44" i="10" s="1"/>
  <c r="F41" i="10"/>
  <c r="C41" i="10" s="1"/>
  <c r="K41" i="10" s="1"/>
  <c r="F26" i="10"/>
  <c r="C26" i="10" s="1"/>
  <c r="K26" i="10" s="1"/>
  <c r="F38" i="10"/>
  <c r="C38" i="10" s="1"/>
  <c r="K38" i="10" s="1"/>
  <c r="F17" i="10"/>
  <c r="C17" i="10" s="1"/>
  <c r="K17" i="10" s="1"/>
  <c r="F32" i="10"/>
  <c r="C32" i="10" s="1"/>
  <c r="K32" i="10" s="1"/>
  <c r="F35" i="10"/>
  <c r="C35" i="10" s="1"/>
  <c r="K35" i="10" s="1"/>
  <c r="F48" i="10"/>
  <c r="F29" i="10"/>
  <c r="C29" i="10" s="1"/>
  <c r="K29" i="10" s="1"/>
  <c r="C4" i="10"/>
  <c r="K4" i="10" s="1"/>
  <c r="J4" i="10"/>
  <c r="D4" i="10"/>
  <c r="I27" i="10"/>
  <c r="I36" i="10"/>
  <c r="I42" i="10"/>
  <c r="I39" i="10"/>
  <c r="I33" i="10"/>
  <c r="J47" i="10"/>
  <c r="D47" i="10"/>
  <c r="C47" i="10"/>
  <c r="I45" i="10"/>
  <c r="I30" i="10"/>
  <c r="F18" i="10" a="1"/>
  <c r="F16" i="10" a="1"/>
  <c r="F27" i="10" a="1"/>
  <c r="F6" i="10" a="1"/>
  <c r="F39" i="10" a="1"/>
  <c r="F49" i="10" a="1"/>
  <c r="F30" i="10" a="1"/>
  <c r="F36" i="10" a="1"/>
  <c r="F42" i="10" a="1"/>
  <c r="F33" i="10" a="1"/>
  <c r="F45" i="10" a="1"/>
  <c r="I32" i="10" l="1"/>
  <c r="I29" i="10"/>
  <c r="I35" i="10"/>
  <c r="I41" i="10"/>
  <c r="F16" i="10"/>
  <c r="I26" i="10"/>
  <c r="I44" i="10"/>
  <c r="I38" i="10"/>
  <c r="C87" i="10"/>
  <c r="D87" i="10"/>
  <c r="J87" i="10"/>
  <c r="K86" i="10"/>
  <c r="I86" i="10"/>
  <c r="C5" i="10"/>
  <c r="K5" i="10" s="1"/>
  <c r="I31" i="10"/>
  <c r="F18" i="10"/>
  <c r="F39" i="10"/>
  <c r="F30" i="10"/>
  <c r="F42" i="10"/>
  <c r="F27" i="10"/>
  <c r="F33" i="10"/>
  <c r="F6" i="10"/>
  <c r="F49" i="10"/>
  <c r="F45" i="10"/>
  <c r="F36" i="10"/>
  <c r="J17" i="10"/>
  <c r="D17" i="10"/>
  <c r="D38" i="10"/>
  <c r="J38" i="10"/>
  <c r="J29" i="10"/>
  <c r="D29" i="10"/>
  <c r="I47" i="10"/>
  <c r="K47" i="10"/>
  <c r="I17" i="10"/>
  <c r="I4" i="10"/>
  <c r="D41" i="10"/>
  <c r="J41" i="10"/>
  <c r="D26" i="10"/>
  <c r="J26" i="10"/>
  <c r="I40" i="10"/>
  <c r="I34" i="10"/>
  <c r="I37" i="10"/>
  <c r="D32" i="10"/>
  <c r="J32" i="10"/>
  <c r="D5" i="10"/>
  <c r="J5" i="10"/>
  <c r="I28" i="10"/>
  <c r="I43" i="10"/>
  <c r="J48" i="10"/>
  <c r="C48" i="10"/>
  <c r="D48" i="10"/>
  <c r="D44" i="10"/>
  <c r="J44" i="10"/>
  <c r="I46" i="10"/>
  <c r="J35" i="10"/>
  <c r="D35" i="10"/>
  <c r="F31" i="10" a="1"/>
  <c r="F43" i="10" a="1"/>
  <c r="F50" i="10" a="1"/>
  <c r="F34" i="10" a="1"/>
  <c r="F28" i="10" a="1"/>
  <c r="F46" i="10" a="1"/>
  <c r="F19" i="10" a="1"/>
  <c r="F40" i="10" a="1"/>
  <c r="F7" i="10" a="1"/>
  <c r="F37" i="10" a="1"/>
  <c r="F46" i="10" l="1"/>
  <c r="F37" i="10"/>
  <c r="F43" i="10"/>
  <c r="F34" i="10"/>
  <c r="F31" i="10"/>
  <c r="F50" i="10"/>
  <c r="F28" i="10"/>
  <c r="F40" i="10"/>
  <c r="K48" i="10"/>
  <c r="I48" i="10"/>
  <c r="I87" i="10"/>
  <c r="K87" i="10"/>
  <c r="D16" i="10"/>
  <c r="J16" i="10"/>
  <c r="C16" i="10"/>
  <c r="I5" i="10"/>
  <c r="F7" i="10"/>
  <c r="F19" i="10"/>
  <c r="D30" i="10"/>
  <c r="J30" i="10"/>
  <c r="C30" i="10"/>
  <c r="K30" i="10" s="1"/>
  <c r="D45" i="10"/>
  <c r="J45" i="10"/>
  <c r="C45" i="10"/>
  <c r="K45" i="10" s="1"/>
  <c r="D39" i="10"/>
  <c r="J39" i="10"/>
  <c r="C39" i="10"/>
  <c r="K39" i="10" s="1"/>
  <c r="D36" i="10"/>
  <c r="J36" i="10"/>
  <c r="C36" i="10"/>
  <c r="K36" i="10" s="1"/>
  <c r="C6" i="10"/>
  <c r="D6" i="10"/>
  <c r="J6" i="10"/>
  <c r="J18" i="10"/>
  <c r="D18" i="10"/>
  <c r="C18" i="10"/>
  <c r="C49" i="10"/>
  <c r="K49" i="10" s="1"/>
  <c r="D49" i="10"/>
  <c r="J49" i="10"/>
  <c r="J33" i="10"/>
  <c r="D33" i="10"/>
  <c r="C33" i="10"/>
  <c r="K33" i="10" s="1"/>
  <c r="D27" i="10"/>
  <c r="J27" i="10"/>
  <c r="C27" i="10"/>
  <c r="K27" i="10" s="1"/>
  <c r="D42" i="10"/>
  <c r="J42" i="10"/>
  <c r="C42" i="10"/>
  <c r="K42" i="10" s="1"/>
  <c r="F20" i="10" a="1"/>
  <c r="F8" i="10" a="1"/>
  <c r="J50" i="10" l="1"/>
  <c r="C50" i="10"/>
  <c r="D50" i="10"/>
  <c r="J31" i="10"/>
  <c r="D31" i="10"/>
  <c r="C31" i="10"/>
  <c r="K31" i="10" s="1"/>
  <c r="D34" i="10"/>
  <c r="C34" i="10"/>
  <c r="K34" i="10" s="1"/>
  <c r="J34" i="10"/>
  <c r="J40" i="10"/>
  <c r="D40" i="10"/>
  <c r="C40" i="10"/>
  <c r="K40" i="10" s="1"/>
  <c r="D28" i="10"/>
  <c r="C28" i="10"/>
  <c r="K28" i="10" s="1"/>
  <c r="J28" i="10"/>
  <c r="K16" i="10"/>
  <c r="I16" i="10"/>
  <c r="C43" i="10"/>
  <c r="K43" i="10" s="1"/>
  <c r="D43" i="10"/>
  <c r="J43" i="10"/>
  <c r="D37" i="10"/>
  <c r="J37" i="10"/>
  <c r="C37" i="10"/>
  <c r="K37" i="10" s="1"/>
  <c r="C46" i="10"/>
  <c r="K46" i="10" s="1"/>
  <c r="D46" i="10"/>
  <c r="J46" i="10"/>
  <c r="F20" i="10"/>
  <c r="F8" i="10"/>
  <c r="I6" i="10"/>
  <c r="K6" i="10"/>
  <c r="J19" i="10"/>
  <c r="D19" i="10"/>
  <c r="C19" i="10"/>
  <c r="K18" i="10"/>
  <c r="I18" i="10"/>
  <c r="J7" i="10"/>
  <c r="C7" i="10"/>
  <c r="D7" i="10"/>
  <c r="F9" i="10" a="1"/>
  <c r="F21" i="10" a="1"/>
  <c r="I50" i="10" l="1"/>
  <c r="K50" i="10"/>
  <c r="F21" i="10"/>
  <c r="F9" i="10"/>
  <c r="K19" i="10"/>
  <c r="I19" i="10"/>
  <c r="K7" i="10"/>
  <c r="I7" i="10"/>
  <c r="D20" i="10"/>
  <c r="J20" i="10"/>
  <c r="C20" i="10"/>
  <c r="C8" i="10"/>
  <c r="D8" i="10"/>
  <c r="J8" i="10"/>
  <c r="F22" i="10" a="1"/>
  <c r="F10" i="10" a="1"/>
  <c r="F22" i="10" l="1"/>
  <c r="F10" i="10"/>
  <c r="J21" i="10"/>
  <c r="D21" i="10"/>
  <c r="C21" i="10"/>
  <c r="K20" i="10"/>
  <c r="I20" i="10"/>
  <c r="D9" i="10"/>
  <c r="C9" i="10"/>
  <c r="J9" i="10"/>
  <c r="K8" i="10"/>
  <c r="I8" i="10"/>
  <c r="F23" i="10" a="1"/>
  <c r="F11" i="10" a="1"/>
  <c r="F11" i="10" l="1"/>
  <c r="F23" i="10"/>
  <c r="K21" i="10"/>
  <c r="I21" i="10"/>
  <c r="C10" i="10"/>
  <c r="D10" i="10"/>
  <c r="J10" i="10"/>
  <c r="D22" i="10"/>
  <c r="J22" i="10"/>
  <c r="C22" i="10"/>
  <c r="K9" i="10"/>
  <c r="I9" i="10"/>
  <c r="F24" i="10" a="1"/>
  <c r="F12" i="10" a="1"/>
  <c r="F12" i="10" l="1"/>
  <c r="F24" i="10"/>
  <c r="K10" i="10"/>
  <c r="I10" i="10"/>
  <c r="K22" i="10"/>
  <c r="I22" i="10"/>
  <c r="C11" i="10"/>
  <c r="J11" i="10"/>
  <c r="D11" i="10"/>
  <c r="J23" i="10"/>
  <c r="D23" i="10"/>
  <c r="C23" i="10"/>
  <c r="F25" i="10" a="1"/>
  <c r="F13" i="10" a="1"/>
  <c r="F25" i="10" l="1"/>
  <c r="F13" i="10"/>
  <c r="K23" i="10"/>
  <c r="I23" i="10"/>
  <c r="I11" i="10"/>
  <c r="K11" i="10"/>
  <c r="J24" i="10"/>
  <c r="D24" i="10"/>
  <c r="C24" i="10"/>
  <c r="C12" i="10"/>
  <c r="D12" i="10"/>
  <c r="J12" i="10"/>
  <c r="F14" i="10" a="1"/>
  <c r="D25" i="10" l="1"/>
  <c r="J25" i="10"/>
  <c r="C25" i="10"/>
  <c r="F14" i="10"/>
  <c r="K24" i="10"/>
  <c r="I24" i="10"/>
  <c r="K12" i="10"/>
  <c r="I12" i="10"/>
  <c r="D13" i="10"/>
  <c r="C13" i="10"/>
  <c r="J13" i="10"/>
  <c r="F15" i="10" a="1"/>
  <c r="K25" i="10" l="1"/>
  <c r="I25" i="10"/>
  <c r="F15" i="10"/>
  <c r="I13" i="10"/>
  <c r="K13" i="10"/>
  <c r="C14" i="10"/>
  <c r="D14" i="10"/>
  <c r="J14" i="10"/>
  <c r="J15" i="10" l="1"/>
  <c r="C15" i="10"/>
  <c r="D15" i="10"/>
  <c r="I14" i="10"/>
  <c r="K14" i="10"/>
  <c r="F67" i="26" l="1"/>
  <c r="I67" i="26" s="1"/>
  <c r="I68" i="26" s="1"/>
  <c r="F69" i="26"/>
  <c r="F47" i="26"/>
  <c r="F41" i="26"/>
  <c r="F63" i="26"/>
  <c r="F65" i="26"/>
  <c r="F21" i="26"/>
  <c r="F27" i="26"/>
  <c r="F7" i="26"/>
  <c r="I7" i="26" s="1"/>
  <c r="F33" i="26"/>
  <c r="F57" i="26"/>
  <c r="F17" i="26"/>
  <c r="F39" i="26"/>
  <c r="F23" i="26"/>
  <c r="F35" i="26"/>
  <c r="F37" i="26"/>
  <c r="F45" i="26"/>
  <c r="F15" i="26"/>
  <c r="F13" i="26"/>
  <c r="F11" i="26"/>
  <c r="F53" i="26"/>
  <c r="F49" i="26"/>
  <c r="F19" i="26"/>
  <c r="F61" i="26"/>
  <c r="F59" i="26"/>
  <c r="F29" i="26"/>
  <c r="F31" i="26"/>
  <c r="F51" i="26"/>
  <c r="F9" i="26"/>
  <c r="F25" i="26"/>
  <c r="F43" i="26"/>
  <c r="F55" i="26"/>
  <c r="K15" i="10"/>
  <c r="I15" i="10"/>
  <c r="G67" i="26" l="1"/>
  <c r="G68" i="26" s="1"/>
  <c r="H67" i="26"/>
  <c r="H68" i="26" s="1"/>
  <c r="I69" i="26"/>
  <c r="H69" i="26"/>
  <c r="G69" i="26"/>
  <c r="I8" i="26"/>
  <c r="G31" i="26"/>
  <c r="I31" i="26"/>
  <c r="H31" i="26"/>
  <c r="G59" i="26"/>
  <c r="G60" i="26" s="1"/>
  <c r="I59" i="26"/>
  <c r="I60" i="26" s="1"/>
  <c r="H59" i="26"/>
  <c r="H60" i="26" s="1"/>
  <c r="G45" i="26"/>
  <c r="I45" i="26"/>
  <c r="H45" i="26"/>
  <c r="G57" i="26"/>
  <c r="G58" i="26" s="1"/>
  <c r="I57" i="26"/>
  <c r="I58" i="26" s="1"/>
  <c r="H57" i="26"/>
  <c r="H58" i="26" s="1"/>
  <c r="G33" i="26"/>
  <c r="I33" i="26"/>
  <c r="H33" i="26"/>
  <c r="G61" i="26"/>
  <c r="G62" i="26" s="1"/>
  <c r="I61" i="26"/>
  <c r="I62" i="26" s="1"/>
  <c r="H61" i="26"/>
  <c r="H62" i="26" s="1"/>
  <c r="G37" i="26"/>
  <c r="I37" i="26"/>
  <c r="H37" i="26"/>
  <c r="G27" i="26"/>
  <c r="I27" i="26"/>
  <c r="H27" i="26"/>
  <c r="G15" i="26"/>
  <c r="I15" i="26"/>
  <c r="H15" i="26"/>
  <c r="G55" i="26"/>
  <c r="G56" i="26" s="1"/>
  <c r="I55" i="26"/>
  <c r="I56" i="26" s="1"/>
  <c r="H55" i="26"/>
  <c r="H56" i="26" s="1"/>
  <c r="G43" i="26"/>
  <c r="G44" i="26" s="1"/>
  <c r="I43" i="26"/>
  <c r="I44" i="26" s="1"/>
  <c r="H43" i="26"/>
  <c r="H44" i="26" s="1"/>
  <c r="G19" i="26"/>
  <c r="I19" i="26"/>
  <c r="H19" i="26"/>
  <c r="G35" i="26"/>
  <c r="I35" i="26"/>
  <c r="H35" i="26"/>
  <c r="G21" i="26"/>
  <c r="I21" i="26"/>
  <c r="H21" i="26"/>
  <c r="G13" i="26"/>
  <c r="I13" i="26"/>
  <c r="H13" i="26"/>
  <c r="G29" i="26"/>
  <c r="I29" i="26"/>
  <c r="H29" i="26"/>
  <c r="G25" i="26"/>
  <c r="I25" i="26"/>
  <c r="H25" i="26"/>
  <c r="G49" i="26"/>
  <c r="G50" i="26" s="1"/>
  <c r="I49" i="26"/>
  <c r="I50" i="26" s="1"/>
  <c r="H49" i="26"/>
  <c r="H50" i="26" s="1"/>
  <c r="G23" i="26"/>
  <c r="H23" i="26"/>
  <c r="I23" i="26"/>
  <c r="G65" i="26"/>
  <c r="G66" i="26" s="1"/>
  <c r="I65" i="26"/>
  <c r="I66" i="26" s="1"/>
  <c r="H65" i="26"/>
  <c r="H66" i="26" s="1"/>
  <c r="G9" i="26"/>
  <c r="I9" i="26"/>
  <c r="H9" i="26"/>
  <c r="G63" i="26"/>
  <c r="G64" i="26" s="1"/>
  <c r="H63" i="26"/>
  <c r="H64" i="26" s="1"/>
  <c r="I63" i="26"/>
  <c r="I64" i="26" s="1"/>
  <c r="G53" i="26"/>
  <c r="G54" i="26" s="1"/>
  <c r="I53" i="26"/>
  <c r="I54" i="26" s="1"/>
  <c r="H53" i="26"/>
  <c r="H54" i="26" s="1"/>
  <c r="G39" i="26"/>
  <c r="G40" i="26" s="1"/>
  <c r="H39" i="26"/>
  <c r="H40" i="26" s="1"/>
  <c r="I39" i="26"/>
  <c r="I40" i="26" s="1"/>
  <c r="G51" i="26"/>
  <c r="G52" i="26" s="1"/>
  <c r="H51" i="26"/>
  <c r="H52" i="26" s="1"/>
  <c r="I51" i="26"/>
  <c r="I52" i="26" s="1"/>
  <c r="G11" i="26"/>
  <c r="H11" i="26"/>
  <c r="I11" i="26"/>
  <c r="G17" i="26"/>
  <c r="I17" i="26"/>
  <c r="H17" i="26"/>
  <c r="G41" i="26"/>
  <c r="I41" i="26"/>
  <c r="H41" i="26"/>
  <c r="G47" i="26"/>
  <c r="H47" i="26"/>
  <c r="I47" i="26"/>
  <c r="H7" i="26"/>
  <c r="G7" i="26"/>
  <c r="N24" i="10" a="1"/>
  <c r="N23" i="10" a="1"/>
  <c r="N19" i="10" a="1"/>
  <c r="N21" i="10" a="1"/>
  <c r="N20" i="10" a="1"/>
  <c r="N17" i="10" a="1"/>
  <c r="N22" i="10" a="1"/>
  <c r="N18" i="10" a="1"/>
  <c r="G70" i="26" l="1"/>
  <c r="H70" i="26"/>
  <c r="I70" i="26"/>
  <c r="I34" i="26"/>
  <c r="G34" i="26"/>
  <c r="H34" i="26"/>
  <c r="H30" i="26"/>
  <c r="I30" i="26"/>
  <c r="G30" i="26"/>
  <c r="I28" i="26"/>
  <c r="G28" i="26"/>
  <c r="H28" i="26"/>
  <c r="H26" i="26"/>
  <c r="I26" i="26"/>
  <c r="G26" i="26"/>
  <c r="H24" i="26"/>
  <c r="G24" i="26"/>
  <c r="I24" i="26"/>
  <c r="G22" i="26"/>
  <c r="H22" i="26"/>
  <c r="I22" i="26"/>
  <c r="H20" i="26"/>
  <c r="I20" i="26"/>
  <c r="G20" i="26"/>
  <c r="G18" i="26"/>
  <c r="I18" i="26"/>
  <c r="H18" i="26"/>
  <c r="H42" i="26"/>
  <c r="I42" i="26"/>
  <c r="G42" i="26"/>
  <c r="G46" i="26"/>
  <c r="H46" i="26"/>
  <c r="I46" i="26"/>
  <c r="H38" i="26"/>
  <c r="I38" i="26"/>
  <c r="G38" i="26"/>
  <c r="H36" i="26"/>
  <c r="I36" i="26"/>
  <c r="G36" i="26"/>
  <c r="H16" i="26"/>
  <c r="I16" i="26"/>
  <c r="G16" i="26"/>
  <c r="I14" i="26"/>
  <c r="G14" i="26"/>
  <c r="H14" i="26"/>
  <c r="H12" i="26"/>
  <c r="G12" i="26"/>
  <c r="I12" i="26"/>
  <c r="H10" i="26"/>
  <c r="I10" i="26"/>
  <c r="G10" i="26"/>
  <c r="H32" i="26"/>
  <c r="I32" i="26"/>
  <c r="G32" i="26"/>
  <c r="N23" i="10"/>
  <c r="N22" i="10"/>
  <c r="N21" i="10"/>
  <c r="N20" i="10"/>
  <c r="N19" i="10"/>
  <c r="N18" i="10"/>
  <c r="N17" i="10"/>
  <c r="N24" i="10"/>
  <c r="G8" i="26"/>
  <c r="H8" i="26"/>
  <c r="I48" i="26"/>
  <c r="G48" i="26"/>
  <c r="H48" i="26"/>
  <c r="M49" i="10" a="1"/>
  <c r="M7" i="10" a="1"/>
  <c r="L52" i="10" a="1"/>
  <c r="N53" i="10" a="1"/>
  <c r="L29" i="10" a="1"/>
  <c r="M65" i="10" a="1"/>
  <c r="N44" i="10" a="1"/>
  <c r="M41" i="10" a="1"/>
  <c r="M53" i="10" a="1"/>
  <c r="M45" i="10" a="1"/>
  <c r="L18" i="10" a="1"/>
  <c r="L57" i="10" a="1"/>
  <c r="N32" i="10" a="1"/>
  <c r="N52" i="10" a="1"/>
  <c r="L42" i="10" a="1"/>
  <c r="L22" i="10" a="1"/>
  <c r="N42" i="10" a="1"/>
  <c r="L38" i="10" a="1"/>
  <c r="N64" i="10" a="1"/>
  <c r="N38" i="10" a="1"/>
  <c r="N26" i="10" a="1"/>
  <c r="M6" i="10" a="1"/>
  <c r="M8" i="10" a="1"/>
  <c r="L8" i="10" a="1"/>
  <c r="L48" i="10" a="1"/>
  <c r="M17" i="10" a="1"/>
  <c r="L39" i="10" a="1"/>
  <c r="L14" i="10" a="1"/>
  <c r="N9" i="10" a="1"/>
  <c r="N36" i="10" a="1"/>
  <c r="N10" i="10" a="1"/>
  <c r="N39" i="10" a="1"/>
  <c r="M13" i="10" a="1"/>
  <c r="L45" i="10" a="1"/>
  <c r="L19" i="10" a="1"/>
  <c r="L65" i="10" a="1"/>
  <c r="N27" i="10" a="1"/>
  <c r="N11" i="10" a="1"/>
  <c r="M12" i="10" a="1"/>
  <c r="M38" i="10" a="1"/>
  <c r="N33" i="10" a="1"/>
  <c r="M14" i="10" a="1"/>
  <c r="N45" i="10" a="1"/>
  <c r="N41" i="10" a="1"/>
  <c r="N13" i="10" a="1"/>
  <c r="N29" i="10" a="1"/>
  <c r="M44" i="10" a="1"/>
  <c r="L9" i="10" a="1"/>
  <c r="N35" i="10" a="1"/>
  <c r="L44" i="10" a="1"/>
  <c r="M24" i="10" a="1"/>
  <c r="L10" i="10" a="1"/>
  <c r="L13" i="10" a="1"/>
  <c r="N5" i="10" a="1"/>
  <c r="M29" i="10" a="1"/>
  <c r="L11" i="10" a="1"/>
  <c r="M5" i="10" a="1"/>
  <c r="L17" i="10" a="1"/>
  <c r="L30" i="10" a="1"/>
  <c r="M15" i="10" a="1"/>
  <c r="N12" i="10" a="1"/>
  <c r="L15" i="10" a="1"/>
  <c r="N58" i="10" a="1"/>
  <c r="M32" i="10" a="1"/>
  <c r="N57" i="10" a="1"/>
  <c r="N49" i="10" a="1"/>
  <c r="N30" i="10" a="1"/>
  <c r="M27" i="10" a="1"/>
  <c r="L36" i="10" a="1"/>
  <c r="M39" i="10" a="1"/>
  <c r="L20" i="10" a="1"/>
  <c r="M22" i="10" a="1"/>
  <c r="M60" i="10" a="1"/>
  <c r="L27" i="10" a="1"/>
  <c r="L24" i="10" a="1"/>
  <c r="L41" i="10" a="1"/>
  <c r="M26" i="10" a="1"/>
  <c r="L58" i="10" a="1"/>
  <c r="L5" i="10" a="1"/>
  <c r="N6" i="10" a="1"/>
  <c r="M10" i="10" a="1"/>
  <c r="L6" i="10" a="1"/>
  <c r="M19" i="10" a="1"/>
  <c r="M20" i="10" a="1"/>
  <c r="N60" i="10" a="1"/>
  <c r="L33" i="10" a="1"/>
  <c r="N65" i="10" a="1"/>
  <c r="M36" i="10" a="1"/>
  <c r="M57" i="10" a="1"/>
  <c r="L21" i="10" a="1"/>
  <c r="L7" i="10" a="1"/>
  <c r="M33" i="10" a="1"/>
  <c r="L53" i="10" a="1"/>
  <c r="N48" i="10" a="1"/>
  <c r="N7" i="10" a="1"/>
  <c r="M9" i="10" a="1"/>
  <c r="L23" i="10" a="1"/>
  <c r="M23" i="10" a="1"/>
  <c r="M58" i="10" a="1"/>
  <c r="L60" i="10" a="1"/>
  <c r="L35" i="10" a="1"/>
  <c r="N8" i="10" a="1"/>
  <c r="L26" i="10" a="1"/>
  <c r="M11" i="10" a="1"/>
  <c r="M18" i="10" a="1"/>
  <c r="L64" i="10" a="1"/>
  <c r="L32" i="10" a="1"/>
  <c r="M30" i="10" a="1"/>
  <c r="M42" i="10" a="1"/>
  <c r="M52" i="10" a="1"/>
  <c r="M21" i="10" a="1"/>
  <c r="N15" i="10" a="1"/>
  <c r="N14" i="10" a="1"/>
  <c r="L12" i="10" a="1"/>
  <c r="M64" i="10" a="1"/>
  <c r="M48" i="10" a="1"/>
  <c r="L49" i="10" a="1"/>
  <c r="M35" i="10" a="1"/>
  <c r="M64" i="10" l="1"/>
  <c r="M65" i="10"/>
  <c r="N65" i="10"/>
  <c r="L64" i="10"/>
  <c r="L65" i="10"/>
  <c r="N64" i="10"/>
  <c r="N60" i="10"/>
  <c r="L60" i="10"/>
  <c r="M60" i="10"/>
  <c r="L57" i="10"/>
  <c r="M57" i="10"/>
  <c r="M58" i="10"/>
  <c r="N58" i="10"/>
  <c r="N57" i="10"/>
  <c r="L58" i="10"/>
  <c r="L52" i="10"/>
  <c r="N53" i="10"/>
  <c r="N52" i="10"/>
  <c r="M53" i="10"/>
  <c r="M52" i="10"/>
  <c r="L53" i="10"/>
  <c r="N48" i="10"/>
  <c r="N49" i="10"/>
  <c r="L48" i="10"/>
  <c r="M48" i="10"/>
  <c r="M49" i="10"/>
  <c r="L49" i="10"/>
  <c r="L44" i="10"/>
  <c r="L45" i="10"/>
  <c r="N45" i="10"/>
  <c r="N44" i="10"/>
  <c r="M45" i="10"/>
  <c r="M44" i="10"/>
  <c r="L41" i="10"/>
  <c r="N42" i="10"/>
  <c r="N41" i="10"/>
  <c r="M42" i="10"/>
  <c r="M41" i="10"/>
  <c r="L42" i="10"/>
  <c r="L39" i="10"/>
  <c r="L38" i="10"/>
  <c r="M38" i="10"/>
  <c r="N39" i="10"/>
  <c r="M39" i="10"/>
  <c r="N38" i="10"/>
  <c r="L35" i="10"/>
  <c r="L36" i="10"/>
  <c r="M35" i="10"/>
  <c r="N36" i="10"/>
  <c r="N35" i="10"/>
  <c r="M36" i="10"/>
  <c r="N33" i="10"/>
  <c r="N32" i="10"/>
  <c r="M32" i="10"/>
  <c r="L32" i="10"/>
  <c r="L33" i="10"/>
  <c r="M33" i="10"/>
  <c r="L29" i="10"/>
  <c r="M29" i="10"/>
  <c r="N29" i="10"/>
  <c r="N30" i="10"/>
  <c r="M30" i="10"/>
  <c r="L30" i="10"/>
  <c r="L27" i="10"/>
  <c r="L26" i="10"/>
  <c r="N27" i="10"/>
  <c r="N26" i="10"/>
  <c r="M27" i="10"/>
  <c r="M26" i="10"/>
  <c r="L17" i="10"/>
  <c r="L24" i="10"/>
  <c r="M22" i="10"/>
  <c r="L23" i="10"/>
  <c r="M24" i="10"/>
  <c r="M23" i="10"/>
  <c r="M21" i="10"/>
  <c r="L22" i="10"/>
  <c r="M20" i="10"/>
  <c r="L21" i="10"/>
  <c r="M19" i="10"/>
  <c r="L20" i="10"/>
  <c r="M18" i="10"/>
  <c r="L19" i="10"/>
  <c r="M17" i="10"/>
  <c r="L18" i="10"/>
  <c r="M12" i="10"/>
  <c r="L9" i="10"/>
  <c r="M11" i="10"/>
  <c r="N13" i="10"/>
  <c r="L15" i="10"/>
  <c r="L7" i="10"/>
  <c r="M9" i="10"/>
  <c r="N11" i="10"/>
  <c r="L14" i="10"/>
  <c r="N10" i="10"/>
  <c r="L8" i="10"/>
  <c r="L13" i="10"/>
  <c r="M7" i="10"/>
  <c r="N9" i="10"/>
  <c r="N12" i="10"/>
  <c r="L6" i="10"/>
  <c r="M15" i="10"/>
  <c r="L12" i="10"/>
  <c r="M14" i="10"/>
  <c r="M6" i="10"/>
  <c r="N8" i="10"/>
  <c r="M10" i="10"/>
  <c r="M8" i="10"/>
  <c r="L11" i="10"/>
  <c r="M13" i="10"/>
  <c r="N15" i="10"/>
  <c r="N7" i="10"/>
  <c r="L10" i="10"/>
  <c r="N14" i="10"/>
  <c r="N6" i="10"/>
  <c r="N5" i="10"/>
  <c r="L5" i="10"/>
  <c r="M5" i="10"/>
  <c r="L61" i="10" a="1"/>
  <c r="L61" i="10" l="1"/>
  <c r="M74" i="10" a="1"/>
  <c r="M74" i="10" l="1"/>
  <c r="M73" i="10" a="1"/>
  <c r="M73" i="10" l="1"/>
  <c r="N90" i="10" a="1"/>
  <c r="N90" i="10" l="1"/>
  <c r="N89" i="10" a="1"/>
  <c r="N89" i="10" l="1"/>
  <c r="M68" i="10" a="1"/>
  <c r="M67" i="10" a="1"/>
  <c r="M68" i="10" l="1"/>
  <c r="M67" i="10"/>
  <c r="M71" i="10" a="1"/>
  <c r="M70" i="10" a="1"/>
  <c r="M71" i="10" l="1"/>
  <c r="M70" i="10"/>
  <c r="L90" i="10" a="1"/>
  <c r="L90" i="10" l="1"/>
  <c r="L89" i="10" a="1"/>
  <c r="L89" i="10" l="1"/>
  <c r="L74" i="10" a="1"/>
  <c r="L73" i="10" a="1"/>
  <c r="L74" i="10" l="1"/>
  <c r="L73" i="10"/>
  <c r="M90" i="10" a="1"/>
  <c r="M90" i="10" l="1"/>
  <c r="M89" i="10" a="1"/>
  <c r="M89" i="10" l="1"/>
  <c r="N74" i="10" a="1"/>
  <c r="N73" i="10" a="1"/>
  <c r="N74" i="10" l="1"/>
  <c r="N73" i="10"/>
  <c r="N76" i="10" a="1"/>
  <c r="N77" i="10" a="1"/>
  <c r="N77" i="10" l="1"/>
  <c r="N76" i="10"/>
  <c r="L68" i="10" a="1"/>
  <c r="L68" i="10" l="1"/>
  <c r="L67" i="10" a="1"/>
  <c r="L67" i="10" l="1"/>
  <c r="N80" i="10" a="1"/>
  <c r="N80" i="10" l="1"/>
  <c r="N82" i="10" a="1"/>
  <c r="N82" i="10" l="1"/>
  <c r="N83" i="10" a="1"/>
  <c r="N83" i="10" l="1"/>
  <c r="N84" i="10" a="1"/>
  <c r="N84" i="10" l="1"/>
  <c r="N86" i="10" a="1"/>
  <c r="N86" i="10" l="1"/>
  <c r="N85" i="10" a="1"/>
  <c r="N85" i="10" l="1"/>
  <c r="N79" i="10" a="1"/>
  <c r="N81" i="10" a="1"/>
  <c r="N81" i="10" l="1"/>
  <c r="N79" i="10"/>
  <c r="N68" i="10" a="1"/>
  <c r="N67" i="10" a="1"/>
  <c r="N68" i="10" l="1"/>
  <c r="N67" i="10"/>
  <c r="M80" i="10" a="1"/>
  <c r="M80" i="10" l="1"/>
  <c r="M81" i="10" a="1"/>
  <c r="M81" i="10" l="1"/>
  <c r="M82" i="10" a="1"/>
  <c r="M82" i="10" l="1"/>
  <c r="M84" i="10" a="1"/>
  <c r="M84" i="10" l="1"/>
  <c r="M83" i="10" a="1"/>
  <c r="M83" i="10" l="1"/>
  <c r="M86" i="10" a="1"/>
  <c r="M86" i="10" l="1"/>
  <c r="M85" i="10" a="1"/>
  <c r="M79" i="10" a="1"/>
  <c r="M85" i="10" l="1"/>
  <c r="M79" i="10"/>
  <c r="N70" i="10" a="1"/>
  <c r="N71" i="10" a="1"/>
  <c r="N71" i="10" l="1"/>
  <c r="N70" i="10"/>
  <c r="L76" i="10" a="1"/>
  <c r="L77" i="10" a="1"/>
  <c r="L77" i="10" l="1"/>
  <c r="L76" i="10"/>
  <c r="L71" i="10" a="1"/>
  <c r="L71" i="10" l="1"/>
  <c r="L70" i="10" a="1"/>
  <c r="L70" i="10" l="1"/>
  <c r="M77" i="10" a="1"/>
  <c r="M77" i="10" l="1"/>
  <c r="M76" i="10" a="1"/>
  <c r="M76" i="10" l="1"/>
  <c r="L80" i="10" a="1"/>
  <c r="L80" i="10" l="1"/>
  <c r="L84" i="10" a="1"/>
  <c r="L84" i="10" l="1"/>
  <c r="L83" i="10" a="1"/>
  <c r="L83" i="10" l="1"/>
  <c r="L85" i="10" a="1"/>
  <c r="L85" i="10" l="1"/>
  <c r="L82" i="10" a="1"/>
  <c r="L82" i="10" l="1"/>
  <c r="L81" i="10" a="1"/>
  <c r="L81" i="10" l="1"/>
  <c r="L86" i="10" a="1"/>
  <c r="L79" i="10" a="1"/>
  <c r="L86" i="10" l="1"/>
  <c r="L7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<sst xmlns="http://schemas.openxmlformats.org/spreadsheetml/2006/main" count="1791" uniqueCount="801">
  <si>
    <t>Spreadsheet giving details about the various input parameters used in the ITHIM Global run for Bogotá, note that any distribution parameters used for running ITHIM-Global in sampling mode are omitted</t>
  </si>
  <si>
    <t>blue cells</t>
  </si>
  <si>
    <t>contain formula</t>
  </si>
  <si>
    <t>green cells</t>
  </si>
  <si>
    <t xml:space="preserve">need manual filling in </t>
  </si>
  <si>
    <t>Tab name</t>
  </si>
  <si>
    <t>Description</t>
  </si>
  <si>
    <t>all_city_parameter_inputs</t>
  </si>
  <si>
    <t>Table detailing all the city specific parameters which are read in during an ITHIM-Global run</t>
  </si>
  <si>
    <t>All_city_list</t>
  </si>
  <si>
    <t>List of all city specific parameters including their source and and explanation of what the parameter does. Takes its values from all_city_parameter_inputs and Default tabs. Parameter explanations and sources are added manually. 
To add a new city, add the city to the all_city_parameter_inputs tab (new column) and copy down the blue cells of the last populated row.
If the structure of all_city_parameter_inputs is changed, i.e. if parameters are added or deleted, add or delete rows for all cities to ensure the parameter descriptions and references are still in line with the correct parameter. The input values from all_city_parameter_inputs are currently being read based on their row and column value.</t>
  </si>
  <si>
    <t>all_global_parameter_inputs</t>
  </si>
  <si>
    <t>Details the global parameters, used as input file for ITHIM runs.</t>
  </si>
  <si>
    <t>All_global_list</t>
  </si>
  <si>
    <t xml:space="preserve">Details the values of the global parameters, i.e. the values that are not city specific. Reads values from all_global_parameter_inputs tab and Default tab and gives further information of where these values come from. </t>
  </si>
  <si>
    <t>Default</t>
  </si>
  <si>
    <t>List default values for all parameters, parameter explanations added to this tab are used in All_city_list</t>
  </si>
  <si>
    <t>Further_input_files</t>
  </si>
  <si>
    <t>Details where the additional input files needed for an ITHIM run can be found within the ITHIM-Global R package</t>
  </si>
  <si>
    <t>Grouped_sources</t>
  </si>
  <si>
    <t xml:space="preserve">Lookup table that shows from which city input parameter information on the all_city_list tab can be copied for other cities </t>
  </si>
  <si>
    <t xml:space="preserve">Lookup </t>
  </si>
  <si>
    <t>table linking different parameter names and classifications</t>
  </si>
  <si>
    <t>Safety in Numbers</t>
  </si>
  <si>
    <t>Details how the safety in numbers parameters were derived</t>
  </si>
  <si>
    <t>Document history</t>
  </si>
  <si>
    <t>version</t>
  </si>
  <si>
    <t>Changes made</t>
  </si>
  <si>
    <t>Author</t>
  </si>
  <si>
    <t>Date</t>
  </si>
  <si>
    <t>v0.1</t>
  </si>
  <si>
    <t>Initial set-up based on InputParameters_v35.1</t>
  </si>
  <si>
    <t>AKS</t>
  </si>
  <si>
    <t>v1.0</t>
  </si>
  <si>
    <t>Changed the retirement ages of bus, truck and commercial motorcycle drivers</t>
  </si>
  <si>
    <t>v1.01</t>
  </si>
  <si>
    <t>update MET values for light activity</t>
  </si>
  <si>
    <t>LT</t>
  </si>
  <si>
    <t>21/03/2024</t>
  </si>
  <si>
    <t>v1.02</t>
  </si>
  <si>
    <t>update CO2 from EDGAR database. The values come from: https://github.com/ITHIM/CO2_EDGAR_2018/blob/main/output/CO2_2018_ALL_cities.csv</t>
  </si>
  <si>
    <t>AA</t>
  </si>
  <si>
    <t>v2.0</t>
  </si>
  <si>
    <t>Removed backround_pa_confidence, PM_emissions_confidence and CO2_emissions_confidence parameter values as not needed for constant model run, updated cycling MET source, set minimum_pt_time to 5</t>
  </si>
  <si>
    <t>v2.1</t>
  </si>
  <si>
    <t>Introduced a new parameter called TREAT_TAXI_AS_CAR, which treats taxis as cars (and essentially adds taxi's distance to car/car_driver)</t>
  </si>
  <si>
    <t>v2.2</t>
  </si>
  <si>
    <t>Set TREAT_TAXI_AS_CAR to FALSE</t>
  </si>
  <si>
    <t>v3.0</t>
  </si>
  <si>
    <t>updated the SIN coefficients using the random effects values from the meta analysis</t>
  </si>
  <si>
    <t>v3.1</t>
  </si>
  <si>
    <t>Replaced big_truck with heavy_truck</t>
  </si>
  <si>
    <t>v3.2</t>
  </si>
  <si>
    <t>Set auto_rickshaw speed to 4, same as default speed in model</t>
  </si>
  <si>
    <t>v3.3</t>
  </si>
  <si>
    <t>Updated references</t>
  </si>
  <si>
    <t>parameter</t>
  </si>
  <si>
    <t>detail</t>
  </si>
  <si>
    <t>bogota</t>
  </si>
  <si>
    <t>speeds</t>
  </si>
  <si>
    <t>auto_rickshaw</t>
  </si>
  <si>
    <t>bus</t>
  </si>
  <si>
    <t>car</t>
  </si>
  <si>
    <t>cycle</t>
  </si>
  <si>
    <t>subway</t>
  </si>
  <si>
    <t>motorcycle</t>
  </si>
  <si>
    <t>other</t>
  </si>
  <si>
    <t>pedestrian</t>
  </si>
  <si>
    <t>rail</t>
  </si>
  <si>
    <t>taxi</t>
  </si>
  <si>
    <t>truck</t>
  </si>
  <si>
    <t>van</t>
  </si>
  <si>
    <t>PM_emission_inventories</t>
  </si>
  <si>
    <t>bus_driver</t>
  </si>
  <si>
    <t>heavy_truck</t>
  </si>
  <si>
    <t>injury_reporting_rate</t>
  </si>
  <si>
    <t>constant</t>
  </si>
  <si>
    <t>alpha</t>
  </si>
  <si>
    <t>beta</t>
  </si>
  <si>
    <t>chronic_disease_scalar</t>
  </si>
  <si>
    <t>mean</t>
  </si>
  <si>
    <t>sd</t>
  </si>
  <si>
    <t>pm_conc_base</t>
  </si>
  <si>
    <t>pm_trans_share</t>
  </si>
  <si>
    <t>background_pa_scalar</t>
  </si>
  <si>
    <t>bus_walk_time</t>
  </si>
  <si>
    <t>rail_walk_time</t>
  </si>
  <si>
    <t>add_personal_motorcycle_trips</t>
  </si>
  <si>
    <t>no</t>
  </si>
  <si>
    <t>proportion_motorcycle_trips</t>
  </si>
  <si>
    <t>add_motorcycle_fleet</t>
  </si>
  <si>
    <t>T</t>
  </si>
  <si>
    <t>fleet_to_motorcycle_ratio</t>
  </si>
  <si>
    <t>background_pa_confidence</t>
  </si>
  <si>
    <t>sample</t>
  </si>
  <si>
    <t>add_walk_to_pt_trips</t>
  </si>
  <si>
    <t>bus_to_passenger_ratio</t>
  </si>
  <si>
    <t>truck_to_car_ratio</t>
  </si>
  <si>
    <t>PM_emission_confidence</t>
  </si>
  <si>
    <t>distance_scalar_car_taxi</t>
  </si>
  <si>
    <t>distance_scalar_motorcycle</t>
  </si>
  <si>
    <t>distance_scalar_pt</t>
  </si>
  <si>
    <t>distance_scalar_walking</t>
  </si>
  <si>
    <t>distance_scalar_cycling</t>
  </si>
  <si>
    <t>CO2_emission_inventories</t>
  </si>
  <si>
    <t>CO2_emission_confidence</t>
  </si>
  <si>
    <t>car_occupancy_ratio</t>
  </si>
  <si>
    <t>country</t>
  </si>
  <si>
    <t>Colombia</t>
  </si>
  <si>
    <t>continent</t>
  </si>
  <si>
    <t>Latin_America</t>
  </si>
  <si>
    <t>bus_driver_prop_male</t>
  </si>
  <si>
    <t>bus_driver_male_agerange</t>
  </si>
  <si>
    <t>19, 62</t>
  </si>
  <si>
    <t>bus_driver_female_agerange</t>
  </si>
  <si>
    <t>19, 57</t>
  </si>
  <si>
    <t>truck_driver_prop_male</t>
  </si>
  <si>
    <t>truck_driver_male_agerange</t>
  </si>
  <si>
    <t>18, 62</t>
  </si>
  <si>
    <t>truck_driver_female_agerange</t>
  </si>
  <si>
    <t>18, 57</t>
  </si>
  <si>
    <t>commerical_mbike_prop_male</t>
  </si>
  <si>
    <t>commerical_mbike_male_agerange</t>
  </si>
  <si>
    <t>commerical_mbike_female_agerange</t>
  </si>
  <si>
    <t>day_to_week_scalar</t>
  </si>
  <si>
    <t>treat_taxi_as_car</t>
  </si>
  <si>
    <t>F</t>
  </si>
  <si>
    <t>List of parameters found in all_city_parameter_inputs</t>
  </si>
  <si>
    <t>Values that have been entered manually</t>
  </si>
  <si>
    <t>Values read in from other locations</t>
  </si>
  <si>
    <t>Location column</t>
  </si>
  <si>
    <t>Row location</t>
  </si>
  <si>
    <t>Default lookup</t>
  </si>
  <si>
    <t>Grouped sources lookup</t>
  </si>
  <si>
    <t>Location</t>
  </si>
  <si>
    <t>Parameter</t>
  </si>
  <si>
    <t>Detail</t>
  </si>
  <si>
    <t>Value</t>
  </si>
  <si>
    <t>Default value</t>
  </si>
  <si>
    <t>Classification</t>
  </si>
  <si>
    <t>Location of data (e.g. in v-drive, web link)</t>
  </si>
  <si>
    <t>Source of data</t>
  </si>
  <si>
    <t>Comments</t>
  </si>
  <si>
    <t>average speeds between London and Delhi travel surveys and where the speeds for Delhi are higher than those for London, the London speeds are chosen</t>
  </si>
  <si>
    <t>https://edgar.jrc.ec.europa.eu/, obtained values based on private correspondence</t>
  </si>
  <si>
    <t>EDGAR, 2018</t>
  </si>
  <si>
    <t xml:space="preserve">https://www.who.int/publications/i/item/9789241565684 </t>
  </si>
  <si>
    <t>WHO report giving reported and estimated injury statistics at a country level. The underreporting for Colombia is approx 20% but we assumed that the underreporting at a city level is half this value, i.e. 10%. So parameter was set to 1-0.1= 0.9</t>
  </si>
  <si>
    <t>assumes no bias in the disease data, distribution values need updating</t>
  </si>
  <si>
    <t xml:space="preserve">https://www.who.int/publications/m/item/who-air-quality-database-2022 </t>
  </si>
  <si>
    <t>WHO Air Quality Database, Update 2022</t>
  </si>
  <si>
    <t>HEYDARI, S., TAINIO, M., WOODCOCK, J. &amp; DE NAZELLE, A. 2020. Estimating traffic contribution to particulate matter concentration in urban areas using a multilevel Bayesian meta-regression approach. Environment international, 141, 105800.</t>
  </si>
  <si>
    <t>EDGAR and various other sources, detailed in document</t>
  </si>
  <si>
    <t>deduced values</t>
  </si>
  <si>
    <t xml:space="preserve">assumes no bias in PA data (could be improved by looking at PA surveys) </t>
  </si>
  <si>
    <t>https://www.datos.gov.co/Transporte/Encuesta-de-movilidad-de-Bogot-2015-Caracterizaci-/mvbb-bn7j</t>
  </si>
  <si>
    <t>median walking stage duration for all bus trips with a walking stage in the Bogota 2019 travel survey</t>
  </si>
  <si>
    <t>Sao Paulo: https://transparencia.metrosp.com.br/dataset/pesquisa-de-mobilidade-urbana
Mexico City: http://www.beta.inegi.org.mx/programas/eod/2017/</t>
  </si>
  <si>
    <t>average of median walking stage duration for all rail trips with a walking stage in the Sao Paulo 2017 and the Mexico City 2017 travel surveys</t>
  </si>
  <si>
    <t>Bogotá travel survey contains motorcycle trips</t>
  </si>
  <si>
    <t>want to add commercial motorcycle trips</t>
  </si>
  <si>
    <t xml:space="preserve">https://scioteca.caf.com/bitstream/handle/123456789/754/CAF%20LIBRO%20motos%20digital.pdf?sequence=1&amp;isAllowed=y </t>
  </si>
  <si>
    <t xml:space="preserve">Rodríguez 2015 </t>
  </si>
  <si>
    <t>Not used for constant run</t>
  </si>
  <si>
    <t>Want to include all walk to pt trips</t>
  </si>
  <si>
    <t>WRI Mexico: https://www.dtpm.cl/descargas/estudios/Estudio%20evaluaci%C3%B3n%20Transantiago%202016.pdf  
Camara de comercio: https://bibliotecadigital.ccb.org.co/handle/11520/25083</t>
  </si>
  <si>
    <t xml:space="preserve">Get number of passengers per km, speed and passenger duration from WRI Mèxico, Cámara de comercio de Bogotá gives proportion of each bus type </t>
  </si>
  <si>
    <t>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t>
  </si>
  <si>
    <t xml:space="preserve">Banco de desarollo to get car vehicle kilometres travelled by car and Cano Torres to get HGV km </t>
  </si>
  <si>
    <t>set to 1 as distances in travel survey are expected to be without bias</t>
  </si>
  <si>
    <t xml:space="preserve">https://www.autofact.com.co/blog/mi-carro/actividades/carpooling-colombia </t>
  </si>
  <si>
    <t xml:space="preserve">Autofact, 2022 </t>
  </si>
  <si>
    <t>https://www.despacio.org/wp-content/uploads/2020/03/mujeresbogotalascuentas20200303web.pdf, p.90</t>
  </si>
  <si>
    <t>Moscoso, 2020</t>
  </si>
  <si>
    <t>Sí hay empleo para ser operadores de TransMilenio, https://www.oecd.org/els/public-pensions/OECD-Pension-Policy-Notes-Colombia.pdf, One year of driving experience is required and you can get your licence with 18, retirement age for men is 62</t>
  </si>
  <si>
    <t>Transmilenio, 2019, OECD data explorer, 2020</t>
  </si>
  <si>
    <t>Sí hay empleo para ser operadores de  https://www.oecd.org/els/public-pensions/OECD-Pension-Policy-Notes-Colombia.pdf, One year of driving experience is required and you can get your licence with 18, retirement age for women is 57</t>
  </si>
  <si>
    <t>Guesstimate, in 2020, 2.328 females had driving licence for tractocamiones (trucks? https://www.busesycamioneschevrolet.com.co/blog/mujeres-y-madres-transportadoras-un-mundo-que-cada-vez-crece-mas/), used same percentage as for male bus drivers</t>
  </si>
  <si>
    <t>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t>
  </si>
  <si>
    <t>Autofact, 2024, OECD data explorer, 2020</t>
  </si>
  <si>
    <t>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t>
  </si>
  <si>
    <t>La motocicleta en América Latina (CAF LIBRO motos digital.pdf)</t>
  </si>
  <si>
    <t>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retirement age for men is 62</t>
  </si>
  <si>
    <t>Rodríguez 2015 , OECD data explorer 2020</t>
  </si>
  <si>
    <t>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p.150, retirement age for women is 57</t>
  </si>
  <si>
    <t>Assumption that travel in travel survey represents a typical day within a week</t>
  </si>
  <si>
    <t>global</t>
  </si>
  <si>
    <t>sin_exponent_sum</t>
  </si>
  <si>
    <t>casualty_exponent_fraction</t>
  </si>
  <si>
    <t>sin_exponent_sum_nov</t>
  </si>
  <si>
    <t>sin_exponent_sum_cycle</t>
  </si>
  <si>
    <t>casualty_exponent_fraction_cycle</t>
  </si>
  <si>
    <t>sin_exponent_sum_ped</t>
  </si>
  <si>
    <t>casualty_exponent_fraction_ped</t>
  </si>
  <si>
    <t>sin_exponent_sum_veh</t>
  </si>
  <si>
    <t>casualty_exponent_fraction_veh</t>
  </si>
  <si>
    <t>call_individual_sin</t>
  </si>
  <si>
    <t>add_truck_drivers</t>
  </si>
  <si>
    <t>add_bus_drivers</t>
  </si>
  <si>
    <t>add_car_drivers</t>
  </si>
  <si>
    <t>pa_dr_quantile_city1</t>
  </si>
  <si>
    <t>ap_dr_quantile_city1</t>
  </si>
  <si>
    <t>min_age</t>
  </si>
  <si>
    <t>max_age</t>
  </si>
  <si>
    <t>dist_cat</t>
  </si>
  <si>
    <t>0-2 km, 2-6 km, 6+ km</t>
  </si>
  <si>
    <t>outcome_age_min</t>
  </si>
  <si>
    <t>15, 50</t>
  </si>
  <si>
    <t>outcome_age_max</t>
  </si>
  <si>
    <t>49, 69</t>
  </si>
  <si>
    <t>outcome_age_groups</t>
  </si>
  <si>
    <t>15-49, 50-69</t>
  </si>
  <si>
    <t>minimum_pt_time</t>
  </si>
  <si>
    <t>moderate_pa_contribution</t>
  </si>
  <si>
    <t xml:space="preserve">Compendium of physical activity https://sites.google.com/site/compendiumofphysicalactivities/Activity-Categories/bicycling?authuser=1 </t>
  </si>
  <si>
    <t>Compendium of physical activity 16060 https://sites.google.com/site/compendiumofphysicalactivities/Activity-Categories/transportation?authuser=0</t>
  </si>
  <si>
    <t>Compendium of physical activity 16015-15016 https://sites.google.com/site/compendiumofphysicalactivities/Activity-Categories/transportation?authuser=1</t>
  </si>
  <si>
    <t>Compendium of physical activity 16010 https://sites.google.com/site/compendiumofphysicalactivities/Activity-Categories/transportation?authuser=2</t>
  </si>
  <si>
    <t>Compendium of physical activity 16030 https://sites.google.com/site/compendiumofphysicalactivities/Activity-Categories/transportation?authuser=3</t>
  </si>
  <si>
    <t>Compendium of physical activity 05080 https://sites.google.com/site/compendiumofphysicalactivities/Activity-Categories/home-activity?authuser=0</t>
  </si>
  <si>
    <t>Compendium of physical activity 05160 (https://sites.google.com/site/compendiumofphysicalactivities/Activity-Categories/home-activity?authuser=1</t>
  </si>
  <si>
    <t>--</t>
  </si>
  <si>
    <t>GPAQ. P3. https://www.who.int/docs/default-source/ncds/ncd-surveillance/gpaq-analysis-guide.pdf</t>
  </si>
  <si>
    <t>see Safety in Numbers tab</t>
  </si>
  <si>
    <t>Assumed that individual safety in number coefficients give more accurate results, see Safety in Numbers tab</t>
  </si>
  <si>
    <t>set to true as this mode is not given in travel survey</t>
  </si>
  <si>
    <t>pa_dose_response_quantile</t>
  </si>
  <si>
    <t>Whether or not to sample from DR curves, set for first city and then repeated for all other cities</t>
  </si>
  <si>
    <t>set to true as want to sample from DR curves in VoI analysis</t>
  </si>
  <si>
    <t>ap_dose_response_quantile</t>
  </si>
  <si>
    <t>age_range</t>
  </si>
  <si>
    <t>to include working population</t>
  </si>
  <si>
    <t>seemed like a sensible assumption</t>
  </si>
  <si>
    <t>no default values</t>
  </si>
  <si>
    <t>output</t>
  </si>
  <si>
    <t>Classification of age ranges for reporting of results</t>
  </si>
  <si>
    <t>Note that any values given in the all_city_parameter_inputs or all_global_parameter_inputs tabs overwrite the given default values</t>
  </si>
  <si>
    <t>Parameter name in all_xxx_parameter_inputs</t>
  </si>
  <si>
    <t>Default parameter values</t>
  </si>
  <si>
    <t>Defined in</t>
  </si>
  <si>
    <t>Type</t>
  </si>
  <si>
    <t>Default Value</t>
  </si>
  <si>
    <t>Global / city specific</t>
  </si>
  <si>
    <t>Pollution values</t>
  </si>
  <si>
    <t>PM_CONC_BASE</t>
  </si>
  <si>
    <t>background PM2.5 concentration</t>
  </si>
  <si>
    <t>all_city_parameter_inputs tab / ithim_setup_parameters.R</t>
  </si>
  <si>
    <t>scalar / lognormal</t>
  </si>
  <si>
    <t xml:space="preserve">City specific </t>
  </si>
  <si>
    <t>Used Bogota values</t>
  </si>
  <si>
    <t>PM_TRANS_SHARE</t>
  </si>
  <si>
    <t>proportion of background PM2.5 attributable to transport</t>
  </si>
  <si>
    <t>Scalar / beta distribution</t>
  </si>
  <si>
    <t>City specific</t>
  </si>
  <si>
    <r>
      <t xml:space="preserve">HEYDARI, S., TAINIO, M., WOODCOCK, J. &amp; DE NAZELLE, A. 2020. Estimating traffic contribution to particulate matter concentration in urban areas using a multilevel Bayesian meta-regression approach. </t>
    </r>
    <r>
      <rPr>
        <i/>
        <sz val="11"/>
        <color theme="1"/>
        <rFont val="等线"/>
        <family val="2"/>
        <scheme val="minor"/>
      </rPr>
      <t>Environment international,</t>
    </r>
    <r>
      <rPr>
        <sz val="11"/>
        <color theme="1"/>
        <rFont val="等线"/>
        <family val="2"/>
        <scheme val="minor"/>
      </rPr>
      <t xml:space="preserve"> 141</t>
    </r>
    <r>
      <rPr>
        <b/>
        <sz val="11"/>
        <color theme="1"/>
        <rFont val="等线"/>
        <family val="2"/>
        <scheme val="minor"/>
      </rPr>
      <t>,</t>
    </r>
    <r>
      <rPr>
        <sz val="11"/>
        <color theme="1"/>
        <rFont val="等线"/>
        <family val="2"/>
        <scheme val="minor"/>
      </rPr>
      <t xml:space="preserve"> 105800.</t>
    </r>
  </si>
  <si>
    <t>Deduced values</t>
  </si>
  <si>
    <t>PM_EMISSION_INVENTORY_CONFIDENCE</t>
  </si>
  <si>
    <t>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</si>
  <si>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Scalar</t>
  </si>
  <si>
    <t>set to 1 for constant mode</t>
  </si>
  <si>
    <t>PM_emission_inventories motorcycle</t>
  </si>
  <si>
    <t>PM_emission_inventory motorcycle</t>
  </si>
  <si>
    <t>- Used to estimate the PM for scenarios (function "scenario_pm_calculations").
- used as reference to compute confidence around it (function "ithim_setup_parameters").
- used to create VEHICLE_INVENTORY, with speeds, PM and CO2 emissions (function "set_vehicle_inventory").</t>
  </si>
  <si>
    <t>all_city_parameter_inputs tab / run_ithim_setup.R</t>
  </si>
  <si>
    <t>PM_emission_inventories car</t>
  </si>
  <si>
    <t>PM_emission_inventory car</t>
  </si>
  <si>
    <t>EDGAR, 2019</t>
  </si>
  <si>
    <t>PM_emission_inventories bus_driver</t>
  </si>
  <si>
    <t>PM_emission_inventory bus driver</t>
  </si>
  <si>
    <t>EDGAR, 2020</t>
  </si>
  <si>
    <t>PM_emission_inventories heavy_truck</t>
  </si>
  <si>
    <t>PM_emission_inventory heavy_truck</t>
  </si>
  <si>
    <t>EDGAR, 2021</t>
  </si>
  <si>
    <t>PM_emission_inventories truck</t>
  </si>
  <si>
    <t>PM_emission_inventory truck</t>
  </si>
  <si>
    <t>EDGAR, 2022</t>
  </si>
  <si>
    <t>PM_emission_inventories van</t>
  </si>
  <si>
    <t>PM_emission_inventory van</t>
  </si>
  <si>
    <t>EDGAR, 2023</t>
  </si>
  <si>
    <t>PM_emission_inventories other</t>
  </si>
  <si>
    <t>PM_emission_inventory other</t>
  </si>
  <si>
    <t>EDGAR, 2024</t>
  </si>
  <si>
    <t>PM_emission_inventories taxi</t>
  </si>
  <si>
    <t>PM_emission_inventory taxi</t>
  </si>
  <si>
    <t>EDGAR, 2025</t>
  </si>
  <si>
    <t>PM_emission_inventories auto_rickshaw</t>
  </si>
  <si>
    <t>PM_emission_inventory auto_rickshaw</t>
  </si>
  <si>
    <t>EDGAR, 2026</t>
  </si>
  <si>
    <t>CO2_EMISSION_INVENTORY_CONFIDENCE</t>
  </si>
  <si>
    <t>how confident we are about the CO2 emissions inventory (equivalent to PM_EMISSION_INVENTORY_CONFIDENCE)</t>
  </si>
  <si>
    <t>CO2_emission_inventories motorcycle</t>
  </si>
  <si>
    <t>CO2_emission_inventory motorcycle</t>
  </si>
  <si>
    <t>- used to estimate the CO2 for scenarios (function "scenario_co2_calculations").
- used to create the VEHICLE_INVENTORY, with speeds, PM and CO2 emissions (function "set_vehicle_inventory").</t>
  </si>
  <si>
    <t>CO2_emission_inventories car</t>
  </si>
  <si>
    <t>CO2_emission_inventory car</t>
  </si>
  <si>
    <t>CO2_emission_inventories bus_driver</t>
  </si>
  <si>
    <t>CO2_emission_inventory bus driver</t>
  </si>
  <si>
    <t>CO2_emission_inventories heavy_truck</t>
  </si>
  <si>
    <t>CO2_emission_inventory heavy_truck</t>
  </si>
  <si>
    <t>CO2_emission_inventories truck</t>
  </si>
  <si>
    <t>CO2_emission_inventory truck</t>
  </si>
  <si>
    <t>CO2_emission_inventories van</t>
  </si>
  <si>
    <t>CO2_emission_inventory van</t>
  </si>
  <si>
    <t>CO2_emission_inventories other</t>
  </si>
  <si>
    <t>CO2_emission_inventory other</t>
  </si>
  <si>
    <t>CO2_emission_inventories taxi</t>
  </si>
  <si>
    <t>CO2_emission_inventory taxi</t>
  </si>
  <si>
    <t>CO2_emission_inventories auto_rickshaw</t>
  </si>
  <si>
    <t>CO2_emission_inventory auto_rickshaw</t>
  </si>
  <si>
    <t>PA values</t>
  </si>
  <si>
    <t>BACKGROUND_PA_CONFIDENCE</t>
  </si>
  <si>
    <t>how confident we are in the PA survey (in terms of number of people who report zero PA)</t>
  </si>
  <si>
    <t>Scalar between 0 and 1</t>
  </si>
  <si>
    <t>set to 1 if confident in background PA values</t>
  </si>
  <si>
    <t>BACKGROUND_PA_SCALAR</t>
  </si>
  <si>
    <t>scalar for physical activity</t>
  </si>
  <si>
    <t>set to 1 if no bias expected</t>
  </si>
  <si>
    <t>all_global_parameter_inputs tab / run_ithim_setup.R</t>
  </si>
  <si>
    <t>Global</t>
  </si>
  <si>
    <t>https://sites.google.com/site/compendiumofphysicalactivities/Activity-Categories/transportation?authuser=1</t>
  </si>
  <si>
    <t xml:space="preserve">Compendium of physical activity 01011 </t>
  </si>
  <si>
    <t>https://sites.google.com/site/compendiumofphysicalactivities/Activity-Categories/transportation?authuser=2</t>
  </si>
  <si>
    <t>Compendium of physical activity 16060</t>
  </si>
  <si>
    <t>https://sites.google.com/site/compendiumofphysicalactivities/Activity-Categories/transportation?authuser=3</t>
  </si>
  <si>
    <t xml:space="preserve">Compendium of physical activity 16015-15016 </t>
  </si>
  <si>
    <t>https://sites.google.com/site/compendiumofphysicalactivities/Activity-Categories/transportation?authuser=4</t>
  </si>
  <si>
    <t>Compendium of physical activity 16010</t>
  </si>
  <si>
    <t>https://sites.google.com/site/compendiumofphysicalactivities/Activity-Categories/transportation?authuser=5</t>
  </si>
  <si>
    <t xml:space="preserve">Compendium of physical activity 16030 </t>
  </si>
  <si>
    <t>https://sites.google.com/site/compendiumofphysicalactivities/Activity-Categories/home-activity?authuser=0</t>
  </si>
  <si>
    <t xml:space="preserve">Compendium of physical activity 05080 </t>
  </si>
  <si>
    <t>https://sites.google.com/site/compendiumofphysicalactivities/Activity-Categories/home-activity?authuser=1</t>
  </si>
  <si>
    <t>https://www.who.int/docs/default-source/ncds/ncd-surveillance/gpaq-analysis-guide.pdf</t>
  </si>
  <si>
    <t xml:space="preserve">GPAQ </t>
  </si>
  <si>
    <t>MODERATE_PA_CONTRIBUTION</t>
  </si>
  <si>
    <t>To reverse  time spent in moderate and vigorous activities from mmet values</t>
  </si>
  <si>
    <t xml:space="preserve">scalar  </t>
  </si>
  <si>
    <t>We are assuming a 50:50 split between moderate and vigorous physical activity levels as our default</t>
  </si>
  <si>
    <t>guestimate</t>
  </si>
  <si>
    <t>Travel values</t>
  </si>
  <si>
    <t xml:space="preserve">BUS_WALK_TIME </t>
  </si>
  <si>
    <t>time taken to walk to bus stop, added to each trip with main mode bus unless there is already a walking component in the travel survey</t>
  </si>
  <si>
    <t>all_city_parameter_inputs tab / main script / run_ithim_setup.R</t>
  </si>
  <si>
    <t>RAIL_WALK_TIME</t>
  </si>
  <si>
    <t>time taken to walk to train station</t>
  </si>
  <si>
    <t xml:space="preserve">DAY_TO_WEEK_TRAVEL_SCALAR </t>
  </si>
  <si>
    <t>how daily travel scales to a week</t>
  </si>
  <si>
    <t>set to 7 as default assuming that travel survey data represents a an average day</t>
  </si>
  <si>
    <t>BUS_TO_PASSENGER_RATIO</t>
  </si>
  <si>
    <t>number of buses per passenger</t>
  </si>
  <si>
    <t>CAR_OCCUPANCY_RATIO</t>
  </si>
  <si>
    <t>ratio of cars to passengers (incl driver)</t>
  </si>
  <si>
    <t>TRUCK_TO_CAR_RATIO</t>
  </si>
  <si>
    <t>ratio of truck kilometers to car km travelled, used to add ghost trips that are not changed between the different scenarios</t>
  </si>
  <si>
    <t>DISTANCE_SCALAR_CAR_TAXI</t>
  </si>
  <si>
    <t>scalar for car/taxi distance, i.e. all car and taxi trips get scaled by this scalar</t>
  </si>
  <si>
    <t>set to 1 for default to indicate that no changes are to be made to travel survey distances</t>
  </si>
  <si>
    <t>DISTANCE_SCALAR_WALKING</t>
  </si>
  <si>
    <t>scalar for walking distance, i.e. all walking trips are scaled by this scalar</t>
  </si>
  <si>
    <t>DISTANCE_SCALAR_PT</t>
  </si>
  <si>
    <t>scalar for PT distance, i.e. all public transport journey (incl bus driver if added) are scaled by this scalar</t>
  </si>
  <si>
    <t>DISTANCE_SCALAR_CYCLING</t>
  </si>
  <si>
    <t>scalar for cycling distance, i.e. all cycling trips are scaled by this scalar</t>
  </si>
  <si>
    <t>DISTANCE_SCALAR_MOTORCYCLE</t>
  </si>
  <si>
    <t>scalar for motorcycle distance, i.e. all motorbike trips are scaled by this scalar</t>
  </si>
  <si>
    <t>ADD_TRUCK_DRIVERS</t>
  </si>
  <si>
    <t>whether to add truck drivers as ghost trips based on the TRUCK_TO_CAR_RATIO</t>
  </si>
  <si>
    <t>Logical</t>
  </si>
  <si>
    <t>mode is important for injury and AP analysis and so should be added as default</t>
  </si>
  <si>
    <t>ADD_BUS_DRIVERS</t>
  </si>
  <si>
    <t>whether to add bus drivers, if set to T adds ghost trips, i.e. trips not taken by any participant, using the bus_to_passenger_ratio</t>
  </si>
  <si>
    <t>ADD_CAR_DRIVERS</t>
  </si>
  <si>
    <t>whether or not to add car drivers (or rather look at car numbers). Individual cars are calculated by multiplying total passenger car km by the car_occupancy_ratio</t>
  </si>
  <si>
    <t>mode is important for CO2 analysis and so should be added as default</t>
  </si>
  <si>
    <t>ADD_WALK_TO_PT_TRIPS</t>
  </si>
  <si>
    <t>whether to add walk component to trips with main mode bus</t>
  </si>
  <si>
    <t>logical</t>
  </si>
  <si>
    <t>set to T as it is important to add walk to public transport trips to accurately model all physical activity related to travelling</t>
  </si>
  <si>
    <t>ADD_PERSONAL_MOTORCYCLE_TRIPS</t>
  </si>
  <si>
    <t>if set to 'no', does not add any personal journey motorcycle trip. If set to 'Chile' add motorcycle trips based on Chilean data. Used if no motorcycle trips exist in the travel survey at all</t>
  </si>
  <si>
    <t>character</t>
  </si>
  <si>
    <t>most travel surveys already include personal motorcycle trips and so the default value is 'no'</t>
  </si>
  <si>
    <t>PROPORTION_MOTORCYCLE_TRIPS</t>
  </si>
  <si>
    <t>proportion of travel survey trips that should be added as motorcycle trips</t>
  </si>
  <si>
    <t>as most travel surveys already include personal motorcycle trips, 0 % of trips need to be added as motorcycle trips</t>
  </si>
  <si>
    <t>ADD_MOTORCYCLE_FLEET</t>
  </si>
  <si>
    <t>whether to add motorcylce ghost trips</t>
  </si>
  <si>
    <t>important to add commercial motorcycle trips for injury analysis</t>
  </si>
  <si>
    <t>FLEET_TO_MOTORCYCLE_RATIO</t>
  </si>
  <si>
    <t xml:space="preserve">ratio of missing motorbike trips, e.g. if ratio = 0.6 and total trip distance in survey is 400, then want to add 600 km of motorbike trips. </t>
  </si>
  <si>
    <t>BUS_DRIVER_PROP_MALE</t>
  </si>
  <si>
    <t>proportion of bus drivers that are male</t>
  </si>
  <si>
    <t>scalar</t>
  </si>
  <si>
    <t xml:space="preserve">www.despacio.org/hacemos </t>
  </si>
  <si>
    <t>BUS_DRIVER_MALE_AGERANGE</t>
  </si>
  <si>
    <t>age range of male bus drivers</t>
  </si>
  <si>
    <t>19, 65</t>
  </si>
  <si>
    <t>https://www.transmilenio.gov.co/publicaciones/146291/si-hay-empleo-para-ser-operadores-de-transmilenio/</t>
  </si>
  <si>
    <t>Transmilenio, 2019</t>
  </si>
  <si>
    <t>BUS_DRIVER_FEMALE_AGERANGE</t>
  </si>
  <si>
    <t>age range of female bus drivers</t>
  </si>
  <si>
    <t>TRUCK_DRIVER_PROP_MALE</t>
  </si>
  <si>
    <t>proportion of male truck drivers</t>
  </si>
  <si>
    <t>Estimate based on the number of  male bus drivers</t>
  </si>
  <si>
    <t>TRUCK_DRIVER_MALE_AGERANGE</t>
  </si>
  <si>
    <t>age range of male truck drivers</t>
  </si>
  <si>
    <t>18, 65</t>
  </si>
  <si>
    <t>Estimate as you can get your truck licence at the age of 18</t>
  </si>
  <si>
    <t>TRUCK_DRIVER_FEMALE_AGERANGE</t>
  </si>
  <si>
    <t>age range of female truck drivers</t>
  </si>
  <si>
    <t>Estimate as you can get your truck licence at the age of 19</t>
  </si>
  <si>
    <t>COMMERICAL_MBIKE_PROP_MALE</t>
  </si>
  <si>
    <t>proportion of male commercial motorcycle drivers</t>
  </si>
  <si>
    <t>COMMERICAL_MBIKE_MALE_AGERANGE</t>
  </si>
  <si>
    <t>age range of male commercial motorcycle drivers</t>
  </si>
  <si>
    <t>Rodríguez 2016</t>
  </si>
  <si>
    <t>COMMERICAL_MBIKE_FEMALE_AGERANGE</t>
  </si>
  <si>
    <t>age range of female commercial motorcycle drivers</t>
  </si>
  <si>
    <t>Rodríguez 2017</t>
  </si>
  <si>
    <t>MINIMUM_PT_TIME</t>
  </si>
  <si>
    <t>minimum time spent on public transport when adding walking component to public transport trip</t>
  </si>
  <si>
    <t>Seems a reasonable estimate</t>
  </si>
  <si>
    <t>speeds bus</t>
  </si>
  <si>
    <t>-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</si>
  <si>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speeds bus_driver</t>
  </si>
  <si>
    <t>set to bus speeds</t>
  </si>
  <si>
    <t>speeds minibus</t>
  </si>
  <si>
    <t>speeds minibus_driver</t>
  </si>
  <si>
    <t>speeds car</t>
  </si>
  <si>
    <t>speeds car_driver</t>
  </si>
  <si>
    <t>set to car speeds</t>
  </si>
  <si>
    <t>speeds taxi</t>
  </si>
  <si>
    <t>speeds pedestrian</t>
  </si>
  <si>
    <t>speeds walk_to_pt</t>
  </si>
  <si>
    <t>set to pedestrian speed</t>
  </si>
  <si>
    <t>speeds cycle</t>
  </si>
  <si>
    <t>used Bogota values</t>
  </si>
  <si>
    <t>speeds motorcycle</t>
  </si>
  <si>
    <t>speeds truck</t>
  </si>
  <si>
    <t>speeds van</t>
  </si>
  <si>
    <t>speeds subway</t>
  </si>
  <si>
    <t>speeds rail</t>
  </si>
  <si>
    <t>speeds auto_rickshaw</t>
  </si>
  <si>
    <t>speeds in Delhi travel survey</t>
  </si>
  <si>
    <t>Set to Delhi value</t>
  </si>
  <si>
    <t>speeds shared_auto</t>
  </si>
  <si>
    <t>speeds shared_taxi</t>
  </si>
  <si>
    <t>speeds cylce_rickshaw</t>
  </si>
  <si>
    <t>set to auto_rickshaw</t>
  </si>
  <si>
    <t>speeds other</t>
  </si>
  <si>
    <t>Health values</t>
  </si>
  <si>
    <t>PA_DOSE_RESPONSE_QUANTILE</t>
  </si>
  <si>
    <t>whether or not to sample from dose response curves</t>
  </si>
  <si>
    <t>set to F as default to use 50th quartile, i.e. median of dose response curves</t>
  </si>
  <si>
    <t>AP_DOSE_RESPONSE_QUANTILE</t>
  </si>
  <si>
    <t>CHRONIC_DISEASE_SCALAR</t>
  </si>
  <si>
    <t>scalar for GBD data</t>
  </si>
  <si>
    <t>set to 1 as default as no bias in GBD data assumed</t>
  </si>
  <si>
    <t>Injury values</t>
  </si>
  <si>
    <t>INJURY_REPORTING_RATE</t>
  </si>
  <si>
    <t>rate at which injuries are reported</t>
  </si>
  <si>
    <t>set to 1 as default assuming all fatal injuries are reported</t>
  </si>
  <si>
    <t>SIN_EXPONENT_SUM</t>
  </si>
  <si>
    <t>linearity of injuries with respect to two modes. SIN_EXPONENT_SUM=2 means no safety in numbers</t>
  </si>
  <si>
    <t>Set to 2 as default, assuming no safety in number effect</t>
  </si>
  <si>
    <t>CASUALTY_EXPONENT_FRACTION</t>
  </si>
  <si>
    <t>fraction of SIN_EXPONENT_SUM attributed to casualy mode</t>
  </si>
  <si>
    <t>Set to 0.5 as default, assuming no safety in number effect</t>
  </si>
  <si>
    <t>SIN_EXPONENT_SUM_NOV</t>
  </si>
  <si>
    <t>same as global SIN_EXPONENT_SUM but only applies to NOV fatalities which means that this coefficient is only relevant for casualty mode and does not get split between cas and str modes.</t>
  </si>
  <si>
    <t>Set to 1 as default, assuming no safety in number effect</t>
  </si>
  <si>
    <t>SIN_EXPONENT_SUM_CYCLE</t>
  </si>
  <si>
    <t>same as global SIN_EXPONENT_SUM but only applies to cycle fatalities</t>
  </si>
  <si>
    <t>CASUALTY_EXPONENT_FRACTION_CYCLE</t>
  </si>
  <si>
    <t>same as global CASUALTY_EXPONENT_FRACTION but only applies to cycle fatalities</t>
  </si>
  <si>
    <t>SIN_EXPONENT_SUM_PED</t>
  </si>
  <si>
    <t>same as global SIN_EXPONENT_SUM but only applies to pedestrian fatalities</t>
  </si>
  <si>
    <t>CASUALTY_EXPONENT_FRACTION_PED</t>
  </si>
  <si>
    <t>same as global CASUALTY_EXPONENT_FRACTION but only applies to pedestrian fatalities</t>
  </si>
  <si>
    <t>SIN_EXPONENT_SUM_VEH</t>
  </si>
  <si>
    <t>same as global SIN_EXPONENT_SUM but only applies to vehicle fatalities</t>
  </si>
  <si>
    <t>CASUALTY_EXPONENT_FRACTION_VEH</t>
  </si>
  <si>
    <t>same as global CASUALTY_EXPONENT_FRACTION but only applies vehicle fatalities</t>
  </si>
  <si>
    <t>CALL_INDIVIDUAL_SIN</t>
  </si>
  <si>
    <t>flag as to whether to use the overall safety in number parameters or, if if set to TRUE, call the safety in number exponents for different victim modes</t>
  </si>
  <si>
    <t>set to F as default to use the same safety in number coefficients for all modes</t>
  </si>
  <si>
    <t>Scenario parameters</t>
  </si>
  <si>
    <t>SCENARIO_NAME</t>
  </si>
  <si>
    <t>sets the scenario to be run:
TEST_WALK_SCENARIO
MAX_MODE_SHARE_SCENARIO
LATAM
GLOBAL
AFRICA_INDIA
BOGOTA</t>
  </si>
  <si>
    <t xml:space="preserve">main script </t>
  </si>
  <si>
    <t>GLOBAL</t>
  </si>
  <si>
    <t>Set to GLOBAL as default as this can also be used for Bogota</t>
  </si>
  <si>
    <t>REFERENCE_SCENARIO</t>
  </si>
  <si>
    <t>which scenario the other scenarios get compared to, this needs to be a scenario that corresponds to the input data (PA, injuries, demographics, etc)</t>
  </si>
  <si>
    <t>main script / run_ithim_setup.R</t>
  </si>
  <si>
    <t>Character</t>
  </si>
  <si>
    <t>Baseline'</t>
  </si>
  <si>
    <t>Set to 'Baseline' as default as new scenarios are commonly compared with the status quo</t>
  </si>
  <si>
    <t>Miscellaneous</t>
  </si>
  <si>
    <t>COUNTRY</t>
  </si>
  <si>
    <t>country where city lies in</t>
  </si>
  <si>
    <t>all_city_parameter_inputs tab</t>
  </si>
  <si>
    <t>Bogota</t>
  </si>
  <si>
    <t>City</t>
  </si>
  <si>
    <t>Set to Bogota values</t>
  </si>
  <si>
    <t>CONTINENT</t>
  </si>
  <si>
    <t xml:space="preserve">DIST_CAT </t>
  </si>
  <si>
    <t>distance categories for trip lengths</t>
  </si>
  <si>
    <t>categorical</t>
  </si>
  <si>
    <t>c("0-2 km", "2-6 km", "6+ km")</t>
  </si>
  <si>
    <t>Set to have three distance categories: 0-2km, 2-6km and 6+km as default</t>
  </si>
  <si>
    <t>AGE_RANGE</t>
  </si>
  <si>
    <t>age range considered</t>
  </si>
  <si>
    <t>c(15,69)</t>
  </si>
  <si>
    <t>can include age ranges from 0 to 99 (limit of IHD and stroke dose response functions) but most dose response functions are only valid for over 15 year olds and generally only working age population is considered</t>
  </si>
  <si>
    <t>Further input data includes global and local input files which get read in directly from within the ITHIM-Global R package:</t>
  </si>
  <si>
    <t>Further information on the respective datasets is given in the case_cities_data.xlsx document on Dropbox:</t>
  </si>
  <si>
    <t>Methods and Processes – Dropbox</t>
  </si>
  <si>
    <t>Dose response data for AP:</t>
  </si>
  <si>
    <t xml:space="preserve">.../ithimr/extdata/global/dose_response/drap/ </t>
  </si>
  <si>
    <t>(here … stands for the path where R is installed on the computer)</t>
  </si>
  <si>
    <t>Local</t>
  </si>
  <si>
    <t>City specific trips</t>
  </si>
  <si>
    <t xml:space="preserve">.../ithimr/extdata/local//CITY//trips_CITY.csv </t>
  </si>
  <si>
    <t>where CITY is replaced with the corresponding city for which the model is run</t>
  </si>
  <si>
    <t>City specific burden of disease</t>
  </si>
  <si>
    <t xml:space="preserve">.../ithimr/extdata/local//CITY//gbd_CITY.csv </t>
  </si>
  <si>
    <t xml:space="preserve">City specific population </t>
  </si>
  <si>
    <t>.../ithimr/extdata/local//CITY//population_CITY.csv</t>
  </si>
  <si>
    <t>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</si>
  <si>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</si>
  <si>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</si>
  <si>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</si>
  <si>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</si>
  <si>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E.g. for all PM_emission_inventories, the information can be found in the same word document which was manually added to the PM_emissions_inventories Accra location. For all other cities, the location that was given for Accra is copied.</t>
  </si>
  <si>
    <t>Rows highlighted in yellow give the city from which input sources are to be read</t>
  </si>
  <si>
    <t>Lookup</t>
  </si>
  <si>
    <t>Row reference</t>
  </si>
  <si>
    <t>Lookup reference</t>
  </si>
  <si>
    <t>city2</t>
  </si>
  <si>
    <t>Lookup tables</t>
  </si>
  <si>
    <t>Parameter in all_city_parameter_inputs or all_global_parameter_inputs</t>
  </si>
  <si>
    <t>PM_emission_inventory</t>
  </si>
  <si>
    <t>CO2_emission_inventory</t>
  </si>
  <si>
    <t>reference_scenario</t>
  </si>
  <si>
    <t>scenario_name</t>
  </si>
  <si>
    <t>Explanation of how the safety in number coefficients were derived</t>
  </si>
  <si>
    <r>
      <t>Two sets of safety in number coefficients are defined for casualty and for strike mode distances (</t>
    </r>
    <r>
      <rPr>
        <i/>
        <sz val="11"/>
        <color theme="1"/>
        <rFont val="等线"/>
        <family val="2"/>
        <scheme val="minor"/>
      </rPr>
      <t>casExponent</t>
    </r>
    <r>
      <rPr>
        <sz val="11"/>
        <color theme="1"/>
        <rFont val="等线"/>
        <family val="2"/>
        <scheme val="minor"/>
      </rPr>
      <t xml:space="preserve"> and </t>
    </r>
    <r>
      <rPr>
        <i/>
        <sz val="11"/>
        <color theme="1"/>
        <rFont val="等线"/>
        <family val="2"/>
        <scheme val="minor"/>
      </rPr>
      <t>strExponent</t>
    </r>
    <r>
      <rPr>
        <sz val="11"/>
        <color theme="1"/>
        <rFont val="等线"/>
        <family val="2"/>
        <scheme val="minor"/>
      </rPr>
      <t xml:space="preserve">). The safety in number effect states that the proportionate number of crashes declines as the number of people using a specific mode increases (Elvik and Goel, 2019). There are two ways in which these two safety in number coefficients can be used. The user can decide that the safety in number coefficients are set to the same value for all modes by setting the logical  </t>
    </r>
    <r>
      <rPr>
        <i/>
        <sz val="11"/>
        <color theme="1"/>
        <rFont val="等线"/>
        <family val="2"/>
        <scheme val="minor"/>
      </rPr>
      <t>call_individual_sin</t>
    </r>
    <r>
      <rPr>
        <sz val="11"/>
        <color theme="1"/>
        <rFont val="等线"/>
        <family val="2"/>
        <scheme val="minor"/>
      </rPr>
      <t xml:space="preserve"> parameter to false or to set this parameter to true to call individual exponents for vehicles, cycles, pedestrians and NOV (no other vehicle) crashes. In order to make sampling easier when it comes to running the model in sampling mode, we do not use </t>
    </r>
    <r>
      <rPr>
        <i/>
        <sz val="11"/>
        <color theme="1"/>
        <rFont val="等线"/>
        <family val="2"/>
        <scheme val="minor"/>
      </rPr>
      <t>casExponent</t>
    </r>
    <r>
      <rPr>
        <sz val="11"/>
        <color theme="1"/>
        <rFont val="等线"/>
        <family val="2"/>
        <scheme val="minor"/>
      </rPr>
      <t xml:space="preserve"> or </t>
    </r>
    <r>
      <rPr>
        <i/>
        <sz val="11"/>
        <color theme="1"/>
        <rFont val="等线"/>
        <family val="2"/>
        <scheme val="minor"/>
      </rPr>
      <t xml:space="preserve">strExponent </t>
    </r>
    <r>
      <rPr>
        <sz val="11"/>
        <color theme="1"/>
        <rFont val="等线"/>
        <family val="2"/>
        <scheme val="minor"/>
      </rPr>
      <t xml:space="preserve">as input parameters directly. Rather we input the sum of the </t>
    </r>
    <r>
      <rPr>
        <i/>
        <sz val="11"/>
        <color theme="1"/>
        <rFont val="等线"/>
        <family val="2"/>
        <scheme val="minor"/>
      </rPr>
      <t>casExponent</t>
    </r>
    <r>
      <rPr>
        <sz val="11"/>
        <color theme="1"/>
        <rFont val="等线"/>
        <family val="2"/>
        <scheme val="minor"/>
      </rPr>
      <t xml:space="preserve"> and </t>
    </r>
    <r>
      <rPr>
        <i/>
        <sz val="11"/>
        <color theme="1"/>
        <rFont val="等线"/>
        <family val="2"/>
        <scheme val="minor"/>
      </rPr>
      <t xml:space="preserve">strExponent </t>
    </r>
    <r>
      <rPr>
        <sz val="11"/>
        <color theme="1"/>
        <rFont val="等线"/>
        <family val="2"/>
        <scheme val="minor"/>
      </rPr>
      <t xml:space="preserve"> as </t>
    </r>
    <r>
      <rPr>
        <i/>
        <sz val="11"/>
        <color theme="1"/>
        <rFont val="等线"/>
        <family val="2"/>
        <scheme val="minor"/>
      </rPr>
      <t>sin_exponent_sum</t>
    </r>
    <r>
      <rPr>
        <sz val="11"/>
        <color theme="1"/>
        <rFont val="等线"/>
        <family val="2"/>
        <scheme val="minor"/>
      </rPr>
      <t xml:space="preserve"> and then define a so called </t>
    </r>
    <r>
      <rPr>
        <i/>
        <sz val="11"/>
        <color theme="1"/>
        <rFont val="等线"/>
        <family val="2"/>
        <scheme val="minor"/>
      </rPr>
      <t>casualty_exponent_fraction</t>
    </r>
    <r>
      <rPr>
        <sz val="11"/>
        <color theme="1"/>
        <rFont val="等线"/>
        <family val="2"/>
        <scheme val="minor"/>
      </rPr>
      <t xml:space="preserve"> parameter which defines the fraction of the </t>
    </r>
    <r>
      <rPr>
        <i/>
        <sz val="11"/>
        <color theme="1"/>
        <rFont val="等线"/>
        <family val="2"/>
        <scheme val="minor"/>
      </rPr>
      <t>sin_exponent_sum</t>
    </r>
    <r>
      <rPr>
        <sz val="11"/>
        <color theme="1"/>
        <rFont val="等线"/>
        <family val="2"/>
        <scheme val="minor"/>
      </rPr>
      <t xml:space="preserve"> that belongs to the </t>
    </r>
    <r>
      <rPr>
        <i/>
        <sz val="11"/>
        <color theme="1"/>
        <rFont val="等线"/>
        <family val="2"/>
        <scheme val="minor"/>
      </rPr>
      <t>casExponent</t>
    </r>
    <r>
      <rPr>
        <sz val="11"/>
        <color theme="1"/>
        <rFont val="等线"/>
        <family val="2"/>
        <scheme val="minor"/>
      </rPr>
      <t xml:space="preserve"> parameter. The same set-up applies when we use individual exponents for different vehicle types. When the model is run for several cities, these exponents universally apply to all cites to allow comparison across cities. When </t>
    </r>
    <r>
      <rPr>
        <i/>
        <sz val="11"/>
        <color theme="1"/>
        <rFont val="等线"/>
        <family val="2"/>
        <scheme val="minor"/>
      </rPr>
      <t>call_individual_sin</t>
    </r>
    <r>
      <rPr>
        <sz val="11"/>
        <color theme="1"/>
        <rFont val="等线"/>
        <family val="2"/>
        <scheme val="minor"/>
      </rPr>
      <t xml:space="preserve"> parameter is set to false, then the entries for the mode specific </t>
    </r>
    <r>
      <rPr>
        <i/>
        <sz val="11"/>
        <color theme="1"/>
        <rFont val="等线"/>
        <family val="2"/>
        <scheme val="minor"/>
      </rPr>
      <t xml:space="preserve">sin_exponent_sum_xxx </t>
    </r>
    <r>
      <rPr>
        <sz val="11"/>
        <color theme="1"/>
        <rFont val="等线"/>
        <family val="2"/>
        <scheme val="minor"/>
      </rPr>
      <t xml:space="preserve">and </t>
    </r>
    <r>
      <rPr>
        <i/>
        <sz val="11"/>
        <color theme="1"/>
        <rFont val="等线"/>
        <family val="2"/>
        <scheme val="minor"/>
      </rPr>
      <t>casualty_exponent_fraction_xxx</t>
    </r>
    <r>
      <rPr>
        <sz val="11"/>
        <color theme="1"/>
        <rFont val="等线"/>
        <family val="2"/>
        <scheme val="minor"/>
      </rPr>
      <t xml:space="preserve"> can be left empty and vice versa.</t>
    </r>
  </si>
  <si>
    <r>
      <t xml:space="preserve">Table: </t>
    </r>
    <r>
      <rPr>
        <b/>
        <sz val="11"/>
        <color theme="1"/>
        <rFont val="等线"/>
        <family val="2"/>
        <scheme val="minor"/>
      </rPr>
      <t>Safety in number coefficients</t>
    </r>
    <r>
      <rPr>
        <sz val="11"/>
        <color theme="1"/>
        <rFont val="等线"/>
        <family val="2"/>
        <scheme val="minor"/>
      </rPr>
      <t xml:space="preserve"> used in Bogotá</t>
    </r>
  </si>
  <si>
    <t>Value used in model (for any city)</t>
  </si>
  <si>
    <t>Source</t>
  </si>
  <si>
    <r>
      <t>casExponent</t>
    </r>
    <r>
      <rPr>
        <sz val="8"/>
        <color theme="1"/>
        <rFont val="等线"/>
        <family val="2"/>
        <scheme val="minor"/>
      </rPr>
      <t> </t>
    </r>
    <r>
      <rPr>
        <sz val="8"/>
        <color theme="1"/>
        <rFont val="Times New Roman"/>
        <family val="1"/>
      </rPr>
      <t> </t>
    </r>
  </si>
  <si>
    <t>Exponents used for all modes</t>
  </si>
  <si>
    <t>Reasonable estimate which seems to produce sensible results</t>
  </si>
  <si>
    <t>strExponent</t>
  </si>
  <si>
    <t>casExponent_ped</t>
  </si>
  <si>
    <t>Where the victim is a pedestrian</t>
  </si>
  <si>
    <t>Elvik and Goel, 2019</t>
  </si>
  <si>
    <t>strExponent_ped</t>
  </si>
  <si>
    <t>casExponent_cycle</t>
  </si>
  <si>
    <t>Where the victim is a cyclist</t>
  </si>
  <si>
    <t>strExponent_cycle</t>
  </si>
  <si>
    <t>casExponent_vehicle</t>
  </si>
  <si>
    <t>Where the victim is a vehicle user</t>
  </si>
  <si>
    <t>Elvik, 2009</t>
  </si>
  <si>
    <t>strExponent_vehicle</t>
  </si>
  <si>
    <t>casExponent_nov</t>
  </si>
  <si>
    <t>Where the strike mode is nov (no other vehicle</t>
  </si>
  <si>
    <r>
      <t xml:space="preserve">ELVIK, R., GOEL, R. 2019. Safety-in-numbers: An updated meta-analysis of estimates. </t>
    </r>
    <r>
      <rPr>
        <i/>
        <sz val="11"/>
        <color rgb="FF000000"/>
        <rFont val="等线"/>
        <family val="2"/>
        <scheme val="minor"/>
      </rPr>
      <t>Accident Analysis &amp; Prevention</t>
    </r>
    <r>
      <rPr>
        <sz val="11"/>
        <color rgb="FF000000"/>
        <rFont val="等线"/>
        <family val="2"/>
        <scheme val="minor"/>
      </rPr>
      <t>, 129, p.136-147</t>
    </r>
  </si>
  <si>
    <t>Rune Elvik, The non-linearity of risk and the promotion of environmentally sustainable transport, Accident Analysis &amp; Prevention, Volume 41, Issue 4, 2009</t>
  </si>
  <si>
    <t>If set to False do not include taxi distance when calculating car vehicle emission factors</t>
  </si>
  <si>
    <t>v3.4</t>
  </si>
  <si>
    <t>added TREAT_TAXI_AS_CAR parameter to entire spreadsheet</t>
  </si>
  <si>
    <t>TREAT_TAXI_AS_CAR</t>
  </si>
  <si>
    <t>If set to false do not add taxi km when calculating car emission factors</t>
  </si>
  <si>
    <t>'all_city_parameter_inputs tab / run_ithim_setup.R</t>
  </si>
  <si>
    <t>v4.0</t>
  </si>
  <si>
    <t>converted MET to MMET input parameters</t>
  </si>
  <si>
    <t>cycling_mmet</t>
  </si>
  <si>
    <t>walking_mmet</t>
  </si>
  <si>
    <t>passenger_mmet</t>
  </si>
  <si>
    <t>car_driver_mmet</t>
  </si>
  <si>
    <t>motorcyclist_mmet</t>
  </si>
  <si>
    <t>sedentary_activity_mmet</t>
  </si>
  <si>
    <t>light_activity_mmet</t>
  </si>
  <si>
    <t>moderate_pa_mmet</t>
  </si>
  <si>
    <t>vigorous_pa_mmet</t>
  </si>
  <si>
    <t>CYCLING_MMET</t>
  </si>
  <si>
    <t>WALKING_MMET</t>
  </si>
  <si>
    <t>PASSENGER_MMET</t>
  </si>
  <si>
    <t>CAR_DRIVER_MMET</t>
  </si>
  <si>
    <t>MOTORCYCLIST_MMET</t>
  </si>
  <si>
    <t>SEDENTARY_ACTIVITY_MMET</t>
  </si>
  <si>
    <t>LIGHT_ACTIVITY_MMET</t>
  </si>
  <si>
    <t>MODERATE_PA_MMET</t>
  </si>
  <si>
    <t>VIGOROUS_PA_MMET</t>
  </si>
  <si>
    <t>marginal MET value associated with cycling</t>
  </si>
  <si>
    <t>marginal MET value associated with walking</t>
  </si>
  <si>
    <t>marginal MET value associated with being a passenger on public transport</t>
  </si>
  <si>
    <t>marginal MET value associated with being a car driver or passenger</t>
  </si>
  <si>
    <t>marginal MET value associated with being a motorcyclist</t>
  </si>
  <si>
    <t>marginal MET value associated with sedentary activity</t>
  </si>
  <si>
    <t>marginal MET value associated with light activity</t>
  </si>
  <si>
    <t>marginal MET value associated with moderate activity</t>
  </si>
  <si>
    <t>marginal MET value associated with vigorous activity</t>
  </si>
  <si>
    <t>London</t>
  </si>
  <si>
    <r>
      <t xml:space="preserve">pm_conc_base </t>
    </r>
    <r>
      <rPr>
        <b/>
        <sz val="11"/>
        <color rgb="FFFF0000"/>
        <rFont val="等线"/>
        <family val="3"/>
        <charset val="134"/>
      </rPr>
      <t>(from Edgar)</t>
    </r>
    <phoneticPr fontId="17" type="noConversion"/>
  </si>
  <si>
    <r>
      <t>pm_trans_share  (</t>
    </r>
    <r>
      <rPr>
        <b/>
        <sz val="11"/>
        <color rgb="FFFF0000"/>
        <rFont val="等线"/>
        <family val="3"/>
        <charset val="134"/>
      </rPr>
      <t>emission )</t>
    </r>
    <phoneticPr fontId="17" type="noConversion"/>
  </si>
  <si>
    <r>
      <t xml:space="preserve">bus_walk_time </t>
    </r>
    <r>
      <rPr>
        <b/>
        <sz val="11"/>
        <color rgb="FFFF0000"/>
        <rFont val="等线"/>
        <family val="3"/>
        <charset val="134"/>
      </rPr>
      <t xml:space="preserve">(average walk to bus time) </t>
    </r>
    <phoneticPr fontId="17" type="noConversion"/>
  </si>
  <si>
    <t>Brasilia</t>
  </si>
  <si>
    <t>Santiago</t>
  </si>
  <si>
    <t>Lima</t>
  </si>
  <si>
    <t>La Paz</t>
  </si>
  <si>
    <t>Quito</t>
  </si>
  <si>
    <t>Asuncion</t>
  </si>
  <si>
    <t>Caracas</t>
  </si>
  <si>
    <t>Medellin</t>
  </si>
  <si>
    <t>Buenos Aires</t>
  </si>
  <si>
    <t>Montevideo</t>
  </si>
  <si>
    <t>Sao Paulo</t>
  </si>
  <si>
    <t>Panama City</t>
  </si>
  <si>
    <t>Mexico City</t>
  </si>
  <si>
    <t>New York</t>
  </si>
  <si>
    <t>Chicago</t>
  </si>
  <si>
    <t>San Francisco</t>
  </si>
  <si>
    <t>Los Angeles</t>
  </si>
  <si>
    <t>Ottawa</t>
  </si>
  <si>
    <t>Vancouver</t>
  </si>
  <si>
    <t>Montreal</t>
  </si>
  <si>
    <t>Toronto</t>
  </si>
  <si>
    <t>Boston</t>
  </si>
  <si>
    <t>Washington</t>
  </si>
  <si>
    <t>Detroit</t>
  </si>
  <si>
    <t>Atlanta</t>
  </si>
  <si>
    <t>Philadelphia</t>
  </si>
  <si>
    <t>Miami</t>
  </si>
  <si>
    <t>Dallas-Fort Worth</t>
  </si>
  <si>
    <t>Seattle</t>
  </si>
  <si>
    <t>Las Vegas</t>
  </si>
  <si>
    <t>New Orleans</t>
  </si>
  <si>
    <t>Nashville-Davidson</t>
  </si>
  <si>
    <t>Salt Lake City</t>
  </si>
  <si>
    <t>Denver-Aurora</t>
  </si>
  <si>
    <t>Phoenix-Mesa</t>
  </si>
  <si>
    <t>Oklahoma City</t>
  </si>
  <si>
    <t>Charlotte</t>
  </si>
  <si>
    <t>Pittsburgh</t>
  </si>
  <si>
    <t>Baltimore</t>
  </si>
  <si>
    <t>Santo Domingo</t>
  </si>
  <si>
    <t>San Salvador</t>
  </si>
  <si>
    <t>Havana</t>
  </si>
  <si>
    <t>San Juan</t>
  </si>
  <si>
    <t>Guatemala City</t>
  </si>
  <si>
    <t>南美洲</t>
    <phoneticPr fontId="17" type="noConversion"/>
  </si>
  <si>
    <t>北美洲</t>
    <phoneticPr fontId="17" type="noConversion"/>
  </si>
  <si>
    <t>Sydney</t>
  </si>
  <si>
    <t>Melbourne</t>
  </si>
  <si>
    <t>Brisbane</t>
  </si>
  <si>
    <t>Perth</t>
  </si>
  <si>
    <t>Canberra</t>
  </si>
  <si>
    <t>Wellington</t>
  </si>
  <si>
    <t>Auckland</t>
  </si>
  <si>
    <t>大洋洲</t>
    <phoneticPr fontId="17" type="noConversion"/>
  </si>
  <si>
    <t>Cairo</t>
  </si>
  <si>
    <t>Algiers</t>
  </si>
  <si>
    <t>Accra</t>
  </si>
  <si>
    <t>Cape Town</t>
  </si>
  <si>
    <t>Nairobi</t>
  </si>
  <si>
    <t>Kigali</t>
  </si>
  <si>
    <t>Lagos</t>
  </si>
  <si>
    <t>Kano</t>
  </si>
  <si>
    <t>Addis Ababa</t>
  </si>
  <si>
    <t>Rabat</t>
  </si>
  <si>
    <t>Casablanca</t>
  </si>
  <si>
    <t>Luanda</t>
  </si>
  <si>
    <t>Dar es Salaam</t>
  </si>
  <si>
    <t>Kinshasa</t>
  </si>
  <si>
    <t>Khartoum</t>
  </si>
  <si>
    <t>Mogadishu</t>
  </si>
  <si>
    <t>Tripoli</t>
  </si>
  <si>
    <t>N'Djamena</t>
  </si>
  <si>
    <t>Maputo</t>
  </si>
  <si>
    <t>Abidjan</t>
  </si>
  <si>
    <t>Tunis</t>
  </si>
  <si>
    <t>Johannesburg</t>
  </si>
  <si>
    <t>非洲</t>
    <phoneticPr fontId="17" type="noConversion"/>
  </si>
  <si>
    <t>Warsaw</t>
  </si>
  <si>
    <t>Milan</t>
  </si>
  <si>
    <t>Manchester</t>
  </si>
  <si>
    <t>Glasgow</t>
  </si>
  <si>
    <t>Copenhagen</t>
  </si>
  <si>
    <t>Vienna</t>
  </si>
  <si>
    <t>Brussels</t>
  </si>
  <si>
    <t>Antwerp</t>
  </si>
  <si>
    <t>Lisboa</t>
  </si>
  <si>
    <t>Athens</t>
  </si>
  <si>
    <t>Dublin</t>
  </si>
  <si>
    <t>Helsinki</t>
  </si>
  <si>
    <t>Stockholm</t>
  </si>
  <si>
    <t>Budapest</t>
  </si>
  <si>
    <t>Bratislava</t>
  </si>
  <si>
    <t>Sofia</t>
  </si>
  <si>
    <t>Bucharest</t>
  </si>
  <si>
    <t>Moscow</t>
  </si>
  <si>
    <t>Paris</t>
  </si>
  <si>
    <t>Marseille</t>
  </si>
  <si>
    <t>Lyon</t>
  </si>
  <si>
    <t>Lille</t>
  </si>
  <si>
    <t>Bordeaux</t>
  </si>
  <si>
    <t>Toulouse</t>
  </si>
  <si>
    <t>Nice</t>
  </si>
  <si>
    <t>Birmingham</t>
  </si>
  <si>
    <t>Berlin</t>
  </si>
  <si>
    <t>Hamburg</t>
  </si>
  <si>
    <t>Munich</t>
  </si>
  <si>
    <t>Frankfurt</t>
  </si>
  <si>
    <t>Rome</t>
  </si>
  <si>
    <t>Naples</t>
  </si>
  <si>
    <t>Turin</t>
  </si>
  <si>
    <t>Madrid</t>
  </si>
  <si>
    <t>Valencia</t>
  </si>
  <si>
    <t>Barcelona</t>
  </si>
  <si>
    <t>Zurich</t>
  </si>
  <si>
    <t>Amsterdam</t>
  </si>
  <si>
    <t>Rotterdam</t>
  </si>
  <si>
    <t>Prague</t>
  </si>
  <si>
    <t>St. Petersburg</t>
  </si>
  <si>
    <t>Kazan</t>
  </si>
  <si>
    <t>Belgrade</t>
  </si>
  <si>
    <t>Kiev</t>
  </si>
  <si>
    <t>Odessa</t>
  </si>
  <si>
    <t>Oslo</t>
  </si>
  <si>
    <t>Nagoya</t>
  </si>
  <si>
    <t>Osaka</t>
  </si>
  <si>
    <t>Singapore</t>
  </si>
  <si>
    <t>Tehran</t>
  </si>
  <si>
    <t>Riyadh</t>
  </si>
  <si>
    <t>Kuala Lumpur</t>
  </si>
  <si>
    <t>Bangkok</t>
  </si>
  <si>
    <t>Jerusalem</t>
  </si>
  <si>
    <t>Tokyo</t>
  </si>
  <si>
    <t>Seoul</t>
  </si>
  <si>
    <t>Kabul</t>
  </si>
  <si>
    <t>Tbilisi</t>
  </si>
  <si>
    <t>Baku</t>
  </si>
  <si>
    <t>Ankara</t>
  </si>
  <si>
    <t>Almaty</t>
  </si>
  <si>
    <t>Bishkek</t>
  </si>
  <si>
    <t>Tashkent</t>
  </si>
  <si>
    <t>Ulaanbaatar</t>
  </si>
  <si>
    <t>Sharjah</t>
  </si>
  <si>
    <t>Amman</t>
  </si>
  <si>
    <t>Damascus</t>
  </si>
  <si>
    <t>Beirut</t>
  </si>
  <si>
    <t xml:space="preserve"> Rangoon</t>
  </si>
  <si>
    <t>Kathmandu</t>
  </si>
  <si>
    <t>Jaipur</t>
  </si>
  <si>
    <t>Chennai</t>
  </si>
  <si>
    <t>Pyongyang</t>
  </si>
  <si>
    <t>Taipei</t>
  </si>
  <si>
    <t>Busan</t>
  </si>
  <si>
    <t>Sapporo</t>
  </si>
  <si>
    <t>Yerevan</t>
  </si>
  <si>
    <t>Hong Kong</t>
  </si>
  <si>
    <t>亚洲</t>
    <phoneticPr fontId="17" type="noConversion"/>
  </si>
  <si>
    <t>欧洲和亚洲我把没有typology城市的数据删掉了</t>
    <phoneticPr fontId="17" type="noConversion"/>
  </si>
  <si>
    <t>Nanjing</t>
  </si>
  <si>
    <t>Hangzhou</t>
  </si>
  <si>
    <t>Jinan</t>
  </si>
  <si>
    <t>Changsha</t>
  </si>
  <si>
    <t>Kunming</t>
  </si>
  <si>
    <t>Xian</t>
  </si>
  <si>
    <t>Ningbo</t>
  </si>
  <si>
    <t>Wuxi</t>
  </si>
  <si>
    <t>Qingdao</t>
  </si>
  <si>
    <t>Shijiazhuang</t>
  </si>
  <si>
    <t>Taiyuan</t>
  </si>
  <si>
    <t>Changchun</t>
  </si>
  <si>
    <t>Urumqi</t>
  </si>
  <si>
    <t>Wuhan</t>
  </si>
  <si>
    <t>Hanoi</t>
  </si>
  <si>
    <t>Manila</t>
  </si>
  <si>
    <t>Jakarta</t>
  </si>
  <si>
    <t>Shanghai</t>
  </si>
  <si>
    <t>Shenzhen</t>
  </si>
  <si>
    <t>Guangzhou</t>
  </si>
  <si>
    <t>Mumbai</t>
  </si>
  <si>
    <t>NEW DELHI</t>
  </si>
  <si>
    <t>Bangalore</t>
  </si>
  <si>
    <t>Zhengzhou</t>
  </si>
  <si>
    <t>Dhaka</t>
  </si>
  <si>
    <t>Istanbul</t>
  </si>
  <si>
    <t>Abu Dhabi</t>
  </si>
  <si>
    <t>Dubai</t>
  </si>
  <si>
    <t>Kuwait City</t>
  </si>
  <si>
    <t>Kolkata</t>
  </si>
  <si>
    <t xml:space="preserve">Congqing </t>
  </si>
  <si>
    <t>Karachi</t>
  </si>
  <si>
    <t>Beijingb (km/hour)</t>
    <phoneticPr fontId="17" type="noConversion"/>
  </si>
  <si>
    <t>speeds (单位是km/hour)</t>
    <phoneticPr fontId="17" type="noConversion"/>
  </si>
  <si>
    <t>欧洲</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</si>
</sst>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等线"/>
      <family val="2"/>
      <scheme val="minor"/>
    </font>
    <font>
      <b/>
      <sz val="11"/>
      <color theme="1"/>
      <name val="等线"/>
      <family val="2"/>
      <scheme val="minor"/>
    </font>
    <font>
      <sz val="11"/>
      <color theme="0" tint="-0.34998626667073579"/>
      <name val="等线"/>
      <family val="2"/>
      <scheme val="minor"/>
    </font>
    <font>
      <sz val="11"/>
      <name val="等线"/>
      <family val="2"/>
      <scheme val="minor"/>
    </font>
    <font>
      <sz val="11"/>
      <color theme="0" tint="-0.249977111117893"/>
      <name val="等线"/>
      <family val="2"/>
      <scheme val="minor"/>
    </font>
    <font>
      <b/>
      <sz val="11"/>
      <color theme="0" tint="-0.249977111117893"/>
      <name val="等线"/>
      <family val="2"/>
      <scheme val="minor"/>
    </font>
    <font>
      <sz val="11"/>
      <color rgb="FFFF0000"/>
      <name val="等线"/>
      <family val="2"/>
      <scheme val="minor"/>
    </font>
    <font>
      <u/>
      <sz val="11"/>
      <color theme="10"/>
      <name val="等线"/>
      <family val="2"/>
      <scheme val="minor"/>
    </font>
    <font>
      <sz val="8"/>
      <name val="等线"/>
      <family val="2"/>
      <scheme val="minor"/>
    </font>
    <font>
      <sz val="11"/>
      <color rgb="FF1D1C1D"/>
      <name val="等线"/>
      <family val="2"/>
      <scheme val="minor"/>
    </font>
    <font>
      <sz val="11"/>
      <color rgb="FF000000"/>
      <name val="等线"/>
      <family val="2"/>
      <scheme val="minor"/>
    </font>
    <font>
      <i/>
      <sz val="11"/>
      <color theme="1"/>
      <name val="等线"/>
      <family val="2"/>
      <scheme val="minor"/>
    </font>
    <font>
      <sz val="8"/>
      <color theme="1"/>
      <name val="等线"/>
      <family val="2"/>
      <scheme val="minor"/>
    </font>
    <font>
      <sz val="8"/>
      <color theme="1"/>
      <name val="Times New Roman"/>
      <family val="1"/>
    </font>
    <font>
      <sz val="10"/>
      <color theme="1"/>
      <name val="Times New Roman"/>
      <family val="1"/>
    </font>
    <font>
      <i/>
      <sz val="11"/>
      <color rgb="FF000000"/>
      <name val="等线"/>
      <family val="2"/>
      <scheme val="minor"/>
    </font>
    <font>
      <sz val="11"/>
      <color theme="1"/>
      <name val="等线"/>
      <family val="2"/>
      <scheme val="minor"/>
    </font>
    <font>
      <sz val="9"/>
      <name val="等线"/>
      <family val="3"/>
      <charset val="134"/>
      <scheme val="minor"/>
    </font>
    <font>
      <b/>
      <sz val="11"/>
      <color rgb="FFFF0000"/>
      <name val="等线"/>
      <family val="3"/>
      <charset val="134"/>
    </font>
    <font>
      <sz val="11"/>
      <color theme="1"/>
      <name val="Arial"/>
      <family val="2"/>
    </font>
    <font>
      <sz val="11"/>
      <color rgb="FF000000"/>
      <name val="Arial"/>
      <family val="2"/>
    </font>
    <font>
      <sz val="11"/>
      <color rgb="FF434343"/>
      <name val="等线"/>
      <family val="2"/>
      <scheme val="minor"/>
    </font>
    <font>
      <sz val="11"/>
      <color rgb="FFFF0000"/>
      <name val="等线"/>
      <family val="4"/>
      <charset val="134"/>
      <scheme val="minor"/>
    </font>
    <font>
      <sz val="11"/>
      <color rgb="FFC00000"/>
      <name val="等线"/>
      <family val="4"/>
      <charset val="134"/>
      <scheme val="minor"/>
    </font>
    <font>
      <sz val="11"/>
      <color rgb="FFC00000"/>
      <name val="等线"/>
      <family val="2"/>
      <scheme val="minor"/>
    </font>
    <font>
      <sz val="11"/>
      <color rgb="FFC00000"/>
      <name val="Arial"/>
      <family val="2"/>
    </font>
    <font>
      <sz val="11"/>
      <color rgb="FFC00000"/>
      <name val="Calibri"/>
      <family val="2"/>
    </font>
  </fonts>
  <fills count="1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bgColor indexed="64"/>
      </patternFill>
    </fill>
    <fill>
      <patternFill patternType="solid">
        <fgColor theme="7"/>
        <bgColor theme="8"/>
      </patternFill>
    </fill>
    <fill>
      <patternFill patternType="solid">
        <fgColor theme="7"/>
        <bgColor rgb="FFFFFFFF"/>
      </patternFill>
    </fill>
    <fill>
      <patternFill patternType="solid">
        <fgColor theme="9"/>
        <bgColor theme="8"/>
      </patternFill>
    </fill>
    <fill>
      <patternFill patternType="solid">
        <fgColor theme="9"/>
        <bgColor indexed="64"/>
      </patternFill>
    </fill>
    <fill>
      <patternFill patternType="solid">
        <fgColor theme="5" tint="0.59999389629810485"/>
        <bgColor indexed="64"/>
      </patternFill>
    </fill>
    <fill>
      <patternFill patternType="solid">
        <fgColor theme="5" tint="0.59999389629810485"/>
        <bgColor rgb="FFFFFFFF"/>
      </patternFill>
    </fill>
    <fill>
      <patternFill patternType="solid">
        <fgColor theme="6"/>
        <bgColor indexed="64"/>
      </patternFill>
    </fill>
    <fill>
      <patternFill patternType="solid">
        <fgColor theme="6"/>
        <bgColor rgb="FFFFFFFF"/>
      </patternFill>
    </fill>
    <fill>
      <patternFill patternType="solid">
        <fgColor rgb="FF00B0F0"/>
        <bgColor indexed="64"/>
      </patternFill>
    </fill>
    <fill>
      <patternFill patternType="solid">
        <fgColor theme="7" tint="0.59999389629810485"/>
        <bgColor rgb="FFFFFFFF"/>
      </patternFill>
    </fill>
    <fill>
      <patternFill patternType="solid">
        <fgColor theme="7" tint="0.59999389629810485"/>
        <bgColor theme="8"/>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118">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2" borderId="0" xfId="0" applyFill="1"/>
    <xf numFmtId="0" fontId="2" fillId="0" borderId="0" xfId="0" applyFont="1"/>
    <xf numFmtId="0" fontId="0" fillId="2" borderId="0" xfId="0" quotePrefix="1" applyFill="1"/>
    <xf numFmtId="0" fontId="0" fillId="0" borderId="0" xfId="0" quotePrefix="1"/>
    <xf numFmtId="0" fontId="0" fillId="0" borderId="0" xfId="0" applyAlignment="1">
      <alignment vertical="center" wrapText="1"/>
    </xf>
    <xf numFmtId="0" fontId="3" fillId="0" borderId="0" xfId="0" applyFont="1"/>
    <xf numFmtId="0" fontId="0" fillId="0" borderId="0" xfId="0" applyAlignment="1">
      <alignment horizontal="left"/>
    </xf>
    <xf numFmtId="0" fontId="1" fillId="0" borderId="0" xfId="0" applyFont="1" applyAlignment="1">
      <alignment vertical="center" wrapText="1"/>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4" fillId="0" borderId="0" xfId="0" applyFont="1"/>
    <xf numFmtId="0" fontId="4" fillId="0" borderId="0" xfId="0" applyFont="1" applyAlignment="1">
      <alignment vertical="center"/>
    </xf>
    <xf numFmtId="0" fontId="5" fillId="0" borderId="0" xfId="0" applyFont="1"/>
    <xf numFmtId="0" fontId="0" fillId="3" borderId="0" xfId="0" applyFill="1"/>
    <xf numFmtId="0" fontId="1" fillId="3" borderId="0" xfId="0" applyFont="1" applyFill="1"/>
    <xf numFmtId="0" fontId="0" fillId="3" borderId="0" xfId="0" applyFill="1" applyAlignment="1">
      <alignment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 fillId="5" borderId="0" xfId="0" applyFont="1" applyFill="1"/>
    <xf numFmtId="0" fontId="0" fillId="5" borderId="0" xfId="0" applyFill="1"/>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7" fillId="0" borderId="0" xfId="1"/>
    <xf numFmtId="0" fontId="1" fillId="5" borderId="0" xfId="0" applyFont="1" applyFill="1" applyAlignment="1">
      <alignment vertical="center"/>
    </xf>
    <xf numFmtId="0" fontId="1" fillId="5" borderId="0" xfId="0" quotePrefix="1" applyFont="1" applyFill="1"/>
    <xf numFmtId="0" fontId="0" fillId="6" borderId="0" xfId="0" applyFill="1"/>
    <xf numFmtId="0" fontId="7" fillId="6" borderId="0" xfId="1" applyFill="1"/>
    <xf numFmtId="0" fontId="1" fillId="4" borderId="0" xfId="0" applyFont="1" applyFill="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14" fontId="0" fillId="0" borderId="0" xfId="0" applyNumberFormat="1"/>
    <xf numFmtId="0" fontId="0" fillId="0" borderId="0" xfId="0" applyAlignment="1">
      <alignment horizontal="right"/>
    </xf>
    <xf numFmtId="0" fontId="7" fillId="0" borderId="0" xfId="1" applyFill="1"/>
    <xf numFmtId="0" fontId="3" fillId="0" borderId="0" xfId="0" applyFont="1" applyAlignment="1">
      <alignment vertical="center"/>
    </xf>
    <xf numFmtId="0" fontId="9" fillId="0" borderId="0" xfId="0" applyFont="1"/>
    <xf numFmtId="0" fontId="10" fillId="0" borderId="0" xfId="0" applyFont="1"/>
    <xf numFmtId="0" fontId="1" fillId="0" borderId="0" xfId="0" applyFont="1" applyAlignment="1">
      <alignment horizontal="center" vertical="center" wrapText="1"/>
    </xf>
    <xf numFmtId="0" fontId="7" fillId="3" borderId="0" xfId="1" applyFill="1"/>
    <xf numFmtId="0" fontId="0" fillId="3" borderId="0" xfId="0" applyFill="1" applyAlignment="1">
      <alignment vertical="top"/>
    </xf>
    <xf numFmtId="0" fontId="7" fillId="3" borderId="0" xfId="1" applyFill="1" applyAlignment="1">
      <alignment vertical="center"/>
    </xf>
    <xf numFmtId="0" fontId="0" fillId="3" borderId="0" xfId="0" applyFill="1" applyAlignment="1">
      <alignment wrapText="1"/>
    </xf>
    <xf numFmtId="0" fontId="0" fillId="3" borderId="0" xfId="0" applyFill="1" applyAlignment="1">
      <alignment vertical="center" wrapText="1"/>
    </xf>
    <xf numFmtId="2" fontId="0" fillId="0" borderId="0" xfId="0" applyNumberFormat="1" applyAlignment="1">
      <alignment horizontal="right"/>
    </xf>
    <xf numFmtId="0" fontId="3" fillId="2" borderId="0" xfId="0" applyFont="1" applyFill="1" applyAlignment="1">
      <alignment horizontal="center"/>
    </xf>
    <xf numFmtId="0" fontId="7" fillId="6" borderId="0" xfId="1" applyFill="1" applyAlignment="1">
      <alignment vertical="center"/>
    </xf>
    <xf numFmtId="0" fontId="1" fillId="6" borderId="0" xfId="0" applyFont="1" applyFill="1"/>
    <xf numFmtId="0" fontId="3" fillId="6" borderId="0" xfId="1" applyFont="1" applyFill="1"/>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vertical="center"/>
    </xf>
    <xf numFmtId="0" fontId="3" fillId="0" borderId="0" xfId="1" applyFont="1" applyAlignment="1">
      <alignment vertical="center"/>
    </xf>
    <xf numFmtId="0" fontId="6" fillId="0" borderId="0" xfId="0" applyFont="1" applyAlignment="1">
      <alignment horizontal="left" vertical="center" wrapText="1"/>
    </xf>
    <xf numFmtId="0" fontId="0" fillId="0" borderId="0" xfId="0" applyAlignment="1">
      <alignment horizontal="left" vertical="center" wrapText="1"/>
    </xf>
    <xf numFmtId="0" fontId="0" fillId="6" borderId="0" xfId="0" applyFill="1" applyAlignment="1">
      <alignment vertical="center"/>
    </xf>
    <xf numFmtId="0" fontId="0" fillId="2" borderId="0" xfId="0" quotePrefix="1" applyFill="1" applyAlignment="1">
      <alignment horizontal="left"/>
    </xf>
    <xf numFmtId="0" fontId="0" fillId="0" borderId="0" xfId="0" quotePrefix="1" applyAlignment="1">
      <alignment horizontal="left" vertical="top" wrapText="1"/>
    </xf>
    <xf numFmtId="0" fontId="0" fillId="0" borderId="0" xfId="0" quotePrefix="1" applyAlignment="1">
      <alignment horizontal="center" vertical="center"/>
    </xf>
    <xf numFmtId="0" fontId="0" fillId="0" borderId="0" xfId="0" applyAlignment="1">
      <alignment horizontal="center" vertical="center"/>
    </xf>
    <xf numFmtId="0" fontId="19" fillId="0" borderId="0" xfId="0" applyFont="1"/>
    <xf numFmtId="0" fontId="1" fillId="7" borderId="0" xfId="0" applyFont="1" applyFill="1" applyAlignment="1">
      <alignment horizontal="right"/>
    </xf>
    <xf numFmtId="0" fontId="0" fillId="8" borderId="0" xfId="0" applyFill="1" applyAlignment="1">
      <alignment horizontal="center" vertical="center"/>
    </xf>
    <xf numFmtId="0" fontId="16" fillId="9" borderId="0" xfId="0" applyFont="1" applyFill="1" applyAlignment="1">
      <alignment horizontal="center"/>
    </xf>
    <xf numFmtId="0" fontId="10" fillId="9" borderId="0" xfId="0" applyFont="1" applyFill="1" applyAlignment="1">
      <alignment horizontal="center"/>
    </xf>
    <xf numFmtId="0" fontId="16" fillId="9" borderId="0" xfId="0" applyFont="1" applyFill="1" applyAlignment="1">
      <alignment horizontal="center" vertical="center"/>
    </xf>
    <xf numFmtId="0" fontId="19" fillId="7" borderId="0" xfId="0" applyFont="1" applyFill="1"/>
    <xf numFmtId="0" fontId="0" fillId="10" borderId="0" xfId="0" applyFill="1" applyAlignment="1">
      <alignment horizontal="center" vertical="center"/>
    </xf>
    <xf numFmtId="0" fontId="0" fillId="11" borderId="0" xfId="0" applyFill="1" applyAlignment="1">
      <alignment horizontal="center" vertical="center"/>
    </xf>
    <xf numFmtId="0" fontId="19" fillId="11" borderId="0" xfId="0" applyFont="1" applyFill="1"/>
    <xf numFmtId="0" fontId="20" fillId="11" borderId="0" xfId="0" applyFont="1" applyFill="1"/>
    <xf numFmtId="0" fontId="0" fillId="12" borderId="0" xfId="0" applyFill="1" applyAlignment="1">
      <alignment horizontal="center" vertical="center"/>
    </xf>
    <xf numFmtId="0" fontId="19" fillId="13" borderId="0" xfId="0" applyFont="1" applyFill="1"/>
    <xf numFmtId="0" fontId="16" fillId="15" borderId="0" xfId="0" applyFont="1" applyFill="1" applyAlignment="1">
      <alignment horizontal="center"/>
    </xf>
    <xf numFmtId="0" fontId="19" fillId="0" borderId="0" xfId="0" applyFont="1" applyAlignment="1">
      <alignment horizontal="center"/>
    </xf>
    <xf numFmtId="0" fontId="0" fillId="16" borderId="0" xfId="0" applyFill="1" applyAlignment="1">
      <alignment horizontal="center" vertical="center"/>
    </xf>
    <xf numFmtId="0" fontId="19" fillId="16" borderId="0" xfId="0" applyFont="1" applyFill="1" applyAlignment="1">
      <alignment horizontal="center"/>
    </xf>
    <xf numFmtId="0" fontId="19" fillId="16" borderId="0" xfId="0" applyFont="1" applyFill="1"/>
    <xf numFmtId="0" fontId="0" fillId="4" borderId="0" xfId="0" applyFill="1" applyAlignment="1">
      <alignment horizontal="center" vertical="center"/>
    </xf>
    <xf numFmtId="0" fontId="21" fillId="17" borderId="0" xfId="0" applyFont="1" applyFill="1" applyAlignment="1">
      <alignment horizontal="center"/>
    </xf>
    <xf numFmtId="0" fontId="19" fillId="4" borderId="0" xfId="0" applyFont="1" applyFill="1" applyAlignment="1">
      <alignment horizontal="center"/>
    </xf>
    <xf numFmtId="0" fontId="19" fillId="4" borderId="0" xfId="0" applyFont="1" applyFill="1"/>
    <xf numFmtId="0" fontId="16" fillId="4" borderId="0" xfId="0" applyFont="1" applyFill="1" applyAlignment="1">
      <alignment vertical="center"/>
    </xf>
    <xf numFmtId="0" fontId="20" fillId="4" borderId="0" xfId="0" applyFont="1" applyFill="1"/>
    <xf numFmtId="0" fontId="0" fillId="18" borderId="0" xfId="0" applyFill="1" applyAlignment="1">
      <alignment horizontal="center" vertical="center"/>
    </xf>
    <xf numFmtId="0" fontId="6" fillId="7" borderId="0" xfId="0" applyFont="1" applyFill="1" applyAlignment="1">
      <alignment horizontal="center" vertical="center"/>
    </xf>
    <xf numFmtId="0" fontId="22" fillId="7" borderId="0" xfId="0" applyFont="1" applyFill="1" applyAlignment="1">
      <alignment horizontal="center"/>
    </xf>
    <xf numFmtId="0" fontId="22" fillId="9" borderId="0" xfId="0" applyFont="1" applyFill="1" applyAlignment="1">
      <alignment horizontal="center"/>
    </xf>
    <xf numFmtId="0" fontId="24" fillId="7" borderId="0" xfId="0" applyFont="1" applyFill="1" applyAlignment="1">
      <alignment horizontal="center" vertical="center"/>
    </xf>
    <xf numFmtId="0" fontId="24" fillId="14" borderId="0" xfId="0" applyFont="1" applyFill="1" applyAlignment="1">
      <alignment horizontal="center" vertical="center"/>
    </xf>
    <xf numFmtId="0" fontId="23" fillId="15" borderId="0" xfId="0" applyFont="1" applyFill="1" applyAlignment="1">
      <alignment horizontal="center"/>
    </xf>
    <xf numFmtId="0" fontId="25" fillId="14" borderId="0" xfId="0" applyFont="1" applyFill="1"/>
    <xf numFmtId="0" fontId="24" fillId="14" borderId="0" xfId="0" applyFont="1" applyFill="1" applyAlignment="1">
      <alignment vertical="center"/>
    </xf>
    <xf numFmtId="0" fontId="26" fillId="14" borderId="0" xfId="0" applyFont="1" applyFill="1" applyAlignment="1">
      <alignment vertical="top"/>
    </xf>
    <xf numFmtId="0" fontId="26" fillId="14" borderId="0" xfId="0" applyFont="1" applyFill="1"/>
    <xf numFmtId="0" fontId="20" fillId="0" borderId="0" xfId="0" applyFont="1"/>
    <xf numFmtId="0" fontId="1" fillId="0" borderId="0" xfId="0" applyFont="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0" xfId="0" quotePrefix="1" applyAlignment="1">
      <alignment horizontal="center" vertical="center"/>
    </xf>
    <xf numFmtId="0" fontId="0" fillId="0" borderId="0" xfId="0" applyAlignment="1">
      <alignment horizontal="center" vertical="center" wrapText="1"/>
    </xf>
    <xf numFmtId="0" fontId="0" fillId="0" borderId="6"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PTOP%2BOCOP%2BCIOP%2BEIOP%2BAWGW%2BOAIP%2BPEP%2BPPEP....&amp;pd=2019%2C2022&amp;to%5bTIME_PERIOD%5d=true&amp;ly%5bcl%5d=COMBINED_MEASURE%2CCOMBINED_UNIT_MEASURE%2CTIME_PERIOD&amp;ly%5brw%5d=REF_AREA&amp;vw=tb,%20you%20can%20get%20your%20licence%20with%2018,%20retirement%20age%20for%20women%20is%2057" TargetMode="External"/><Relationship Id="rId3" Type="http://schemas.openxmlformats.org/officeDocument/2006/relationships/hyperlink" Target="https://www.who.int/publications/i/item/9789241565684" TargetMode="External"/><Relationship Id="rId7"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PTOP%2BOCOP%2BCIOP%2BEIOP%2BAWGW%2BOAIP%2BPEP%2BPPEP....&amp;pd=2019%2C2022&amp;to%5bTIME_PERIOD%5d=true&amp;ly%5bcl%5d=COMBINED_MEASURE%2CCOMBINED_UNIT_MEASURE%2CTIME_PERIOD&amp;ly%5brw%5d=REF_AREA&amp;vw=tb,%20You%20can%20get%20your%20licence%20with%2018,%20retirement%20age%20for%20men%20is%2062" TargetMode="External"/><Relationship Id="rId2"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edgar.jrc.ec.europa.eu/,%20obtained%20values%20based%20on%20private%20correspondence" TargetMode="External"/><Relationship Id="rId6" Type="http://schemas.openxmlformats.org/officeDocument/2006/relationships/hyperlink" Target="https://www.despacio.org/wp-content/uploads/2020/03/mujeresbogotalascuentas20200303web.pdf,%20p.90" TargetMode="External"/><Relationship Id="rId5" Type="http://schemas.openxmlformats.org/officeDocument/2006/relationships/hyperlink" Target="https://www.transmilenio.gov.co/publicaciones/146291/si-hay-empleo-para-ser-operadores-de-transmilenio/" TargetMode="External"/><Relationship Id="rId4" Type="http://schemas.openxmlformats.org/officeDocument/2006/relationships/hyperlink" Target="https://www.transmilenio.gov.co/publicaciones/146291/si-hay-empleo-para-ser-operadores-de-transmilenio/"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scioteca.caf.com/bitstream/handle/123456789/754/CAF%20LIBRO%20motos%20digital.pdf?sequence=1&amp;isAllowed=y" TargetMode="External"/><Relationship Id="rId13" Type="http://schemas.openxmlformats.org/officeDocument/2006/relationships/hyperlink" Target="https://www.transmilenio.gov.co/publicaciones/146291/si-hay-empleo-para-ser-operadores-de-transmilenio/" TargetMode="External"/><Relationship Id="rId3" Type="http://schemas.openxmlformats.org/officeDocument/2006/relationships/hyperlink" Target="https://edgar.jrc.ec.europa.eu/,%20obtained%20values%20based%20on%20private%20correspondence" TargetMode="External"/><Relationship Id="rId7" Type="http://schemas.openxmlformats.org/officeDocument/2006/relationships/hyperlink" Target="https://scioteca.caf.com/bitstream/handle/123456789/754/CAF%20LIBRO%20motos%20digital.pdf?sequence=1&amp;isAllowed=y" TargetMode="External"/><Relationship Id="rId12" Type="http://schemas.openxmlformats.org/officeDocument/2006/relationships/hyperlink" Target="https://www.transmilenio.gov.co/publicaciones/146291/si-hay-empleo-para-ser-operadores-de-transmilenio/" TargetMode="External"/><Relationship Id="rId2"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www.who.int/publications/m/item/who-air-quality-database-2022" TargetMode="External"/><Relationship Id="rId6" Type="http://schemas.openxmlformats.org/officeDocument/2006/relationships/hyperlink" Target="https://www.autofact.com.co/blog/mi-carro/actividades/carpooling-colombia" TargetMode="External"/><Relationship Id="rId11" Type="http://schemas.openxmlformats.org/officeDocument/2006/relationships/hyperlink" Target="http://www.despacio.org/hacemos" TargetMode="External"/><Relationship Id="rId5" Type="http://schemas.openxmlformats.org/officeDocument/2006/relationships/hyperlink" Target="https://edgar.jrc.ec.europa.eu/,%20obtained%20values%20based%20on%20private%20correspondence" TargetMode="External"/><Relationship Id="rId10" Type="http://schemas.openxmlformats.org/officeDocument/2006/relationships/hyperlink" Target="https://scioteca.caf.com/bitstream/handle/123456789/754/CAF%20LIBRO%20motos%20digital.pdf?sequence=1&amp;isAllowed=y" TargetMode="External"/><Relationship Id="rId4" Type="http://schemas.openxmlformats.org/officeDocument/2006/relationships/hyperlink" Target="https://edgar.jrc.ec.europa.eu/,%20obtained%20values%20based%20on%20private%20correspondence" TargetMode="External"/><Relationship Id="rId9" Type="http://schemas.openxmlformats.org/officeDocument/2006/relationships/hyperlink" Target="https://scioteca.caf.com/bitstream/handle/123456789/754/CAF%20LIBRO%20motos%20digital.pdf?sequence=1&amp;isAllowed=y" TargetMode="External"/><Relationship Id="rId1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ropbox.com/home/ITHIM%20Global/Methods%20and%20Processe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71"/>
  <sheetViews>
    <sheetView topLeftCell="A3" workbookViewId="0">
      <selection activeCell="C13" sqref="C13"/>
    </sheetView>
  </sheetViews>
  <sheetFormatPr baseColWidth="10" defaultColWidth="8.83203125" defaultRowHeight="15"/>
  <cols>
    <col min="2" max="2" width="35.5" style="8" customWidth="1"/>
    <col min="3" max="3" width="66.1640625" style="8" customWidth="1"/>
    <col min="5" max="5" width="10.5" bestFit="1" customWidth="1"/>
  </cols>
  <sheetData>
    <row r="3" spans="2:3">
      <c r="B3" s="3" t="s">
        <v>0</v>
      </c>
    </row>
    <row r="5" spans="2:3" ht="16">
      <c r="B5" s="21" t="s">
        <v>1</v>
      </c>
      <c r="C5" s="8" t="s">
        <v>2</v>
      </c>
    </row>
    <row r="6" spans="2:3" ht="16">
      <c r="B6" s="22" t="s">
        <v>3</v>
      </c>
      <c r="C6" s="8" t="s">
        <v>4</v>
      </c>
    </row>
    <row r="10" spans="2:3" ht="16">
      <c r="B10" s="11" t="s">
        <v>5</v>
      </c>
      <c r="C10" s="11" t="s">
        <v>6</v>
      </c>
    </row>
    <row r="11" spans="2:3" ht="32">
      <c r="B11" s="8" t="s">
        <v>7</v>
      </c>
      <c r="C11" s="8" t="s">
        <v>8</v>
      </c>
    </row>
    <row r="12" spans="2:3" ht="141" customHeight="1">
      <c r="B12" s="8" t="s">
        <v>9</v>
      </c>
      <c r="C12" s="8" t="s">
        <v>10</v>
      </c>
    </row>
    <row r="13" spans="2:3" ht="17.5" customHeight="1">
      <c r="B13" s="8" t="s">
        <v>11</v>
      </c>
      <c r="C13" s="8" t="s">
        <v>12</v>
      </c>
    </row>
    <row r="14" spans="2:3" ht="48">
      <c r="B14" s="8" t="s">
        <v>13</v>
      </c>
      <c r="C14" s="8" t="s">
        <v>14</v>
      </c>
    </row>
    <row r="15" spans="2:3" ht="32">
      <c r="B15" s="8" t="s">
        <v>15</v>
      </c>
      <c r="C15" s="8" t="s">
        <v>16</v>
      </c>
    </row>
    <row r="16" spans="2:3" ht="32">
      <c r="B16" s="8" t="s">
        <v>17</v>
      </c>
      <c r="C16" s="8" t="s">
        <v>18</v>
      </c>
    </row>
    <row r="17" spans="2:5" ht="32">
      <c r="B17" s="8" t="s">
        <v>19</v>
      </c>
      <c r="C17" s="8" t="s">
        <v>20</v>
      </c>
    </row>
    <row r="18" spans="2:5" ht="16">
      <c r="B18" s="8" t="s">
        <v>21</v>
      </c>
      <c r="C18" s="8" t="s">
        <v>22</v>
      </c>
    </row>
    <row r="19" spans="2:5" ht="16">
      <c r="B19" s="8" t="s">
        <v>23</v>
      </c>
      <c r="C19" s="8" t="s">
        <v>24</v>
      </c>
    </row>
    <row r="23" spans="2:5" ht="16">
      <c r="B23" s="36" t="s">
        <v>25</v>
      </c>
      <c r="C23" s="23"/>
      <c r="D23" s="37"/>
      <c r="E23" s="37"/>
    </row>
    <row r="24" spans="2:5" ht="16">
      <c r="B24" s="24" t="s">
        <v>26</v>
      </c>
      <c r="C24" s="24" t="s">
        <v>27</v>
      </c>
      <c r="D24" s="38" t="s">
        <v>28</v>
      </c>
      <c r="E24" s="38" t="s">
        <v>29</v>
      </c>
    </row>
    <row r="25" spans="2:5" ht="16">
      <c r="B25" s="23" t="s">
        <v>30</v>
      </c>
      <c r="C25" s="23" t="s">
        <v>31</v>
      </c>
      <c r="D25" s="37" t="s">
        <v>32</v>
      </c>
      <c r="E25" s="39">
        <v>45175</v>
      </c>
    </row>
    <row r="26" spans="2:5" ht="16">
      <c r="B26" s="23" t="s">
        <v>33</v>
      </c>
      <c r="C26" s="23" t="s">
        <v>34</v>
      </c>
      <c r="D26" s="37" t="s">
        <v>32</v>
      </c>
      <c r="E26" s="39">
        <v>45272</v>
      </c>
    </row>
    <row r="27" spans="2:5" ht="87" customHeight="1">
      <c r="B27" s="23" t="s">
        <v>35</v>
      </c>
      <c r="C27" s="23" t="s">
        <v>36</v>
      </c>
      <c r="D27" s="37" t="s">
        <v>37</v>
      </c>
      <c r="E27" s="39" t="s">
        <v>38</v>
      </c>
    </row>
    <row r="28" spans="2:5" ht="48">
      <c r="B28" s="23" t="s">
        <v>39</v>
      </c>
      <c r="C28" s="23" t="s">
        <v>40</v>
      </c>
      <c r="D28" s="37" t="s">
        <v>41</v>
      </c>
      <c r="E28" s="39">
        <v>45455</v>
      </c>
    </row>
    <row r="29" spans="2:5" ht="48">
      <c r="B29" s="23" t="s">
        <v>42</v>
      </c>
      <c r="C29" s="23" t="s">
        <v>43</v>
      </c>
      <c r="D29" s="37" t="s">
        <v>32</v>
      </c>
      <c r="E29" s="39">
        <v>45484</v>
      </c>
    </row>
    <row r="30" spans="2:5" ht="32">
      <c r="B30" s="23" t="s">
        <v>44</v>
      </c>
      <c r="C30" s="23" t="s">
        <v>45</v>
      </c>
      <c r="D30" s="37" t="s">
        <v>41</v>
      </c>
      <c r="E30" s="39">
        <v>45488</v>
      </c>
    </row>
    <row r="31" spans="2:5" ht="16">
      <c r="B31" s="23" t="s">
        <v>46</v>
      </c>
      <c r="C31" s="23" t="s">
        <v>47</v>
      </c>
      <c r="D31" s="37" t="s">
        <v>41</v>
      </c>
      <c r="E31" s="39">
        <v>45489</v>
      </c>
    </row>
    <row r="32" spans="2:5" ht="16">
      <c r="B32" s="23" t="s">
        <v>48</v>
      </c>
      <c r="C32" s="23" t="s">
        <v>49</v>
      </c>
      <c r="D32" s="37" t="s">
        <v>32</v>
      </c>
      <c r="E32" s="39">
        <v>45491</v>
      </c>
    </row>
    <row r="33" spans="2:5" ht="16">
      <c r="B33" s="23" t="s">
        <v>50</v>
      </c>
      <c r="C33" s="23" t="s">
        <v>51</v>
      </c>
      <c r="D33" s="37" t="s">
        <v>41</v>
      </c>
      <c r="E33" s="39">
        <v>45495</v>
      </c>
    </row>
    <row r="34" spans="2:5" ht="16">
      <c r="B34" s="23" t="s">
        <v>52</v>
      </c>
      <c r="C34" s="23" t="s">
        <v>53</v>
      </c>
      <c r="D34" s="37" t="s">
        <v>32</v>
      </c>
      <c r="E34" s="39">
        <v>45496</v>
      </c>
    </row>
    <row r="35" spans="2:5" ht="16">
      <c r="B35" s="23" t="s">
        <v>54</v>
      </c>
      <c r="C35" s="23" t="s">
        <v>55</v>
      </c>
      <c r="D35" s="37" t="s">
        <v>32</v>
      </c>
      <c r="E35" s="39">
        <v>45496</v>
      </c>
    </row>
    <row r="36" spans="2:5" ht="16">
      <c r="B36" s="8" t="s">
        <v>571</v>
      </c>
      <c r="C36" s="8" t="s">
        <v>572</v>
      </c>
      <c r="D36" s="37" t="s">
        <v>32</v>
      </c>
      <c r="E36" s="40">
        <v>45531</v>
      </c>
    </row>
    <row r="37" spans="2:5" ht="16">
      <c r="B37" s="8" t="s">
        <v>576</v>
      </c>
      <c r="C37" s="8" t="s">
        <v>577</v>
      </c>
      <c r="D37" s="37" t="s">
        <v>32</v>
      </c>
      <c r="E37" s="40">
        <v>45539</v>
      </c>
    </row>
    <row r="38" spans="2:5">
      <c r="D38" s="37"/>
      <c r="E38" s="40"/>
    </row>
    <row r="39" spans="2:5">
      <c r="D39" s="37"/>
      <c r="E39" s="40"/>
    </row>
    <row r="40" spans="2:5">
      <c r="D40" s="37"/>
      <c r="E40" s="40"/>
    </row>
    <row r="41" spans="2:5">
      <c r="D41" s="37"/>
      <c r="E41" s="40"/>
    </row>
    <row r="42" spans="2:5">
      <c r="D42" s="37"/>
      <c r="E42" s="40"/>
    </row>
    <row r="43" spans="2:5">
      <c r="D43" s="37"/>
      <c r="E43" s="40"/>
    </row>
    <row r="44" spans="2:5">
      <c r="D44" s="37"/>
      <c r="E44" s="40"/>
    </row>
    <row r="45" spans="2:5">
      <c r="E45" s="40"/>
    </row>
    <row r="46" spans="2:5">
      <c r="D46" s="37"/>
      <c r="E46" s="40"/>
    </row>
    <row r="47" spans="2:5">
      <c r="D47" s="37"/>
      <c r="E47" s="40"/>
    </row>
    <row r="48" spans="2:5">
      <c r="D48" s="37"/>
      <c r="E48" s="40"/>
    </row>
    <row r="49" spans="4:5">
      <c r="D49" s="37"/>
      <c r="E49" s="40"/>
    </row>
    <row r="50" spans="4:5">
      <c r="D50" s="37"/>
      <c r="E50" s="40"/>
    </row>
    <row r="51" spans="4:5">
      <c r="D51" s="37"/>
      <c r="E51" s="40"/>
    </row>
    <row r="52" spans="4:5">
      <c r="D52" s="37"/>
      <c r="E52" s="40"/>
    </row>
    <row r="53" spans="4:5">
      <c r="D53" s="37"/>
      <c r="E53" s="40"/>
    </row>
    <row r="54" spans="4:5">
      <c r="D54" s="37"/>
      <c r="E54" s="40"/>
    </row>
    <row r="55" spans="4:5">
      <c r="D55" s="37"/>
      <c r="E55" s="40"/>
    </row>
    <row r="56" spans="4:5">
      <c r="D56" s="37"/>
      <c r="E56" s="40"/>
    </row>
    <row r="57" spans="4:5">
      <c r="D57" s="37"/>
      <c r="E57" s="40"/>
    </row>
    <row r="58" spans="4:5">
      <c r="D58" s="37"/>
      <c r="E58" s="40"/>
    </row>
    <row r="59" spans="4:5">
      <c r="D59" s="37"/>
      <c r="E59" s="40"/>
    </row>
    <row r="60" spans="4:5">
      <c r="D60" s="37"/>
      <c r="E60" s="40"/>
    </row>
    <row r="61" spans="4:5">
      <c r="D61" s="37"/>
      <c r="E61" s="40"/>
    </row>
    <row r="62" spans="4:5">
      <c r="D62" s="37"/>
      <c r="E62" s="40"/>
    </row>
    <row r="63" spans="4:5">
      <c r="D63" s="37"/>
      <c r="E63" s="40"/>
    </row>
    <row r="64" spans="4:5">
      <c r="D64" s="37"/>
      <c r="E64" s="40"/>
    </row>
    <row r="65" spans="4:5">
      <c r="D65" s="37"/>
      <c r="E65" s="40"/>
    </row>
    <row r="66" spans="4:5">
      <c r="D66" s="37"/>
      <c r="E66" s="40"/>
    </row>
    <row r="67" spans="4:5">
      <c r="D67" s="37"/>
      <c r="E67" s="40"/>
    </row>
    <row r="68" spans="4:5">
      <c r="D68" s="37"/>
      <c r="E68" s="40"/>
    </row>
    <row r="69" spans="4:5">
      <c r="D69" s="37"/>
      <c r="E69" s="40"/>
    </row>
    <row r="70" spans="4:5">
      <c r="D70" s="37"/>
      <c r="E70" s="40"/>
    </row>
    <row r="71" spans="4:5">
      <c r="D71" s="37"/>
      <c r="E71" s="40"/>
    </row>
  </sheetData>
  <phoneticPr fontId="1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K102"/>
  <sheetViews>
    <sheetView tabSelected="1" workbookViewId="0">
      <selection activeCell="BZ1" sqref="BZ1:DS1"/>
    </sheetView>
  </sheetViews>
  <sheetFormatPr baseColWidth="10" defaultColWidth="8.83203125" defaultRowHeight="15"/>
  <cols>
    <col min="1" max="1" width="29.1640625" style="1" customWidth="1"/>
    <col min="2" max="2" width="13.5" customWidth="1"/>
    <col min="3" max="3" width="13.5" style="41" bestFit="1" customWidth="1"/>
  </cols>
  <sheetData>
    <row r="1" spans="1:193">
      <c r="B1" t="s">
        <v>765</v>
      </c>
      <c r="C1" s="41" t="s">
        <v>653</v>
      </c>
      <c r="P1" t="s">
        <v>654</v>
      </c>
      <c r="AV1" t="s">
        <v>662</v>
      </c>
      <c r="BC1" t="s">
        <v>685</v>
      </c>
      <c r="BY1" s="71" t="s">
        <v>800</v>
      </c>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86"/>
      <c r="DO1" s="86"/>
      <c r="DP1" s="72"/>
      <c r="DQ1" s="72"/>
      <c r="DR1" s="72"/>
      <c r="DS1" s="72"/>
      <c r="DT1" t="s">
        <v>764</v>
      </c>
    </row>
    <row r="2" spans="1:193" s="1" customFormat="1">
      <c r="A2" s="1" t="s">
        <v>56</v>
      </c>
      <c r="B2" s="1" t="s">
        <v>57</v>
      </c>
      <c r="C2" s="73" t="s">
        <v>58</v>
      </c>
      <c r="D2" s="100" t="s">
        <v>609</v>
      </c>
      <c r="E2" s="74" t="s">
        <v>610</v>
      </c>
      <c r="F2" s="97" t="s">
        <v>611</v>
      </c>
      <c r="G2" s="98" t="s">
        <v>612</v>
      </c>
      <c r="H2" s="98" t="s">
        <v>613</v>
      </c>
      <c r="I2" s="99" t="s">
        <v>614</v>
      </c>
      <c r="J2" s="99" t="s">
        <v>615</v>
      </c>
      <c r="K2" s="76" t="s">
        <v>616</v>
      </c>
      <c r="L2" s="75" t="s">
        <v>617</v>
      </c>
      <c r="M2" s="77" t="s">
        <v>618</v>
      </c>
      <c r="N2" s="75" t="s">
        <v>619</v>
      </c>
      <c r="O2" s="78" t="s">
        <v>620</v>
      </c>
      <c r="P2" s="79" t="s">
        <v>621</v>
      </c>
      <c r="Q2" s="80" t="s">
        <v>622</v>
      </c>
      <c r="R2" s="80" t="s">
        <v>623</v>
      </c>
      <c r="S2" s="80" t="s">
        <v>624</v>
      </c>
      <c r="T2" s="80" t="s">
        <v>625</v>
      </c>
      <c r="U2" s="80" t="s">
        <v>626</v>
      </c>
      <c r="V2" s="80" t="s">
        <v>627</v>
      </c>
      <c r="W2" s="80" t="s">
        <v>628</v>
      </c>
      <c r="X2" s="80" t="s">
        <v>629</v>
      </c>
      <c r="Y2" s="81" t="s">
        <v>630</v>
      </c>
      <c r="Z2" s="81" t="s">
        <v>631</v>
      </c>
      <c r="AA2" s="81" t="s">
        <v>632</v>
      </c>
      <c r="AB2" s="81" t="s">
        <v>633</v>
      </c>
      <c r="AC2" s="81" t="s">
        <v>634</v>
      </c>
      <c r="AD2" s="81" t="s">
        <v>635</v>
      </c>
      <c r="AE2" s="81" t="s">
        <v>636</v>
      </c>
      <c r="AF2" s="81" t="s">
        <v>637</v>
      </c>
      <c r="AG2" s="81" t="s">
        <v>638</v>
      </c>
      <c r="AH2" s="81" t="s">
        <v>639</v>
      </c>
      <c r="AI2" s="81" t="s">
        <v>640</v>
      </c>
      <c r="AJ2" s="81" t="s">
        <v>641</v>
      </c>
      <c r="AK2" s="82" t="s">
        <v>642</v>
      </c>
      <c r="AL2" s="82" t="s">
        <v>643</v>
      </c>
      <c r="AM2" s="82" t="s">
        <v>644</v>
      </c>
      <c r="AN2" s="82" t="s">
        <v>645</v>
      </c>
      <c r="AO2" s="82" t="s">
        <v>646</v>
      </c>
      <c r="AP2" s="82" t="s">
        <v>647</v>
      </c>
      <c r="AQ2" s="82" t="s">
        <v>648</v>
      </c>
      <c r="AR2" s="81" t="s">
        <v>649</v>
      </c>
      <c r="AS2" s="81" t="s">
        <v>650</v>
      </c>
      <c r="AT2" s="81" t="s">
        <v>651</v>
      </c>
      <c r="AU2" s="81" t="s">
        <v>652</v>
      </c>
      <c r="AV2" s="83" t="s">
        <v>655</v>
      </c>
      <c r="AW2" s="83" t="s">
        <v>656</v>
      </c>
      <c r="AX2" s="83" t="s">
        <v>657</v>
      </c>
      <c r="AY2" s="83" t="s">
        <v>658</v>
      </c>
      <c r="AZ2" s="83" t="s">
        <v>659</v>
      </c>
      <c r="BA2" s="83" t="s">
        <v>660</v>
      </c>
      <c r="BB2" s="84" t="s">
        <v>661</v>
      </c>
      <c r="BC2" s="101" t="s">
        <v>663</v>
      </c>
      <c r="BD2" s="102" t="s">
        <v>664</v>
      </c>
      <c r="BE2" s="85" t="s">
        <v>665</v>
      </c>
      <c r="BF2" s="85" t="s">
        <v>666</v>
      </c>
      <c r="BG2" s="85" t="s">
        <v>667</v>
      </c>
      <c r="BH2" s="103" t="s">
        <v>668</v>
      </c>
      <c r="BI2" s="103" t="s">
        <v>669</v>
      </c>
      <c r="BJ2" s="103" t="s">
        <v>670</v>
      </c>
      <c r="BK2" s="103" t="s">
        <v>671</v>
      </c>
      <c r="BL2" s="104" t="s">
        <v>672</v>
      </c>
      <c r="BM2" s="105" t="s">
        <v>673</v>
      </c>
      <c r="BN2" s="103" t="s">
        <v>674</v>
      </c>
      <c r="BO2" s="103" t="s">
        <v>675</v>
      </c>
      <c r="BP2" s="103" t="s">
        <v>676</v>
      </c>
      <c r="BQ2" s="103" t="s">
        <v>677</v>
      </c>
      <c r="BR2" s="103" t="s">
        <v>678</v>
      </c>
      <c r="BS2" s="103" t="s">
        <v>679</v>
      </c>
      <c r="BT2" s="103" t="s">
        <v>680</v>
      </c>
      <c r="BU2" s="103" t="s">
        <v>681</v>
      </c>
      <c r="BV2" s="106" t="s">
        <v>682</v>
      </c>
      <c r="BW2" s="103" t="s">
        <v>683</v>
      </c>
      <c r="BX2" s="103" t="s">
        <v>684</v>
      </c>
      <c r="BY2" s="87" t="s">
        <v>686</v>
      </c>
      <c r="BZ2" s="87" t="s">
        <v>687</v>
      </c>
      <c r="CA2" s="87" t="s">
        <v>605</v>
      </c>
      <c r="CB2" s="87" t="s">
        <v>688</v>
      </c>
      <c r="CC2" s="87" t="s">
        <v>689</v>
      </c>
      <c r="CD2" s="87" t="s">
        <v>690</v>
      </c>
      <c r="CE2" s="87" t="s">
        <v>691</v>
      </c>
      <c r="CF2" s="87" t="s">
        <v>692</v>
      </c>
      <c r="CG2" s="87" t="s">
        <v>693</v>
      </c>
      <c r="CH2" s="87" t="s">
        <v>694</v>
      </c>
      <c r="CI2" s="87" t="s">
        <v>695</v>
      </c>
      <c r="CJ2" s="87" t="s">
        <v>696</v>
      </c>
      <c r="CK2" s="87" t="s">
        <v>697</v>
      </c>
      <c r="CL2" s="87" t="s">
        <v>698</v>
      </c>
      <c r="CM2" s="87" t="s">
        <v>699</v>
      </c>
      <c r="CN2" s="87" t="s">
        <v>700</v>
      </c>
      <c r="CO2" s="87" t="s">
        <v>701</v>
      </c>
      <c r="CP2" s="87" t="s">
        <v>702</v>
      </c>
      <c r="CQ2" s="87" t="s">
        <v>703</v>
      </c>
      <c r="CR2" s="87" t="s">
        <v>704</v>
      </c>
      <c r="CS2" s="87" t="s">
        <v>705</v>
      </c>
      <c r="CT2" s="87" t="s">
        <v>706</v>
      </c>
      <c r="CU2" s="87" t="s">
        <v>707</v>
      </c>
      <c r="CV2" s="87" t="s">
        <v>708</v>
      </c>
      <c r="CW2" s="87" t="s">
        <v>709</v>
      </c>
      <c r="CX2" s="87" t="s">
        <v>710</v>
      </c>
      <c r="CY2" s="87" t="s">
        <v>711</v>
      </c>
      <c r="CZ2" s="87" t="s">
        <v>712</v>
      </c>
      <c r="DA2" s="87" t="s">
        <v>713</v>
      </c>
      <c r="DB2" s="87" t="s">
        <v>714</v>
      </c>
      <c r="DC2" s="87" t="s">
        <v>715</v>
      </c>
      <c r="DD2" s="87" t="s">
        <v>716</v>
      </c>
      <c r="DE2" s="87" t="s">
        <v>717</v>
      </c>
      <c r="DF2" s="87" t="s">
        <v>718</v>
      </c>
      <c r="DG2" s="87" t="s">
        <v>719</v>
      </c>
      <c r="DH2" s="87" t="s">
        <v>720</v>
      </c>
      <c r="DI2" s="87" t="s">
        <v>721</v>
      </c>
      <c r="DJ2" s="87" t="s">
        <v>722</v>
      </c>
      <c r="DK2" s="87" t="s">
        <v>723</v>
      </c>
      <c r="DL2" s="87" t="s">
        <v>724</v>
      </c>
      <c r="DM2" s="87" t="s">
        <v>725</v>
      </c>
      <c r="DN2" s="88" t="s">
        <v>726</v>
      </c>
      <c r="DO2" s="88" t="s">
        <v>727</v>
      </c>
      <c r="DP2" s="89" t="s">
        <v>728</v>
      </c>
      <c r="DQ2" s="89" t="s">
        <v>729</v>
      </c>
      <c r="DR2" s="89" t="s">
        <v>730</v>
      </c>
      <c r="DS2" s="89" t="s">
        <v>731</v>
      </c>
      <c r="DT2" s="90" t="s">
        <v>766</v>
      </c>
      <c r="DU2" s="90" t="s">
        <v>767</v>
      </c>
      <c r="DV2" s="90" t="s">
        <v>768</v>
      </c>
      <c r="DW2" s="90" t="s">
        <v>769</v>
      </c>
      <c r="DX2" s="90" t="s">
        <v>770</v>
      </c>
      <c r="DY2" s="90" t="s">
        <v>771</v>
      </c>
      <c r="DZ2" s="90" t="s">
        <v>772</v>
      </c>
      <c r="EA2" s="90" t="s">
        <v>773</v>
      </c>
      <c r="EB2" s="90" t="s">
        <v>774</v>
      </c>
      <c r="EC2" s="90" t="s">
        <v>798</v>
      </c>
      <c r="ED2" s="90" t="s">
        <v>775</v>
      </c>
      <c r="EE2" s="90" t="s">
        <v>776</v>
      </c>
      <c r="EF2" s="90" t="s">
        <v>777</v>
      </c>
      <c r="EG2" s="90" t="s">
        <v>778</v>
      </c>
      <c r="EH2" s="90" t="s">
        <v>779</v>
      </c>
      <c r="EI2" s="90" t="s">
        <v>732</v>
      </c>
      <c r="EJ2" s="90" t="s">
        <v>733</v>
      </c>
      <c r="EK2" s="90" t="s">
        <v>734</v>
      </c>
      <c r="EL2" s="90" t="s">
        <v>735</v>
      </c>
      <c r="EM2" s="90" t="s">
        <v>736</v>
      </c>
      <c r="EN2" s="90" t="s">
        <v>780</v>
      </c>
      <c r="EO2" s="90" t="s">
        <v>781</v>
      </c>
      <c r="EP2" s="90" t="s">
        <v>737</v>
      </c>
      <c r="EQ2" s="90" t="s">
        <v>782</v>
      </c>
      <c r="ER2" s="90" t="s">
        <v>738</v>
      </c>
      <c r="ES2" s="90" t="s">
        <v>739</v>
      </c>
      <c r="ET2" s="90" t="s">
        <v>783</v>
      </c>
      <c r="EU2" s="90" t="s">
        <v>784</v>
      </c>
      <c r="EV2" s="90" t="s">
        <v>785</v>
      </c>
      <c r="EW2" s="90" t="s">
        <v>786</v>
      </c>
      <c r="EX2" s="96" t="s">
        <v>787</v>
      </c>
      <c r="EY2" s="96" t="s">
        <v>788</v>
      </c>
      <c r="EZ2" s="90" t="s">
        <v>740</v>
      </c>
      <c r="FA2" s="90" t="s">
        <v>741</v>
      </c>
      <c r="FB2" s="90" t="s">
        <v>789</v>
      </c>
      <c r="FC2" s="91" t="s">
        <v>742</v>
      </c>
      <c r="FD2" s="92" t="s">
        <v>743</v>
      </c>
      <c r="FE2" s="92" t="s">
        <v>744</v>
      </c>
      <c r="FF2" s="92" t="s">
        <v>790</v>
      </c>
      <c r="FG2" s="92" t="s">
        <v>791</v>
      </c>
      <c r="FH2" s="92" t="s">
        <v>745</v>
      </c>
      <c r="FI2" s="92" t="s">
        <v>746</v>
      </c>
      <c r="FJ2" s="92" t="s">
        <v>747</v>
      </c>
      <c r="FK2" s="93" t="s">
        <v>748</v>
      </c>
      <c r="FL2" s="92" t="s">
        <v>749</v>
      </c>
      <c r="FM2" s="92" t="s">
        <v>792</v>
      </c>
      <c r="FN2" s="92" t="s">
        <v>750</v>
      </c>
      <c r="FO2" s="92" t="s">
        <v>793</v>
      </c>
      <c r="FP2" s="92" t="s">
        <v>794</v>
      </c>
      <c r="FQ2" s="92" t="s">
        <v>751</v>
      </c>
      <c r="FR2" s="92" t="s">
        <v>752</v>
      </c>
      <c r="FS2" s="92" t="s">
        <v>753</v>
      </c>
      <c r="FT2" s="92" t="s">
        <v>754</v>
      </c>
      <c r="FU2" s="92" t="s">
        <v>755</v>
      </c>
      <c r="FV2" s="93" t="s">
        <v>795</v>
      </c>
      <c r="FW2" s="93" t="s">
        <v>756</v>
      </c>
      <c r="FX2" s="94" t="s">
        <v>757</v>
      </c>
      <c r="FY2" s="93" t="s">
        <v>796</v>
      </c>
      <c r="FZ2" s="93" t="s">
        <v>758</v>
      </c>
      <c r="GA2" s="93" t="s">
        <v>759</v>
      </c>
      <c r="GB2" s="93" t="s">
        <v>797</v>
      </c>
      <c r="GC2" s="95" t="s">
        <v>760</v>
      </c>
      <c r="GD2" s="93" t="s">
        <v>761</v>
      </c>
      <c r="GE2" s="95" t="s">
        <v>762</v>
      </c>
      <c r="GF2" s="93" t="s">
        <v>763</v>
      </c>
      <c r="GG2" s="72"/>
      <c r="GH2" s="107"/>
      <c r="GI2" s="72"/>
      <c r="GJ2" s="107"/>
      <c r="GK2" s="72"/>
    </row>
    <row r="3" spans="1:193" s="1" customFormat="1">
      <c r="A3" s="1" t="s">
        <v>799</v>
      </c>
      <c r="B3" t="s">
        <v>60</v>
      </c>
      <c r="C3" s="41">
        <v>4</v>
      </c>
      <c r="D3" s="41"/>
      <c r="E3" s="41">
        <v>4</v>
      </c>
      <c r="F3" s="41"/>
      <c r="G3" s="41"/>
      <c r="H3" s="41"/>
      <c r="I3" s="41"/>
      <c r="J3" s="41"/>
      <c r="K3" s="41">
        <v>4</v>
      </c>
      <c r="L3" s="41">
        <v>4</v>
      </c>
      <c r="M3" s="41">
        <v>4</v>
      </c>
      <c r="N3" s="41">
        <v>4</v>
      </c>
      <c r="O3" s="41">
        <v>4</v>
      </c>
      <c r="P3" s="41">
        <v>4</v>
      </c>
      <c r="BC3" s="41"/>
      <c r="BD3" s="41"/>
      <c r="BE3" s="41">
        <v>4</v>
      </c>
      <c r="BF3" s="41">
        <v>4</v>
      </c>
      <c r="BG3" s="41">
        <v>4</v>
      </c>
      <c r="BH3" s="41"/>
      <c r="BI3" s="41"/>
      <c r="BJ3" s="41"/>
      <c r="BK3" s="41"/>
      <c r="BL3" s="41"/>
      <c r="BM3" s="41"/>
      <c r="BN3" s="41"/>
      <c r="BO3" s="41"/>
      <c r="BP3" s="41"/>
      <c r="BQ3" s="41"/>
      <c r="BR3" s="41"/>
      <c r="BS3" s="41"/>
      <c r="BT3" s="41"/>
      <c r="BU3" s="41"/>
      <c r="BV3" s="41"/>
      <c r="BW3" s="41"/>
      <c r="BX3" s="41"/>
      <c r="EX3" s="41">
        <v>4</v>
      </c>
      <c r="EY3" s="41">
        <v>4</v>
      </c>
    </row>
    <row r="4" spans="1:193" s="1" customFormat="1">
      <c r="B4" t="s">
        <v>61</v>
      </c>
      <c r="C4" s="41">
        <v>8.1</v>
      </c>
      <c r="D4" s="41"/>
      <c r="E4" s="41">
        <v>8.1</v>
      </c>
      <c r="F4" s="41"/>
      <c r="G4" s="41"/>
      <c r="H4" s="41"/>
      <c r="I4" s="41"/>
      <c r="J4" s="41"/>
      <c r="K4" s="41">
        <v>8.1</v>
      </c>
      <c r="L4" s="41">
        <v>8.1</v>
      </c>
      <c r="M4" s="41">
        <v>8.1</v>
      </c>
      <c r="N4" s="41">
        <v>8.1</v>
      </c>
      <c r="O4" s="41">
        <v>8.1</v>
      </c>
      <c r="P4" s="41">
        <v>8.1</v>
      </c>
      <c r="Q4" s="1">
        <v>13.2</v>
      </c>
      <c r="R4" s="1">
        <v>16.100000000000001</v>
      </c>
      <c r="BC4" s="41"/>
      <c r="BD4" s="41"/>
      <c r="BE4" s="41">
        <v>12</v>
      </c>
      <c r="BF4" s="41">
        <v>12</v>
      </c>
      <c r="BG4" s="41">
        <v>12</v>
      </c>
      <c r="BH4" s="41"/>
      <c r="BI4" s="41"/>
      <c r="BJ4" s="41"/>
      <c r="BK4" s="41"/>
      <c r="BL4" s="41"/>
      <c r="BM4" s="41"/>
      <c r="BN4" s="41"/>
      <c r="BO4" s="41"/>
      <c r="BP4" s="41"/>
      <c r="BQ4" s="41"/>
      <c r="BR4" s="41"/>
      <c r="BS4" s="41"/>
      <c r="BT4" s="41"/>
      <c r="BU4" s="41"/>
      <c r="BV4" s="41"/>
      <c r="BW4" s="41"/>
      <c r="BX4" s="41"/>
      <c r="ET4" s="1">
        <v>17.600000000000001</v>
      </c>
      <c r="EX4" s="41">
        <v>12</v>
      </c>
      <c r="EY4" s="41">
        <v>12</v>
      </c>
    </row>
    <row r="5" spans="1:193" s="1" customFormat="1">
      <c r="B5" t="s">
        <v>62</v>
      </c>
      <c r="C5" s="41">
        <v>13.8</v>
      </c>
      <c r="D5" s="41"/>
      <c r="E5" s="41">
        <v>13.8</v>
      </c>
      <c r="F5" s="41"/>
      <c r="G5" s="41"/>
      <c r="H5" s="41"/>
      <c r="I5" s="41"/>
      <c r="J5" s="41"/>
      <c r="K5" s="41">
        <v>13.8</v>
      </c>
      <c r="L5" s="41">
        <v>13.8</v>
      </c>
      <c r="M5" s="41">
        <v>13.8</v>
      </c>
      <c r="N5" s="41">
        <v>13.8</v>
      </c>
      <c r="O5" s="41">
        <v>13.8</v>
      </c>
      <c r="P5" s="41">
        <v>13.8</v>
      </c>
      <c r="Q5" s="1">
        <v>24.1</v>
      </c>
      <c r="R5" s="1">
        <v>17.7</v>
      </c>
      <c r="BC5" s="41"/>
      <c r="BD5" s="41"/>
      <c r="BE5" s="41">
        <v>15</v>
      </c>
      <c r="BF5" s="41">
        <v>15</v>
      </c>
      <c r="BG5" s="41">
        <v>15</v>
      </c>
      <c r="BH5" s="41"/>
      <c r="BI5" s="41"/>
      <c r="BJ5" s="41"/>
      <c r="BK5" s="41"/>
      <c r="BL5" s="41"/>
      <c r="BM5" s="41"/>
      <c r="BN5" s="41"/>
      <c r="BO5" s="41"/>
      <c r="BP5" s="41"/>
      <c r="BQ5" s="41"/>
      <c r="BR5" s="41"/>
      <c r="BS5" s="41"/>
      <c r="BT5" s="41"/>
      <c r="BU5" s="41"/>
      <c r="BV5" s="41"/>
      <c r="BW5" s="41"/>
      <c r="BX5" s="41"/>
      <c r="EX5" s="41">
        <v>15</v>
      </c>
      <c r="EY5" s="41">
        <v>15</v>
      </c>
    </row>
    <row r="6" spans="1:193" s="1" customFormat="1">
      <c r="B6" t="s">
        <v>63</v>
      </c>
      <c r="C6" s="41">
        <v>7.2</v>
      </c>
      <c r="D6" s="41"/>
      <c r="E6" s="41">
        <v>8.4</v>
      </c>
      <c r="F6" s="41"/>
      <c r="G6" s="41"/>
      <c r="H6" s="41"/>
      <c r="I6" s="41"/>
      <c r="J6" s="41"/>
      <c r="K6" s="41">
        <v>8.4</v>
      </c>
      <c r="L6" s="41">
        <v>8.4</v>
      </c>
      <c r="M6" s="41">
        <v>8.4</v>
      </c>
      <c r="N6" s="41">
        <v>7.2</v>
      </c>
      <c r="O6" s="41">
        <v>7.2</v>
      </c>
      <c r="P6" s="41">
        <v>7.2</v>
      </c>
      <c r="Q6" s="1">
        <v>14.5</v>
      </c>
      <c r="R6" s="1">
        <v>22.7</v>
      </c>
      <c r="BC6" s="41"/>
      <c r="BD6" s="41"/>
      <c r="BE6" s="41">
        <v>6</v>
      </c>
      <c r="BF6" s="41">
        <v>6</v>
      </c>
      <c r="BG6" s="41">
        <v>6</v>
      </c>
      <c r="BH6" s="41"/>
      <c r="BI6" s="41"/>
      <c r="BJ6" s="41"/>
      <c r="BK6" s="41"/>
      <c r="BL6" s="41"/>
      <c r="BM6" s="41"/>
      <c r="BN6" s="41"/>
      <c r="BO6" s="41"/>
      <c r="BP6" s="41"/>
      <c r="BQ6" s="41"/>
      <c r="BR6" s="41"/>
      <c r="BS6" s="41"/>
      <c r="BT6" s="41"/>
      <c r="BU6" s="41"/>
      <c r="BV6" s="41"/>
      <c r="BW6" s="41"/>
      <c r="BX6" s="41"/>
      <c r="ET6" s="1">
        <v>13.4</v>
      </c>
      <c r="EX6" s="41">
        <v>6</v>
      </c>
      <c r="EY6" s="41">
        <v>6</v>
      </c>
    </row>
    <row r="7" spans="1:193" s="1" customFormat="1">
      <c r="B7" t="s">
        <v>64</v>
      </c>
      <c r="C7" s="41">
        <v>18.100000000000001</v>
      </c>
      <c r="D7" s="41"/>
      <c r="E7" s="41">
        <v>18.100000000000001</v>
      </c>
      <c r="F7" s="41"/>
      <c r="G7" s="41"/>
      <c r="H7" s="41"/>
      <c r="I7" s="41"/>
      <c r="J7" s="41"/>
      <c r="K7" s="41">
        <v>18.100000000000001</v>
      </c>
      <c r="L7" s="41">
        <v>18.100000000000001</v>
      </c>
      <c r="M7" s="41">
        <v>18.100000000000001</v>
      </c>
      <c r="N7" s="41">
        <v>18.100000000000001</v>
      </c>
      <c r="O7" s="41">
        <v>18.100000000000001</v>
      </c>
      <c r="P7" s="41">
        <v>18.100000000000001</v>
      </c>
      <c r="Q7" s="1">
        <v>28</v>
      </c>
      <c r="R7" s="1">
        <v>88.5</v>
      </c>
      <c r="BC7" s="41"/>
      <c r="BD7" s="41"/>
      <c r="BE7" s="41"/>
      <c r="BF7" s="41"/>
      <c r="BG7" s="41"/>
      <c r="BH7" s="41"/>
      <c r="BI7" s="41"/>
      <c r="BJ7" s="41"/>
      <c r="BK7" s="41"/>
      <c r="BL7" s="41"/>
      <c r="BM7" s="41"/>
      <c r="BN7" s="41"/>
      <c r="BO7" s="41"/>
      <c r="BP7" s="41"/>
      <c r="BQ7" s="41"/>
      <c r="BR7" s="41"/>
      <c r="BS7" s="41"/>
      <c r="BT7" s="41"/>
      <c r="BU7" s="41"/>
      <c r="BV7" s="41"/>
      <c r="BW7" s="41"/>
      <c r="BX7" s="41"/>
      <c r="EX7" s="41"/>
      <c r="EY7" s="41"/>
    </row>
    <row r="8" spans="1:193" s="1" customFormat="1">
      <c r="B8" t="s">
        <v>65</v>
      </c>
      <c r="C8" s="41">
        <v>15.2</v>
      </c>
      <c r="D8" s="41"/>
      <c r="E8" s="41">
        <v>18.399999999999999</v>
      </c>
      <c r="F8" s="41"/>
      <c r="G8" s="41"/>
      <c r="H8" s="41"/>
      <c r="I8" s="41"/>
      <c r="J8" s="41"/>
      <c r="K8" s="41">
        <v>18.399999999999999</v>
      </c>
      <c r="L8" s="41">
        <v>18.399999999999999</v>
      </c>
      <c r="M8" s="41">
        <v>18.399999999999999</v>
      </c>
      <c r="N8" s="41">
        <v>15.2</v>
      </c>
      <c r="O8" s="41">
        <v>15.2</v>
      </c>
      <c r="P8" s="41">
        <v>15.2</v>
      </c>
      <c r="BC8" s="41"/>
      <c r="BD8" s="41"/>
      <c r="BE8" s="41">
        <v>15</v>
      </c>
      <c r="BF8" s="41">
        <v>15</v>
      </c>
      <c r="BG8" s="41">
        <v>15</v>
      </c>
      <c r="BH8" s="41"/>
      <c r="BI8" s="41"/>
      <c r="BJ8" s="41"/>
      <c r="BK8" s="41"/>
      <c r="BL8" s="41"/>
      <c r="BM8" s="41"/>
      <c r="BN8" s="41"/>
      <c r="BO8" s="41"/>
      <c r="BP8" s="41"/>
      <c r="BQ8" s="41"/>
      <c r="BR8" s="41"/>
      <c r="BS8" s="41"/>
      <c r="BT8" s="41"/>
      <c r="BU8" s="41"/>
      <c r="BV8" s="41"/>
      <c r="BW8" s="41"/>
      <c r="BX8" s="41"/>
      <c r="ET8" s="1">
        <v>22.5</v>
      </c>
      <c r="EX8" s="41">
        <v>15</v>
      </c>
      <c r="EY8" s="41">
        <v>15</v>
      </c>
    </row>
    <row r="9" spans="1:193" s="1" customFormat="1">
      <c r="B9" t="s">
        <v>66</v>
      </c>
      <c r="C9" s="41">
        <v>9.1</v>
      </c>
      <c r="D9" s="41"/>
      <c r="E9" s="41">
        <v>9.1</v>
      </c>
      <c r="F9" s="41"/>
      <c r="G9" s="41"/>
      <c r="H9" s="41"/>
      <c r="I9" s="41"/>
      <c r="J9" s="41"/>
      <c r="K9" s="41">
        <v>9.1</v>
      </c>
      <c r="L9" s="41">
        <v>9.1</v>
      </c>
      <c r="M9" s="41">
        <v>9.1</v>
      </c>
      <c r="N9" s="41">
        <v>9.1</v>
      </c>
      <c r="O9" s="41">
        <v>9.1</v>
      </c>
      <c r="P9" s="41">
        <v>9.1</v>
      </c>
      <c r="BC9" s="41"/>
      <c r="BD9" s="41"/>
      <c r="BE9" s="41"/>
      <c r="BF9" s="41"/>
      <c r="BG9" s="41"/>
      <c r="BH9" s="41"/>
      <c r="BI9" s="41"/>
      <c r="BJ9" s="41"/>
      <c r="BK9" s="41"/>
      <c r="BL9" s="41"/>
      <c r="BM9" s="41"/>
      <c r="BN9" s="41"/>
      <c r="BO9" s="41"/>
      <c r="BP9" s="41"/>
      <c r="BQ9" s="41"/>
      <c r="BR9" s="41"/>
      <c r="BS9" s="41"/>
      <c r="BT9" s="41"/>
      <c r="BU9" s="41"/>
      <c r="BV9" s="41"/>
      <c r="BW9" s="41"/>
      <c r="BX9" s="41"/>
      <c r="EX9" s="41"/>
      <c r="EY9" s="41"/>
    </row>
    <row r="10" spans="1:193" s="1" customFormat="1">
      <c r="B10" t="s">
        <v>67</v>
      </c>
      <c r="C10" s="41">
        <v>2.5</v>
      </c>
      <c r="D10" s="41"/>
      <c r="E10" s="41">
        <v>3</v>
      </c>
      <c r="F10" s="41"/>
      <c r="G10" s="41"/>
      <c r="H10" s="41"/>
      <c r="I10" s="41"/>
      <c r="J10" s="41"/>
      <c r="K10" s="41">
        <v>3</v>
      </c>
      <c r="L10" s="41">
        <v>3</v>
      </c>
      <c r="M10" s="41">
        <v>3</v>
      </c>
      <c r="N10" s="41">
        <v>2.5</v>
      </c>
      <c r="O10" s="41">
        <v>2.5</v>
      </c>
      <c r="P10" s="41">
        <v>2.5</v>
      </c>
      <c r="Q10" s="1">
        <v>5.5</v>
      </c>
      <c r="R10" s="1">
        <v>4.8</v>
      </c>
      <c r="BC10" s="41"/>
      <c r="BD10" s="41"/>
      <c r="BE10" s="41">
        <v>2</v>
      </c>
      <c r="BF10" s="41">
        <v>2</v>
      </c>
      <c r="BG10" s="41">
        <v>2</v>
      </c>
      <c r="BH10" s="41"/>
      <c r="BI10" s="41"/>
      <c r="BJ10" s="41"/>
      <c r="BK10" s="41"/>
      <c r="BL10" s="41"/>
      <c r="BM10" s="41"/>
      <c r="BN10" s="41"/>
      <c r="BO10" s="41"/>
      <c r="BP10" s="41"/>
      <c r="BQ10" s="41"/>
      <c r="BR10" s="41"/>
      <c r="BS10" s="41"/>
      <c r="BT10" s="41"/>
      <c r="BU10" s="41"/>
      <c r="BV10" s="41"/>
      <c r="BW10" s="41"/>
      <c r="BX10" s="41"/>
      <c r="EX10" s="41">
        <v>2</v>
      </c>
      <c r="EY10" s="41">
        <v>2</v>
      </c>
    </row>
    <row r="11" spans="1:193" s="1" customFormat="1">
      <c r="B11" t="s">
        <v>68</v>
      </c>
      <c r="C11" s="41">
        <v>21.9</v>
      </c>
      <c r="D11" s="41"/>
      <c r="E11" s="41">
        <v>23.2</v>
      </c>
      <c r="F11" s="41"/>
      <c r="G11" s="41"/>
      <c r="H11" s="41"/>
      <c r="I11" s="41"/>
      <c r="J11" s="41"/>
      <c r="K11" s="41">
        <v>23.2</v>
      </c>
      <c r="L11" s="41">
        <v>23.2</v>
      </c>
      <c r="M11" s="41">
        <v>23.2</v>
      </c>
      <c r="N11" s="41">
        <v>21.9</v>
      </c>
      <c r="O11" s="41">
        <v>21.9</v>
      </c>
      <c r="P11" s="41">
        <v>21.9</v>
      </c>
      <c r="Q11" s="1">
        <v>82.1</v>
      </c>
      <c r="R11" s="1">
        <v>91.7</v>
      </c>
      <c r="BC11" s="41"/>
      <c r="BD11" s="41"/>
      <c r="BE11" s="41">
        <v>20.6</v>
      </c>
      <c r="BF11" s="41">
        <v>20.6</v>
      </c>
      <c r="BG11" s="41">
        <v>20.6</v>
      </c>
      <c r="BH11" s="41"/>
      <c r="BI11" s="41"/>
      <c r="BJ11" s="41"/>
      <c r="BK11" s="41"/>
      <c r="BL11" s="41"/>
      <c r="BM11" s="41"/>
      <c r="BN11" s="41"/>
      <c r="BO11" s="41"/>
      <c r="BP11" s="41"/>
      <c r="BQ11" s="41"/>
      <c r="BR11" s="41"/>
      <c r="BS11" s="41"/>
      <c r="BT11" s="41"/>
      <c r="BU11" s="41"/>
      <c r="BV11" s="41"/>
      <c r="BW11" s="41"/>
      <c r="BX11" s="41"/>
      <c r="EX11" s="41">
        <v>20.6</v>
      </c>
      <c r="EY11" s="41">
        <v>20.6</v>
      </c>
    </row>
    <row r="12" spans="1:193" s="1" customFormat="1">
      <c r="B12" t="s">
        <v>69</v>
      </c>
      <c r="C12" s="41">
        <v>12.559999999999999</v>
      </c>
      <c r="D12" s="41"/>
      <c r="E12" s="41">
        <v>13.1</v>
      </c>
      <c r="F12" s="41"/>
      <c r="G12" s="41"/>
      <c r="H12" s="41"/>
      <c r="I12" s="41"/>
      <c r="J12" s="41"/>
      <c r="K12" s="41">
        <v>13.1</v>
      </c>
      <c r="L12" s="41">
        <v>13.1</v>
      </c>
      <c r="M12" s="41">
        <v>13.1</v>
      </c>
      <c r="N12" s="41">
        <v>12.559999999999999</v>
      </c>
      <c r="O12" s="41">
        <v>12.559999999999999</v>
      </c>
      <c r="P12" s="41">
        <v>12.559999999999999</v>
      </c>
      <c r="Q12" s="1">
        <v>19.3</v>
      </c>
      <c r="R12" s="1">
        <f>R5</f>
        <v>17.7</v>
      </c>
      <c r="BC12" s="41"/>
      <c r="BD12" s="41"/>
      <c r="BE12" s="41">
        <v>12</v>
      </c>
      <c r="BF12" s="41">
        <v>12</v>
      </c>
      <c r="BG12" s="41">
        <v>12</v>
      </c>
      <c r="BH12" s="41"/>
      <c r="BI12" s="41"/>
      <c r="BJ12" s="41"/>
      <c r="BK12" s="41"/>
      <c r="BL12" s="41"/>
      <c r="BM12" s="41"/>
      <c r="BN12" s="41"/>
      <c r="BO12" s="41"/>
      <c r="BP12" s="41"/>
      <c r="BQ12" s="41"/>
      <c r="BR12" s="41"/>
      <c r="BS12" s="41"/>
      <c r="BT12" s="41"/>
      <c r="BU12" s="41"/>
      <c r="BV12" s="41"/>
      <c r="BW12" s="41"/>
      <c r="BX12" s="41"/>
      <c r="EX12" s="41">
        <v>12</v>
      </c>
      <c r="EY12" s="41">
        <v>12</v>
      </c>
    </row>
    <row r="13" spans="1:193">
      <c r="B13" t="s">
        <v>70</v>
      </c>
      <c r="C13" s="41">
        <v>8.1</v>
      </c>
      <c r="D13" s="41"/>
      <c r="E13" s="41">
        <v>8.1</v>
      </c>
      <c r="F13" s="41"/>
      <c r="G13" s="41"/>
      <c r="H13" s="41"/>
      <c r="I13" s="41"/>
      <c r="J13" s="41"/>
      <c r="K13" s="41">
        <v>8.1</v>
      </c>
      <c r="L13" s="41">
        <v>8.1</v>
      </c>
      <c r="M13" s="41">
        <v>8.1</v>
      </c>
      <c r="N13" s="41">
        <v>8.1</v>
      </c>
      <c r="O13" s="41">
        <v>8.1</v>
      </c>
      <c r="P13" s="41">
        <v>8.1</v>
      </c>
      <c r="Q13">
        <v>88.5</v>
      </c>
      <c r="R13" s="41">
        <v>85.7</v>
      </c>
      <c r="BC13" s="41"/>
      <c r="BD13" s="41"/>
      <c r="BE13" s="41">
        <v>12</v>
      </c>
      <c r="BF13" s="41">
        <v>12</v>
      </c>
      <c r="BG13" s="41">
        <v>12</v>
      </c>
      <c r="BH13" s="41"/>
      <c r="BI13" s="41"/>
      <c r="BJ13" s="41"/>
      <c r="BK13" s="41"/>
      <c r="BL13" s="41"/>
      <c r="BM13" s="41"/>
      <c r="BN13" s="41"/>
      <c r="BO13" s="41"/>
      <c r="BP13" s="41"/>
      <c r="BQ13" s="41"/>
      <c r="BR13" s="41"/>
      <c r="BS13" s="41"/>
      <c r="BT13" s="41"/>
      <c r="BU13" s="41"/>
      <c r="BV13" s="41"/>
      <c r="BW13" s="41"/>
      <c r="BX13" s="41"/>
      <c r="EC13">
        <f>(80+100)/2</f>
        <v>90</v>
      </c>
      <c r="EX13" s="41">
        <v>12</v>
      </c>
      <c r="EY13" s="41">
        <v>12</v>
      </c>
    </row>
    <row r="14" spans="1:193">
      <c r="B14" t="s">
        <v>71</v>
      </c>
      <c r="C14" s="41">
        <v>13.8</v>
      </c>
      <c r="D14" s="41"/>
      <c r="E14" s="41">
        <v>13.8</v>
      </c>
      <c r="F14" s="41"/>
      <c r="G14" s="41"/>
      <c r="H14" s="41"/>
      <c r="I14" s="41"/>
      <c r="J14" s="41"/>
      <c r="K14" s="41">
        <v>13.8</v>
      </c>
      <c r="L14" s="41">
        <v>13.8</v>
      </c>
      <c r="M14" s="41">
        <v>13.8</v>
      </c>
      <c r="N14" s="41">
        <v>13.8</v>
      </c>
      <c r="O14" s="41">
        <v>13.8</v>
      </c>
      <c r="P14" s="41">
        <v>13.8</v>
      </c>
      <c r="BC14" s="41"/>
      <c r="BD14" s="41"/>
      <c r="BE14" s="41">
        <v>15</v>
      </c>
      <c r="BF14" s="41">
        <v>15</v>
      </c>
      <c r="BG14" s="41">
        <v>15</v>
      </c>
      <c r="BH14" s="41"/>
      <c r="BI14" s="41"/>
      <c r="BJ14" s="41"/>
      <c r="BK14" s="41"/>
      <c r="BL14" s="41"/>
      <c r="BM14" s="41"/>
      <c r="BN14" s="41"/>
      <c r="BO14" s="41"/>
      <c r="BP14" s="41"/>
      <c r="BQ14" s="41"/>
      <c r="BR14" s="41"/>
      <c r="BS14" s="41"/>
      <c r="BT14" s="41"/>
      <c r="BU14" s="41"/>
      <c r="BV14" s="41"/>
      <c r="BW14" s="41"/>
      <c r="BX14" s="41"/>
      <c r="EX14" s="41">
        <v>15</v>
      </c>
      <c r="EY14" s="41">
        <v>15</v>
      </c>
    </row>
    <row r="15" spans="1:193">
      <c r="A15" s="1" t="s">
        <v>72</v>
      </c>
      <c r="B15" t="s">
        <v>65</v>
      </c>
      <c r="C15" s="41">
        <v>2.3031654375338189E-3</v>
      </c>
    </row>
    <row r="16" spans="1:193">
      <c r="B16" t="s">
        <v>62</v>
      </c>
      <c r="C16" s="41">
        <v>8.1980352806225759E-2</v>
      </c>
    </row>
    <row r="17" spans="1:4">
      <c r="B17" t="s">
        <v>73</v>
      </c>
      <c r="C17" s="41">
        <v>0.12246677425253254</v>
      </c>
    </row>
    <row r="18" spans="1:4">
      <c r="B18" t="s">
        <v>74</v>
      </c>
      <c r="C18" s="41">
        <v>0.45445403783708543</v>
      </c>
    </row>
    <row r="19" spans="1:4">
      <c r="B19" t="s">
        <v>70</v>
      </c>
      <c r="C19" s="41">
        <v>0.33879566966662278</v>
      </c>
    </row>
    <row r="20" spans="1:4">
      <c r="B20" t="s">
        <v>71</v>
      </c>
      <c r="C20" s="41">
        <v>0</v>
      </c>
    </row>
    <row r="21" spans="1:4">
      <c r="B21" t="s">
        <v>66</v>
      </c>
      <c r="C21" s="41">
        <v>0</v>
      </c>
    </row>
    <row r="22" spans="1:4">
      <c r="B22" t="s">
        <v>69</v>
      </c>
      <c r="C22" s="41">
        <v>0</v>
      </c>
    </row>
    <row r="23" spans="1:4">
      <c r="B23" t="s">
        <v>60</v>
      </c>
      <c r="C23" s="41">
        <v>0</v>
      </c>
    </row>
    <row r="24" spans="1:4">
      <c r="A24" s="1" t="s">
        <v>75</v>
      </c>
      <c r="B24" t="s">
        <v>76</v>
      </c>
      <c r="C24" s="41">
        <v>0.89824190497385104</v>
      </c>
      <c r="D24" s="41">
        <v>0.89824190497385104</v>
      </c>
    </row>
    <row r="25" spans="1:4">
      <c r="B25" t="s">
        <v>77</v>
      </c>
    </row>
    <row r="26" spans="1:4">
      <c r="B26" t="s">
        <v>78</v>
      </c>
    </row>
    <row r="27" spans="1:4">
      <c r="A27" s="1" t="s">
        <v>79</v>
      </c>
      <c r="B27" t="s">
        <v>76</v>
      </c>
      <c r="C27" s="41">
        <v>1</v>
      </c>
      <c r="D27">
        <v>1</v>
      </c>
    </row>
    <row r="28" spans="1:4">
      <c r="B28" t="s">
        <v>80</v>
      </c>
    </row>
    <row r="29" spans="1:4">
      <c r="B29" t="s">
        <v>81</v>
      </c>
    </row>
    <row r="30" spans="1:4">
      <c r="A30" s="1" t="s">
        <v>606</v>
      </c>
      <c r="B30" t="s">
        <v>76</v>
      </c>
      <c r="C30" s="44">
        <v>12.69</v>
      </c>
    </row>
    <row r="31" spans="1:4">
      <c r="B31" t="s">
        <v>80</v>
      </c>
    </row>
    <row r="32" spans="1:4">
      <c r="B32" t="s">
        <v>81</v>
      </c>
    </row>
    <row r="33" spans="1:4">
      <c r="A33" s="1" t="s">
        <v>607</v>
      </c>
      <c r="B33" t="s">
        <v>76</v>
      </c>
      <c r="C33" s="41">
        <v>0.42</v>
      </c>
    </row>
    <row r="34" spans="1:4">
      <c r="B34" t="s">
        <v>77</v>
      </c>
    </row>
    <row r="35" spans="1:4">
      <c r="B35" t="s">
        <v>78</v>
      </c>
    </row>
    <row r="36" spans="1:4">
      <c r="A36" s="1" t="s">
        <v>84</v>
      </c>
      <c r="B36" t="s">
        <v>76</v>
      </c>
      <c r="C36" s="41">
        <v>1</v>
      </c>
      <c r="D36">
        <v>1</v>
      </c>
    </row>
    <row r="37" spans="1:4">
      <c r="B37" t="s">
        <v>80</v>
      </c>
    </row>
    <row r="38" spans="1:4">
      <c r="B38" t="s">
        <v>81</v>
      </c>
    </row>
    <row r="39" spans="1:4">
      <c r="A39" s="1" t="s">
        <v>608</v>
      </c>
      <c r="B39" t="s">
        <v>76</v>
      </c>
      <c r="C39">
        <v>16</v>
      </c>
    </row>
    <row r="40" spans="1:4">
      <c r="B40" t="s">
        <v>80</v>
      </c>
      <c r="C40"/>
    </row>
    <row r="41" spans="1:4">
      <c r="B41" t="s">
        <v>81</v>
      </c>
      <c r="C41"/>
    </row>
    <row r="42" spans="1:4">
      <c r="A42" s="1" t="s">
        <v>86</v>
      </c>
      <c r="B42" t="s">
        <v>76</v>
      </c>
      <c r="C42">
        <v>12.5</v>
      </c>
    </row>
    <row r="43" spans="1:4">
      <c r="B43" t="s">
        <v>80</v>
      </c>
      <c r="C43"/>
    </row>
    <row r="44" spans="1:4">
      <c r="B44" t="s">
        <v>81</v>
      </c>
      <c r="C44"/>
    </row>
    <row r="45" spans="1:4">
      <c r="A45" s="1" t="s">
        <v>87</v>
      </c>
      <c r="C45" s="41" t="s">
        <v>88</v>
      </c>
    </row>
    <row r="46" spans="1:4">
      <c r="A46" s="1" t="s">
        <v>89</v>
      </c>
      <c r="B46" t="s">
        <v>76</v>
      </c>
      <c r="C46" s="41">
        <v>0</v>
      </c>
    </row>
    <row r="47" spans="1:4">
      <c r="B47" t="s">
        <v>77</v>
      </c>
    </row>
    <row r="48" spans="1:4">
      <c r="B48" t="s">
        <v>78</v>
      </c>
    </row>
    <row r="49" spans="1:3">
      <c r="A49" s="1" t="s">
        <v>90</v>
      </c>
      <c r="C49" s="41" t="s">
        <v>91</v>
      </c>
    </row>
    <row r="50" spans="1:3">
      <c r="A50" s="1" t="s">
        <v>92</v>
      </c>
      <c r="B50" t="s">
        <v>76</v>
      </c>
      <c r="C50" s="41">
        <v>0.441176470588235</v>
      </c>
    </row>
    <row r="51" spans="1:3">
      <c r="B51" t="s">
        <v>77</v>
      </c>
      <c r="C51"/>
    </row>
    <row r="52" spans="1:3">
      <c r="B52" t="s">
        <v>78</v>
      </c>
      <c r="C52"/>
    </row>
    <row r="53" spans="1:3">
      <c r="A53" s="1" t="s">
        <v>93</v>
      </c>
      <c r="B53" t="s">
        <v>94</v>
      </c>
    </row>
    <row r="54" spans="1:3">
      <c r="A54" s="1" t="s">
        <v>95</v>
      </c>
      <c r="C54" s="41" t="s">
        <v>91</v>
      </c>
    </row>
    <row r="55" spans="1:3">
      <c r="A55" s="1" t="s">
        <v>96</v>
      </c>
      <c r="B55" t="s">
        <v>76</v>
      </c>
      <c r="C55" s="41">
        <v>3.8910505836575897E-2</v>
      </c>
    </row>
    <row r="56" spans="1:3">
      <c r="B56" t="s">
        <v>77</v>
      </c>
    </row>
    <row r="57" spans="1:3">
      <c r="B57" t="s">
        <v>78</v>
      </c>
    </row>
    <row r="58" spans="1:3">
      <c r="A58" s="1" t="s">
        <v>97</v>
      </c>
      <c r="B58" t="s">
        <v>76</v>
      </c>
      <c r="C58" s="41">
        <v>0.3</v>
      </c>
    </row>
    <row r="59" spans="1:3">
      <c r="B59" t="s">
        <v>77</v>
      </c>
      <c r="C59" s="52"/>
    </row>
    <row r="60" spans="1:3">
      <c r="B60" t="s">
        <v>78</v>
      </c>
      <c r="C60" s="52"/>
    </row>
    <row r="61" spans="1:3">
      <c r="A61" s="1" t="s">
        <v>98</v>
      </c>
      <c r="B61" t="s">
        <v>94</v>
      </c>
    </row>
    <row r="62" spans="1:3">
      <c r="A62" s="1" t="s">
        <v>99</v>
      </c>
      <c r="B62" t="s">
        <v>76</v>
      </c>
      <c r="C62" s="41">
        <v>1</v>
      </c>
    </row>
    <row r="63" spans="1:3">
      <c r="B63" t="s">
        <v>80</v>
      </c>
      <c r="C63"/>
    </row>
    <row r="64" spans="1:3">
      <c r="B64" t="s">
        <v>81</v>
      </c>
      <c r="C64"/>
    </row>
    <row r="65" spans="1:3">
      <c r="A65" s="1" t="s">
        <v>100</v>
      </c>
      <c r="B65" t="s">
        <v>76</v>
      </c>
      <c r="C65" s="41">
        <v>1</v>
      </c>
    </row>
    <row r="66" spans="1:3">
      <c r="B66" t="s">
        <v>80</v>
      </c>
      <c r="C66"/>
    </row>
    <row r="67" spans="1:3">
      <c r="B67" t="s">
        <v>81</v>
      </c>
      <c r="C67"/>
    </row>
    <row r="68" spans="1:3">
      <c r="A68" s="1" t="s">
        <v>101</v>
      </c>
      <c r="B68" t="s">
        <v>76</v>
      </c>
      <c r="C68" s="41">
        <v>1</v>
      </c>
    </row>
    <row r="69" spans="1:3">
      <c r="B69" t="s">
        <v>80</v>
      </c>
      <c r="C69"/>
    </row>
    <row r="70" spans="1:3">
      <c r="B70" t="s">
        <v>81</v>
      </c>
      <c r="C70"/>
    </row>
    <row r="71" spans="1:3">
      <c r="A71" s="1" t="s">
        <v>102</v>
      </c>
      <c r="B71" t="s">
        <v>76</v>
      </c>
      <c r="C71" s="41">
        <v>1</v>
      </c>
    </row>
    <row r="72" spans="1:3">
      <c r="B72" t="s">
        <v>80</v>
      </c>
      <c r="C72"/>
    </row>
    <row r="73" spans="1:3">
      <c r="B73" t="s">
        <v>81</v>
      </c>
      <c r="C73"/>
    </row>
    <row r="74" spans="1:3">
      <c r="A74" s="1" t="s">
        <v>103</v>
      </c>
      <c r="B74" t="s">
        <v>76</v>
      </c>
      <c r="C74" s="41">
        <v>1</v>
      </c>
    </row>
    <row r="75" spans="1:3">
      <c r="B75" t="s">
        <v>80</v>
      </c>
      <c r="C75"/>
    </row>
    <row r="76" spans="1:3">
      <c r="B76" t="s">
        <v>81</v>
      </c>
      <c r="C76"/>
    </row>
    <row r="77" spans="1:3">
      <c r="A77" s="1" t="s">
        <v>104</v>
      </c>
      <c r="B77" t="s">
        <v>65</v>
      </c>
      <c r="C77">
        <v>3340.8173200000001</v>
      </c>
    </row>
    <row r="78" spans="1:3">
      <c r="B78" t="s">
        <v>62</v>
      </c>
      <c r="C78" s="41">
        <v>278221.03999999998</v>
      </c>
    </row>
    <row r="79" spans="1:3">
      <c r="B79" t="s">
        <v>73</v>
      </c>
      <c r="C79">
        <v>163823.92000000001</v>
      </c>
    </row>
    <row r="80" spans="1:3">
      <c r="B80" t="s">
        <v>74</v>
      </c>
      <c r="C80">
        <v>1033752.25</v>
      </c>
    </row>
    <row r="81" spans="1:3">
      <c r="B81" t="s">
        <v>70</v>
      </c>
      <c r="C81">
        <v>371604.37</v>
      </c>
    </row>
    <row r="82" spans="1:3">
      <c r="B82" t="s">
        <v>71</v>
      </c>
    </row>
    <row r="83" spans="1:3">
      <c r="B83" t="s">
        <v>66</v>
      </c>
    </row>
    <row r="84" spans="1:3">
      <c r="B84" t="s">
        <v>69</v>
      </c>
    </row>
    <row r="85" spans="1:3">
      <c r="B85" t="s">
        <v>60</v>
      </c>
    </row>
    <row r="86" spans="1:3">
      <c r="A86" s="1" t="s">
        <v>105</v>
      </c>
      <c r="B86" t="s">
        <v>94</v>
      </c>
    </row>
    <row r="87" spans="1:3">
      <c r="A87" s="1" t="s">
        <v>106</v>
      </c>
      <c r="B87" t="s">
        <v>76</v>
      </c>
      <c r="C87" s="41">
        <v>0.625</v>
      </c>
    </row>
    <row r="88" spans="1:3">
      <c r="B88" t="s">
        <v>77</v>
      </c>
    </row>
    <row r="89" spans="1:3">
      <c r="B89" t="s">
        <v>78</v>
      </c>
    </row>
    <row r="90" spans="1:3">
      <c r="A90" s="1" t="s">
        <v>107</v>
      </c>
      <c r="C90" s="41" t="s">
        <v>108</v>
      </c>
    </row>
    <row r="91" spans="1:3">
      <c r="A91" s="1" t="s">
        <v>109</v>
      </c>
      <c r="C91" s="41" t="s">
        <v>110</v>
      </c>
    </row>
    <row r="92" spans="1:3">
      <c r="A92" s="1" t="s">
        <v>111</v>
      </c>
      <c r="C92">
        <v>0.98</v>
      </c>
    </row>
    <row r="93" spans="1:3">
      <c r="A93" s="1" t="s">
        <v>112</v>
      </c>
      <c r="C93" t="s">
        <v>113</v>
      </c>
    </row>
    <row r="94" spans="1:3">
      <c r="A94" s="1" t="s">
        <v>114</v>
      </c>
      <c r="C94" t="s">
        <v>115</v>
      </c>
    </row>
    <row r="95" spans="1:3">
      <c r="A95" s="1" t="s">
        <v>116</v>
      </c>
      <c r="C95">
        <v>0.98</v>
      </c>
    </row>
    <row r="96" spans="1:3">
      <c r="A96" s="1" t="s">
        <v>117</v>
      </c>
      <c r="C96" t="s">
        <v>118</v>
      </c>
    </row>
    <row r="97" spans="1:3">
      <c r="A97" s="1" t="s">
        <v>119</v>
      </c>
      <c r="C97" t="s">
        <v>120</v>
      </c>
    </row>
    <row r="98" spans="1:3">
      <c r="A98" s="1" t="s">
        <v>121</v>
      </c>
      <c r="C98">
        <v>0.99</v>
      </c>
    </row>
    <row r="99" spans="1:3">
      <c r="A99" s="1" t="s">
        <v>122</v>
      </c>
      <c r="C99" t="s">
        <v>118</v>
      </c>
    </row>
    <row r="100" spans="1:3">
      <c r="A100" s="1" t="s">
        <v>123</v>
      </c>
      <c r="C100" t="s">
        <v>120</v>
      </c>
    </row>
    <row r="101" spans="1:3">
      <c r="A101" s="1" t="s">
        <v>124</v>
      </c>
      <c r="C101" s="41">
        <v>7</v>
      </c>
    </row>
    <row r="102" spans="1:3">
      <c r="A102" s="1" t="s">
        <v>125</v>
      </c>
      <c r="C102" s="41" t="s">
        <v>126</v>
      </c>
    </row>
  </sheetData>
  <autoFilter ref="A2:C101" xr:uid="{00000000-0009-0000-0000-000001000000}"/>
  <phoneticPr fontId="1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75"/>
  <sheetViews>
    <sheetView topLeftCell="A5" workbookViewId="0">
      <selection activeCell="F3" sqref="F3"/>
    </sheetView>
  </sheetViews>
  <sheetFormatPr baseColWidth="10" defaultColWidth="8.83203125" defaultRowHeight="15"/>
  <cols>
    <col min="1" max="2" width="8.83203125" style="5"/>
    <col min="3" max="3" width="33.5" style="5" customWidth="1"/>
    <col min="4" max="4" width="28" style="5" customWidth="1"/>
    <col min="5" max="5" width="16.5" customWidth="1"/>
    <col min="6" max="6" width="24.1640625" bestFit="1" customWidth="1"/>
    <col min="7" max="7" width="9.83203125" customWidth="1"/>
    <col min="8" max="8" width="8.83203125" style="12"/>
    <col min="9" max="9" width="12.1640625" style="12" bestFit="1" customWidth="1"/>
    <col min="10" max="10" width="8.1640625" customWidth="1"/>
    <col min="11" max="11" width="16.5" customWidth="1"/>
    <col min="12" max="12" width="36.5" bestFit="1" customWidth="1"/>
  </cols>
  <sheetData>
    <row r="1" spans="1:18">
      <c r="A1" s="9" t="s">
        <v>127</v>
      </c>
      <c r="L1" s="34" t="s">
        <v>128</v>
      </c>
    </row>
    <row r="2" spans="1:18">
      <c r="L2" s="18" t="s">
        <v>129</v>
      </c>
    </row>
    <row r="3" spans="1:18" s="1" customFormat="1">
      <c r="A3" s="5" t="s">
        <v>130</v>
      </c>
      <c r="B3" s="5" t="s">
        <v>131</v>
      </c>
      <c r="C3" s="5" t="s">
        <v>132</v>
      </c>
      <c r="D3" s="5" t="s">
        <v>133</v>
      </c>
      <c r="E3" s="1" t="s">
        <v>134</v>
      </c>
      <c r="F3" s="1" t="s">
        <v>135</v>
      </c>
      <c r="G3" s="1" t="s">
        <v>136</v>
      </c>
      <c r="H3" s="13" t="s">
        <v>137</v>
      </c>
      <c r="I3" s="13" t="s">
        <v>138</v>
      </c>
      <c r="J3" s="1" t="s">
        <v>139</v>
      </c>
      <c r="K3" s="1" t="s">
        <v>6</v>
      </c>
      <c r="L3" s="1" t="s">
        <v>140</v>
      </c>
      <c r="M3" s="1" t="s">
        <v>141</v>
      </c>
      <c r="N3" s="1" t="s">
        <v>142</v>
      </c>
    </row>
    <row r="4" spans="1:18">
      <c r="A4" s="5">
        <v>3</v>
      </c>
      <c r="B4" s="5">
        <v>2</v>
      </c>
      <c r="C4" s="5" t="str">
        <f ca="1">IF(G4 = "",F4,IF(OR(G4="alpha",G4="beta",G4="constant",G4="sd",G4="mean",G4="sample"),F4,F4&amp;" "&amp;G4))</f>
        <v>parameter detail</v>
      </c>
      <c r="D4" s="5" t="str">
        <f t="shared" ref="D4:D15" ca="1" si="0">F4&amp;"_"&amp;E4</f>
        <v>parameter_南美洲</v>
      </c>
      <c r="E4" s="4" t="str" cm="1">
        <f t="array" aca="1" ref="E4" ca="1">INDIRECT(ADDRESS(1,A4,1,1,"all_city_parameter_inputs"))</f>
        <v>南美洲</v>
      </c>
      <c r="F4" s="6" t="str" cm="1">
        <f t="array" aca="1" ref="F4" ca="1">IF(AND(ISBLANK(INDIRECT(ADDRESS(B4,2,1,1,"all_city_parameter_inputs"))), ISBLANK(INDIRECT(ADDRESS(B4,1,1,1,"all_city_parameter_inputs")))), "", IF(ISBLANK(INDIRECT(ADDRESS(B4,1,1,1,"all_city_parameter_inputs"))), All_city_list!F3,INDIRECT(ADDRESS(B4,1,1,1,"all_city_parameter_inputs"))))</f>
        <v>parameter</v>
      </c>
      <c r="G4" s="4" t="str" cm="1">
        <f t="array" aca="1" ref="G4" ca="1">IF(AND(ISBLANK(INDIRECT(ADDRESS(B4,3,1,1,"all_city_parameter_inputs"))),ISBLANK(INDIRECT(ADDRESS(B4,2,1,1,"all_city_parameter_inputs")))),"",IF(ISBLANK(INDIRECT(ADDRESS(B4,2,1,1,"all_city_parameter_inputs"))),"",INDIRECT(ADDRESS(B4,2,1,1,"all_city_parameter_inputs"))))</f>
        <v>detail</v>
      </c>
      <c r="H4" s="14" t="str" cm="1">
        <f t="array" aca="1" ref="H4" ca="1">IF(ISBLANK(INDIRECT(ADDRESS(B4,A4,1,1,"all_city_parameter_inputs"))), "--",INDIRECT(ADDRESS(B4,A4,1,1,"all_city_parameter_inputs")))</f>
        <v>bogota</v>
      </c>
      <c r="I4" s="14" t="e">
        <f ca="1">IF(OR(G4="alpha",G4="beta",G4="sd",G4="mean"),"--",VLOOKUP(C4,Default!$B$5:$H$114,7,FALSE))</f>
        <v>#N/A</v>
      </c>
      <c r="J4" s="4" t="e">
        <f ca="1">VLOOKUP(F4,Lookup!$C$5:$D$110,2, FALSE)</f>
        <v>#N/A</v>
      </c>
      <c r="K4" s="4" t="e">
        <f ca="1">VLOOKUP(C4,Default!$B$4:$E$114,4, FALSE)</f>
        <v>#N/A</v>
      </c>
      <c r="L4" s="26"/>
      <c r="M4" s="18" t="s">
        <v>143</v>
      </c>
      <c r="N4" s="18"/>
      <c r="R4" s="7"/>
    </row>
    <row r="5" spans="1:18">
      <c r="A5" s="5">
        <v>3</v>
      </c>
      <c r="B5" s="5">
        <v>3</v>
      </c>
      <c r="C5" s="5" t="str">
        <f t="shared" ref="C5:C68" ca="1" si="1">IF(G5 = "",F5,IF(OR(G5="alpha",G5="beta",G5="constant",G5="sd",G5="mean",G5="sample"),F5,F5&amp;" "&amp;G5))</f>
        <v>speeds (单位是km/hour) auto_rickshaw</v>
      </c>
      <c r="D5" s="5" t="str">
        <f t="shared" ca="1" si="0"/>
        <v>speeds (单位是km/hour)_南美洲</v>
      </c>
      <c r="E5" s="4" t="str" cm="1">
        <f t="array" aca="1" ref="E5" ca="1">INDIRECT(ADDRESS(1,A5,1,1,"all_city_parameter_inputs"))</f>
        <v>南美洲</v>
      </c>
      <c r="F5" s="6" t="str" cm="1">
        <f t="array" aca="1" ref="F5" ca="1">IF(AND(ISBLANK(INDIRECT(ADDRESS(B5,2,1,1,"all_city_parameter_inputs"))), ISBLANK(INDIRECT(ADDRESS(B5,1,1,1,"all_city_parameter_inputs")))), "", IF(ISBLANK(INDIRECT(ADDRESS(B5,1,1,1,"all_city_parameter_inputs"))), All_city_list!F4,INDIRECT(ADDRESS(B5,1,1,1,"all_city_parameter_inputs"))))</f>
        <v>speeds (单位是km/hour)</v>
      </c>
      <c r="G5" s="4" t="str" cm="1">
        <f t="array" aca="1" ref="G5" ca="1">IF(AND(ISBLANK(INDIRECT(ADDRESS(B5,3,1,1,"all_city_parameter_inputs"))),ISBLANK(INDIRECT(ADDRESS(B5,2,1,1,"all_city_parameter_inputs")))),"",IF(ISBLANK(INDIRECT(ADDRESS(B5,2,1,1,"all_city_parameter_inputs"))),"",INDIRECT(ADDRESS(B5,2,1,1,"all_city_parameter_inputs"))))</f>
        <v>auto_rickshaw</v>
      </c>
      <c r="H5" s="14" cm="1">
        <f t="array" aca="1" ref="H5" ca="1">IF(ISBLANK(INDIRECT(ADDRESS(B5,A5,1,1,"all_city_parameter_inputs"))), "--",INDIRECT(ADDRESS(B5,A5,1,1,"all_city_parameter_inputs")))</f>
        <v>4</v>
      </c>
      <c r="I5" s="14" t="e">
        <f ca="1">IF(OR(G5="alpha",G5="beta",G5="sd",G5="mean"),"--",VLOOKUP(C5,Default!$B$5:$H$114,7,FALSE))</f>
        <v>#N/A</v>
      </c>
      <c r="J5" s="4" t="e">
        <f ca="1">VLOOKUP(F5,Lookup!$C$5:$D$110,2, FALSE)</f>
        <v>#N/A</v>
      </c>
      <c r="K5" s="4" t="e">
        <f ca="1">VLOOKUP(C5,Default!$B$4:$E$114,4, FALSE)</f>
        <v>#N/A</v>
      </c>
      <c r="L5" s="18" t="str" cm="1">
        <f t="array" aca="1" ref="L5" ca="1">IF(ISNA(VLOOKUP($D5,Grouped_Sources!$C:$C,1,FALSE)),"", INDIRECT(VLOOKUP($D5,Grouped_Sources!$C:$I,5,FALSE)))</f>
        <v/>
      </c>
      <c r="M5" s="18" t="str" cm="1">
        <f t="array" aca="1" ref="M5" ca="1">IF(ISNA(VLOOKUP($D5,Grouped_Sources!$C:$C,1,FALSE)),"", INDIRECT(VLOOKUP($D5,Grouped_Sources!$C:$I,6,FALSE)))</f>
        <v/>
      </c>
      <c r="N5" s="18" t="str" cm="1">
        <f t="array" aca="1" ref="N5" ca="1">IF(ISNA(VLOOKUP($D5,Grouped_Sources!$C:$C,1,FALSE)),"", INDIRECT(VLOOKUP($D5,Grouped_Sources!$C:$I,7,FALSE)))</f>
        <v/>
      </c>
      <c r="R5" s="7"/>
    </row>
    <row r="6" spans="1:18">
      <c r="A6" s="5">
        <v>3</v>
      </c>
      <c r="B6" s="5">
        <v>4</v>
      </c>
      <c r="C6" s="5" t="str">
        <f t="shared" ca="1" si="1"/>
        <v>speeds (单位是km/hour) bus</v>
      </c>
      <c r="D6" s="5" t="str">
        <f t="shared" ca="1" si="0"/>
        <v>speeds (单位是km/hour)_南美洲</v>
      </c>
      <c r="E6" s="4" t="str" cm="1">
        <f t="array" aca="1" ref="E6" ca="1">INDIRECT(ADDRESS(1,A6,1,1,"all_city_parameter_inputs"))</f>
        <v>南美洲</v>
      </c>
      <c r="F6" s="6" t="str" cm="1">
        <f t="array" aca="1" ref="F6" ca="1">IF(AND(ISBLANK(INDIRECT(ADDRESS(B6,2,1,1,"all_city_parameter_inputs"))), ISBLANK(INDIRECT(ADDRESS(B6,1,1,1,"all_city_parameter_inputs")))), "", IF(ISBLANK(INDIRECT(ADDRESS(B6,1,1,1,"all_city_parameter_inputs"))), All_city_list!F5,INDIRECT(ADDRESS(B6,1,1,1,"all_city_parameter_inputs"))))</f>
        <v>speeds (单位是km/hour)</v>
      </c>
      <c r="G6" s="4" t="str" cm="1">
        <f t="array" aca="1" ref="G6" ca="1">IF(AND(ISBLANK(INDIRECT(ADDRESS(B6,3,1,1,"all_city_parameter_inputs"))),ISBLANK(INDIRECT(ADDRESS(B6,2,1,1,"all_city_parameter_inputs")))),"",IF(ISBLANK(INDIRECT(ADDRESS(B6,2,1,1,"all_city_parameter_inputs"))),"",INDIRECT(ADDRESS(B6,2,1,1,"all_city_parameter_inputs"))))</f>
        <v>bus</v>
      </c>
      <c r="H6" s="14" cm="1">
        <f t="array" aca="1" ref="H6" ca="1">IF(ISBLANK(INDIRECT(ADDRESS(B6,A6,1,1,"all_city_parameter_inputs"))), "--",INDIRECT(ADDRESS(B6,A6,1,1,"all_city_parameter_inputs")))</f>
        <v>8.1</v>
      </c>
      <c r="I6" s="14" t="e">
        <f ca="1">IF(OR(G6="alpha",G6="beta",G6="sd",G6="mean"),"--",VLOOKUP(C6,Default!$B$5:$H$114,7,FALSE))</f>
        <v>#N/A</v>
      </c>
      <c r="J6" s="4" t="e">
        <f ca="1">VLOOKUP(F6,Lookup!$C$5:$D$110,2, FALSE)</f>
        <v>#N/A</v>
      </c>
      <c r="K6" s="4" t="e">
        <f ca="1">VLOOKUP(C6,Default!$B$4:$E$114,4, FALSE)</f>
        <v>#N/A</v>
      </c>
      <c r="L6" s="18" t="str" cm="1">
        <f t="array" aca="1" ref="L6" ca="1">IF(ISNA(VLOOKUP($D6,Grouped_Sources!$C:$C,1,FALSE)),"", INDIRECT(VLOOKUP($D6,Grouped_Sources!$C:$I,5,FALSE)))</f>
        <v/>
      </c>
      <c r="M6" s="18" t="str" cm="1">
        <f t="array" aca="1" ref="M6" ca="1">IF(ISNA(VLOOKUP($D6,Grouped_Sources!$C:$C,1,FALSE)),"", INDIRECT(VLOOKUP($D6,Grouped_Sources!$C:$I,6,FALSE)))</f>
        <v/>
      </c>
      <c r="N6" s="18" t="str" cm="1">
        <f t="array" aca="1" ref="N6" ca="1">IF(ISNA(VLOOKUP($D6,Grouped_Sources!$C:$C,1,FALSE)),"", INDIRECT(VLOOKUP($D6,Grouped_Sources!$C:$I,7,FALSE)))</f>
        <v/>
      </c>
      <c r="R6" s="7"/>
    </row>
    <row r="7" spans="1:18">
      <c r="A7" s="5">
        <v>3</v>
      </c>
      <c r="B7" s="5">
        <v>5</v>
      </c>
      <c r="C7" s="5" t="str">
        <f t="shared" ca="1" si="1"/>
        <v>speeds (单位是km/hour) car</v>
      </c>
      <c r="D7" s="5" t="str">
        <f t="shared" ca="1" si="0"/>
        <v>speeds (单位是km/hour)_南美洲</v>
      </c>
      <c r="E7" s="4" t="str" cm="1">
        <f t="array" aca="1" ref="E7" ca="1">INDIRECT(ADDRESS(1,A7,1,1,"all_city_parameter_inputs"))</f>
        <v>南美洲</v>
      </c>
      <c r="F7" s="6" t="str" cm="1">
        <f t="array" aca="1" ref="F7" ca="1">IF(AND(ISBLANK(INDIRECT(ADDRESS(B7,2,1,1,"all_city_parameter_inputs"))), ISBLANK(INDIRECT(ADDRESS(B7,1,1,1,"all_city_parameter_inputs")))), "", IF(ISBLANK(INDIRECT(ADDRESS(B7,1,1,1,"all_city_parameter_inputs"))), All_city_list!F6,INDIRECT(ADDRESS(B7,1,1,1,"all_city_parameter_inputs"))))</f>
        <v>speeds (单位是km/hour)</v>
      </c>
      <c r="G7" s="4" t="str" cm="1">
        <f t="array" aca="1" ref="G7" ca="1">IF(AND(ISBLANK(INDIRECT(ADDRESS(B7,3,1,1,"all_city_parameter_inputs"))),ISBLANK(INDIRECT(ADDRESS(B7,2,1,1,"all_city_parameter_inputs")))),"",IF(ISBLANK(INDIRECT(ADDRESS(B7,2,1,1,"all_city_parameter_inputs"))),"",INDIRECT(ADDRESS(B7,2,1,1,"all_city_parameter_inputs"))))</f>
        <v>car</v>
      </c>
      <c r="H7" s="14" cm="1">
        <f t="array" aca="1" ref="H7" ca="1">IF(ISBLANK(INDIRECT(ADDRESS(B7,A7,1,1,"all_city_parameter_inputs"))), "--",INDIRECT(ADDRESS(B7,A7,1,1,"all_city_parameter_inputs")))</f>
        <v>13.8</v>
      </c>
      <c r="I7" s="14" t="e">
        <f ca="1">IF(OR(G7="alpha",G7="beta",G7="sd",G7="mean"),"--",VLOOKUP(C7,Default!$B$5:$H$114,7,FALSE))</f>
        <v>#N/A</v>
      </c>
      <c r="J7" s="4" t="e">
        <f ca="1">VLOOKUP(F7,Lookup!$C$5:$D$110,2, FALSE)</f>
        <v>#N/A</v>
      </c>
      <c r="K7" s="4" t="e">
        <f ca="1">VLOOKUP(C7,Default!$B$4:$E$114,4, FALSE)</f>
        <v>#N/A</v>
      </c>
      <c r="L7" s="18" t="str" cm="1">
        <f t="array" aca="1" ref="L7" ca="1">IF(ISNA(VLOOKUP($D7,Grouped_Sources!$C:$C,1,FALSE)),"", INDIRECT(VLOOKUP($D7,Grouped_Sources!$C:$I,5,FALSE)))</f>
        <v/>
      </c>
      <c r="M7" s="18" t="str" cm="1">
        <f t="array" aca="1" ref="M7" ca="1">IF(ISNA(VLOOKUP($D7,Grouped_Sources!$C:$C,1,FALSE)),"", INDIRECT(VLOOKUP($D7,Grouped_Sources!$C:$I,6,FALSE)))</f>
        <v/>
      </c>
      <c r="N7" s="18" t="str" cm="1">
        <f t="array" aca="1" ref="N7" ca="1">IF(ISNA(VLOOKUP($D7,Grouped_Sources!$C:$C,1,FALSE)),"", INDIRECT(VLOOKUP($D7,Grouped_Sources!$C:$I,7,FALSE)))</f>
        <v/>
      </c>
      <c r="R7" s="7"/>
    </row>
    <row r="8" spans="1:18">
      <c r="A8" s="5">
        <v>3</v>
      </c>
      <c r="B8" s="5">
        <v>6</v>
      </c>
      <c r="C8" s="5" t="str">
        <f t="shared" ca="1" si="1"/>
        <v>speeds (单位是km/hour) cycle</v>
      </c>
      <c r="D8" s="5" t="str">
        <f t="shared" ca="1" si="0"/>
        <v>speeds (单位是km/hour)_南美洲</v>
      </c>
      <c r="E8" s="4" t="str" cm="1">
        <f t="array" aca="1" ref="E8" ca="1">INDIRECT(ADDRESS(1,A8,1,1,"all_city_parameter_inputs"))</f>
        <v>南美洲</v>
      </c>
      <c r="F8" s="6" t="str" cm="1">
        <f t="array" aca="1" ref="F8" ca="1">IF(AND(ISBLANK(INDIRECT(ADDRESS(B8,2,1,1,"all_city_parameter_inputs"))), ISBLANK(INDIRECT(ADDRESS(B8,1,1,1,"all_city_parameter_inputs")))), "", IF(ISBLANK(INDIRECT(ADDRESS(B8,1,1,1,"all_city_parameter_inputs"))), All_city_list!F7,INDIRECT(ADDRESS(B8,1,1,1,"all_city_parameter_inputs"))))</f>
        <v>speeds (单位是km/hour)</v>
      </c>
      <c r="G8" s="4" t="str" cm="1">
        <f t="array" aca="1" ref="G8" ca="1">IF(AND(ISBLANK(INDIRECT(ADDRESS(B8,3,1,1,"all_city_parameter_inputs"))),ISBLANK(INDIRECT(ADDRESS(B8,2,1,1,"all_city_parameter_inputs")))),"",IF(ISBLANK(INDIRECT(ADDRESS(B8,2,1,1,"all_city_parameter_inputs"))),"",INDIRECT(ADDRESS(B8,2,1,1,"all_city_parameter_inputs"))))</f>
        <v>cycle</v>
      </c>
      <c r="H8" s="14" cm="1">
        <f t="array" aca="1" ref="H8" ca="1">IF(ISBLANK(INDIRECT(ADDRESS(B8,A8,1,1,"all_city_parameter_inputs"))), "--",INDIRECT(ADDRESS(B8,A8,1,1,"all_city_parameter_inputs")))</f>
        <v>7.2</v>
      </c>
      <c r="I8" s="14" t="e">
        <f ca="1">IF(OR(G8="alpha",G8="beta",G8="sd",G8="mean"),"--",VLOOKUP(C8,Default!$B$5:$H$114,7,FALSE))</f>
        <v>#N/A</v>
      </c>
      <c r="J8" s="4" t="e">
        <f ca="1">VLOOKUP(F8,Lookup!$C$5:$D$110,2, FALSE)</f>
        <v>#N/A</v>
      </c>
      <c r="K8" s="4" t="e">
        <f ca="1">VLOOKUP(C8,Default!$B$4:$E$114,4, FALSE)</f>
        <v>#N/A</v>
      </c>
      <c r="L8" s="18" t="str" cm="1">
        <f t="array" aca="1" ref="L8" ca="1">IF(ISNA(VLOOKUP($D8,Grouped_Sources!$C:$C,1,FALSE)),"", INDIRECT(VLOOKUP($D8,Grouped_Sources!$C:$I,5,FALSE)))</f>
        <v/>
      </c>
      <c r="M8" s="18" t="str" cm="1">
        <f t="array" aca="1" ref="M8" ca="1">IF(ISNA(VLOOKUP($D8,Grouped_Sources!$C:$C,1,FALSE)),"", INDIRECT(VLOOKUP($D8,Grouped_Sources!$C:$I,6,FALSE)))</f>
        <v/>
      </c>
      <c r="N8" s="18" t="str" cm="1">
        <f t="array" aca="1" ref="N8" ca="1">IF(ISNA(VLOOKUP($D8,Grouped_Sources!$C:$C,1,FALSE)),"", INDIRECT(VLOOKUP($D8,Grouped_Sources!$C:$I,7,FALSE)))</f>
        <v/>
      </c>
      <c r="R8" s="7"/>
    </row>
    <row r="9" spans="1:18">
      <c r="A9" s="5">
        <v>3</v>
      </c>
      <c r="B9" s="5">
        <v>7</v>
      </c>
      <c r="C9" s="5" t="str">
        <f t="shared" ca="1" si="1"/>
        <v>speeds (单位是km/hour) subway</v>
      </c>
      <c r="D9" s="5" t="str">
        <f t="shared" ca="1" si="0"/>
        <v>speeds (单位是km/hour)_南美洲</v>
      </c>
      <c r="E9" s="4" t="str" cm="1">
        <f t="array" aca="1" ref="E9" ca="1">INDIRECT(ADDRESS(1,A9,1,1,"all_city_parameter_inputs"))</f>
        <v>南美洲</v>
      </c>
      <c r="F9" s="6" t="str" cm="1">
        <f t="array" aca="1" ref="F9" ca="1">IF(AND(ISBLANK(INDIRECT(ADDRESS(B9,2,1,1,"all_city_parameter_inputs"))), ISBLANK(INDIRECT(ADDRESS(B9,1,1,1,"all_city_parameter_inputs")))), "", IF(ISBLANK(INDIRECT(ADDRESS(B9,1,1,1,"all_city_parameter_inputs"))), All_city_list!F8,INDIRECT(ADDRESS(B9,1,1,1,"all_city_parameter_inputs"))))</f>
        <v>speeds (单位是km/hour)</v>
      </c>
      <c r="G9" s="4" t="str" cm="1">
        <f t="array" aca="1" ref="G9" ca="1">IF(AND(ISBLANK(INDIRECT(ADDRESS(B9,3,1,1,"all_city_parameter_inputs"))),ISBLANK(INDIRECT(ADDRESS(B9,2,1,1,"all_city_parameter_inputs")))),"",IF(ISBLANK(INDIRECT(ADDRESS(B9,2,1,1,"all_city_parameter_inputs"))),"",INDIRECT(ADDRESS(B9,2,1,1,"all_city_parameter_inputs"))))</f>
        <v>subway</v>
      </c>
      <c r="H9" s="14" cm="1">
        <f t="array" aca="1" ref="H9" ca="1">IF(ISBLANK(INDIRECT(ADDRESS(B9,A9,1,1,"all_city_parameter_inputs"))), "--",INDIRECT(ADDRESS(B9,A9,1,1,"all_city_parameter_inputs")))</f>
        <v>18.100000000000001</v>
      </c>
      <c r="I9" s="14" t="e">
        <f ca="1">IF(OR(G9="alpha",G9="beta",G9="sd",G9="mean"),"--",VLOOKUP(C9,Default!$B$5:$H$114,7,FALSE))</f>
        <v>#N/A</v>
      </c>
      <c r="J9" s="4" t="e">
        <f ca="1">VLOOKUP(F9,Lookup!$C$5:$D$110,2, FALSE)</f>
        <v>#N/A</v>
      </c>
      <c r="K9" s="4" t="e">
        <f ca="1">VLOOKUP(C9,Default!$B$4:$E$114,4, FALSE)</f>
        <v>#N/A</v>
      </c>
      <c r="L9" s="18" t="str" cm="1">
        <f t="array" aca="1" ref="L9" ca="1">IF(ISNA(VLOOKUP($D9,Grouped_Sources!$C:$C,1,FALSE)),"", INDIRECT(VLOOKUP($D9,Grouped_Sources!$C:$I,5,FALSE)))</f>
        <v/>
      </c>
      <c r="M9" s="18" t="str" cm="1">
        <f t="array" aca="1" ref="M9" ca="1">IF(ISNA(VLOOKUP($D9,Grouped_Sources!$C:$C,1,FALSE)),"", INDIRECT(VLOOKUP($D9,Grouped_Sources!$C:$I,6,FALSE)))</f>
        <v/>
      </c>
      <c r="N9" s="18" t="str" cm="1">
        <f t="array" aca="1" ref="N9" ca="1">IF(ISNA(VLOOKUP($D9,Grouped_Sources!$C:$C,1,FALSE)),"", INDIRECT(VLOOKUP($D9,Grouped_Sources!$C:$I,7,FALSE)))</f>
        <v/>
      </c>
      <c r="R9" s="7"/>
    </row>
    <row r="10" spans="1:18">
      <c r="A10" s="5">
        <v>3</v>
      </c>
      <c r="B10" s="5">
        <v>8</v>
      </c>
      <c r="C10" s="5" t="str">
        <f t="shared" ca="1" si="1"/>
        <v>speeds (单位是km/hour) motorcycle</v>
      </c>
      <c r="D10" s="5" t="str">
        <f t="shared" ca="1" si="0"/>
        <v>speeds (单位是km/hour)_南美洲</v>
      </c>
      <c r="E10" s="4" t="str" cm="1">
        <f t="array" aca="1" ref="E10" ca="1">INDIRECT(ADDRESS(1,A10,1,1,"all_city_parameter_inputs"))</f>
        <v>南美洲</v>
      </c>
      <c r="F10" s="6" t="str" cm="1">
        <f t="array" aca="1" ref="F10" ca="1">IF(AND(ISBLANK(INDIRECT(ADDRESS(B10,2,1,1,"all_city_parameter_inputs"))), ISBLANK(INDIRECT(ADDRESS(B10,1,1,1,"all_city_parameter_inputs")))), "", IF(ISBLANK(INDIRECT(ADDRESS(B10,1,1,1,"all_city_parameter_inputs"))), All_city_list!F9,INDIRECT(ADDRESS(B10,1,1,1,"all_city_parameter_inputs"))))</f>
        <v>speeds (单位是km/hour)</v>
      </c>
      <c r="G10" s="4" t="str" cm="1">
        <f t="array" aca="1" ref="G10" ca="1">IF(AND(ISBLANK(INDIRECT(ADDRESS(B10,3,1,1,"all_city_parameter_inputs"))),ISBLANK(INDIRECT(ADDRESS(B10,2,1,1,"all_city_parameter_inputs")))),"",IF(ISBLANK(INDIRECT(ADDRESS(B10,2,1,1,"all_city_parameter_inputs"))),"",INDIRECT(ADDRESS(B10,2,1,1,"all_city_parameter_inputs"))))</f>
        <v>motorcycle</v>
      </c>
      <c r="H10" s="14" cm="1">
        <f t="array" aca="1" ref="H10" ca="1">IF(ISBLANK(INDIRECT(ADDRESS(B10,A10,1,1,"all_city_parameter_inputs"))), "--",INDIRECT(ADDRESS(B10,A10,1,1,"all_city_parameter_inputs")))</f>
        <v>15.2</v>
      </c>
      <c r="I10" s="14" t="e">
        <f ca="1">IF(OR(G10="alpha",G10="beta",G10="sd",G10="mean"),"--",VLOOKUP(C10,Default!$B$5:$H$114,7,FALSE))</f>
        <v>#N/A</v>
      </c>
      <c r="J10" s="4" t="e">
        <f ca="1">VLOOKUP(F10,Lookup!$C$5:$D$110,2, FALSE)</f>
        <v>#N/A</v>
      </c>
      <c r="K10" s="4" t="e">
        <f ca="1">VLOOKUP(C10,Default!$B$4:$E$114,4, FALSE)</f>
        <v>#N/A</v>
      </c>
      <c r="L10" s="18" t="str" cm="1">
        <f t="array" aca="1" ref="L10" ca="1">IF(ISNA(VLOOKUP($D10,Grouped_Sources!$C:$C,1,FALSE)),"", INDIRECT(VLOOKUP($D10,Grouped_Sources!$C:$I,5,FALSE)))</f>
        <v/>
      </c>
      <c r="M10" s="18" t="str" cm="1">
        <f t="array" aca="1" ref="M10" ca="1">IF(ISNA(VLOOKUP($D10,Grouped_Sources!$C:$C,1,FALSE)),"", INDIRECT(VLOOKUP($D10,Grouped_Sources!$C:$I,6,FALSE)))</f>
        <v/>
      </c>
      <c r="N10" s="18" t="str" cm="1">
        <f t="array" aca="1" ref="N10" ca="1">IF(ISNA(VLOOKUP($D10,Grouped_Sources!$C:$C,1,FALSE)),"", INDIRECT(VLOOKUP($D10,Grouped_Sources!$C:$I,7,FALSE)))</f>
        <v/>
      </c>
      <c r="R10" s="7"/>
    </row>
    <row r="11" spans="1:18">
      <c r="A11" s="5">
        <v>3</v>
      </c>
      <c r="B11" s="5">
        <v>9</v>
      </c>
      <c r="C11" s="5" t="str">
        <f t="shared" ca="1" si="1"/>
        <v>speeds (单位是km/hour) other</v>
      </c>
      <c r="D11" s="5" t="str">
        <f t="shared" ca="1" si="0"/>
        <v>speeds (单位是km/hour)_南美洲</v>
      </c>
      <c r="E11" s="4" t="str" cm="1">
        <f t="array" aca="1" ref="E11" ca="1">INDIRECT(ADDRESS(1,A11,1,1,"all_city_parameter_inputs"))</f>
        <v>南美洲</v>
      </c>
      <c r="F11" s="6" t="str" cm="1">
        <f t="array" aca="1" ref="F11" ca="1">IF(AND(ISBLANK(INDIRECT(ADDRESS(B11,2,1,1,"all_city_parameter_inputs"))), ISBLANK(INDIRECT(ADDRESS(B11,1,1,1,"all_city_parameter_inputs")))), "", IF(ISBLANK(INDIRECT(ADDRESS(B11,1,1,1,"all_city_parameter_inputs"))), All_city_list!F10,INDIRECT(ADDRESS(B11,1,1,1,"all_city_parameter_inputs"))))</f>
        <v>speeds (单位是km/hour)</v>
      </c>
      <c r="G11" s="4" t="str" cm="1">
        <f t="array" aca="1" ref="G11" ca="1">IF(AND(ISBLANK(INDIRECT(ADDRESS(B11,3,1,1,"all_city_parameter_inputs"))),ISBLANK(INDIRECT(ADDRESS(B11,2,1,1,"all_city_parameter_inputs")))),"",IF(ISBLANK(INDIRECT(ADDRESS(B11,2,1,1,"all_city_parameter_inputs"))),"",INDIRECT(ADDRESS(B11,2,1,1,"all_city_parameter_inputs"))))</f>
        <v>other</v>
      </c>
      <c r="H11" s="14" cm="1">
        <f t="array" aca="1" ref="H11" ca="1">IF(ISBLANK(INDIRECT(ADDRESS(B11,A11,1,1,"all_city_parameter_inputs"))), "--",INDIRECT(ADDRESS(B11,A11,1,1,"all_city_parameter_inputs")))</f>
        <v>9.1</v>
      </c>
      <c r="I11" s="14" t="e">
        <f ca="1">IF(OR(G11="alpha",G11="beta",G11="sd",G11="mean"),"--",VLOOKUP(C11,Default!$B$5:$H$114,7,FALSE))</f>
        <v>#N/A</v>
      </c>
      <c r="J11" s="4" t="e">
        <f ca="1">VLOOKUP(F11,Lookup!$C$5:$D$110,2, FALSE)</f>
        <v>#N/A</v>
      </c>
      <c r="K11" s="4" t="e">
        <f ca="1">VLOOKUP(C11,Default!$B$4:$E$114,4, FALSE)</f>
        <v>#N/A</v>
      </c>
      <c r="L11" s="18" t="str" cm="1">
        <f t="array" aca="1" ref="L11" ca="1">IF(ISNA(VLOOKUP($D11,Grouped_Sources!$C:$C,1,FALSE)),"", INDIRECT(VLOOKUP($D11,Grouped_Sources!$C:$I,5,FALSE)))</f>
        <v/>
      </c>
      <c r="M11" s="18" t="str" cm="1">
        <f t="array" aca="1" ref="M11" ca="1">IF(ISNA(VLOOKUP($D11,Grouped_Sources!$C:$C,1,FALSE)),"", INDIRECT(VLOOKUP($D11,Grouped_Sources!$C:$I,6,FALSE)))</f>
        <v/>
      </c>
      <c r="N11" s="18" t="str" cm="1">
        <f t="array" aca="1" ref="N11" ca="1">IF(ISNA(VLOOKUP($D11,Grouped_Sources!$C:$C,1,FALSE)),"", INDIRECT(VLOOKUP($D11,Grouped_Sources!$C:$I,7,FALSE)))</f>
        <v/>
      </c>
      <c r="R11" s="7"/>
    </row>
    <row r="12" spans="1:18">
      <c r="A12" s="5">
        <v>3</v>
      </c>
      <c r="B12" s="5">
        <v>10</v>
      </c>
      <c r="C12" s="5" t="str">
        <f t="shared" ca="1" si="1"/>
        <v>speeds (单位是km/hour) pedestrian</v>
      </c>
      <c r="D12" s="5" t="str">
        <f t="shared" ca="1" si="0"/>
        <v>speeds (单位是km/hour)_南美洲</v>
      </c>
      <c r="E12" s="4" t="str" cm="1">
        <f t="array" aca="1" ref="E12" ca="1">INDIRECT(ADDRESS(1,A12,1,1,"all_city_parameter_inputs"))</f>
        <v>南美洲</v>
      </c>
      <c r="F12" s="6" t="str" cm="1">
        <f t="array" aca="1" ref="F12" ca="1">IF(AND(ISBLANK(INDIRECT(ADDRESS(B12,2,1,1,"all_city_parameter_inputs"))), ISBLANK(INDIRECT(ADDRESS(B12,1,1,1,"all_city_parameter_inputs")))), "", IF(ISBLANK(INDIRECT(ADDRESS(B12,1,1,1,"all_city_parameter_inputs"))), All_city_list!F11,INDIRECT(ADDRESS(B12,1,1,1,"all_city_parameter_inputs"))))</f>
        <v>speeds (单位是km/hour)</v>
      </c>
      <c r="G12" s="4" t="str" cm="1">
        <f t="array" aca="1" ref="G12" ca="1">IF(AND(ISBLANK(INDIRECT(ADDRESS(B12,3,1,1,"all_city_parameter_inputs"))),ISBLANK(INDIRECT(ADDRESS(B12,2,1,1,"all_city_parameter_inputs")))),"",IF(ISBLANK(INDIRECT(ADDRESS(B12,2,1,1,"all_city_parameter_inputs"))),"",INDIRECT(ADDRESS(B12,2,1,1,"all_city_parameter_inputs"))))</f>
        <v>pedestrian</v>
      </c>
      <c r="H12" s="14" cm="1">
        <f t="array" aca="1" ref="H12" ca="1">IF(ISBLANK(INDIRECT(ADDRESS(B12,A12,1,1,"all_city_parameter_inputs"))), "--",INDIRECT(ADDRESS(B12,A12,1,1,"all_city_parameter_inputs")))</f>
        <v>2.5</v>
      </c>
      <c r="I12" s="14" t="e">
        <f ca="1">IF(OR(G12="alpha",G12="beta",G12="sd",G12="mean"),"--",VLOOKUP(C12,Default!$B$5:$H$114,7,FALSE))</f>
        <v>#N/A</v>
      </c>
      <c r="J12" s="4" t="e">
        <f ca="1">VLOOKUP(F12,Lookup!$C$5:$D$110,2, FALSE)</f>
        <v>#N/A</v>
      </c>
      <c r="K12" s="4" t="e">
        <f ca="1">VLOOKUP(C12,Default!$B$4:$E$114,4, FALSE)</f>
        <v>#N/A</v>
      </c>
      <c r="L12" s="18" t="str" cm="1">
        <f t="array" aca="1" ref="L12" ca="1">IF(ISNA(VLOOKUP($D12,Grouped_Sources!$C:$C,1,FALSE)),"", INDIRECT(VLOOKUP($D12,Grouped_Sources!$C:$I,5,FALSE)))</f>
        <v/>
      </c>
      <c r="M12" s="18" t="str" cm="1">
        <f t="array" aca="1" ref="M12" ca="1">IF(ISNA(VLOOKUP($D12,Grouped_Sources!$C:$C,1,FALSE)),"", INDIRECT(VLOOKUP($D12,Grouped_Sources!$C:$I,6,FALSE)))</f>
        <v/>
      </c>
      <c r="N12" s="18" t="str" cm="1">
        <f t="array" aca="1" ref="N12" ca="1">IF(ISNA(VLOOKUP($D12,Grouped_Sources!$C:$C,1,FALSE)),"", INDIRECT(VLOOKUP($D12,Grouped_Sources!$C:$I,7,FALSE)))</f>
        <v/>
      </c>
      <c r="R12" s="7"/>
    </row>
    <row r="13" spans="1:18">
      <c r="A13" s="5">
        <v>3</v>
      </c>
      <c r="B13" s="5">
        <v>11</v>
      </c>
      <c r="C13" s="5" t="str">
        <f t="shared" ca="1" si="1"/>
        <v>speeds (单位是km/hour) rail</v>
      </c>
      <c r="D13" s="5" t="str">
        <f t="shared" ca="1" si="0"/>
        <v>speeds (单位是km/hour)_南美洲</v>
      </c>
      <c r="E13" s="4" t="str" cm="1">
        <f t="array" aca="1" ref="E13" ca="1">INDIRECT(ADDRESS(1,A13,1,1,"all_city_parameter_inputs"))</f>
        <v>南美洲</v>
      </c>
      <c r="F13" s="6" t="str" cm="1">
        <f t="array" aca="1" ref="F13" ca="1">IF(AND(ISBLANK(INDIRECT(ADDRESS(B13,2,1,1,"all_city_parameter_inputs"))), ISBLANK(INDIRECT(ADDRESS(B13,1,1,1,"all_city_parameter_inputs")))), "", IF(ISBLANK(INDIRECT(ADDRESS(B13,1,1,1,"all_city_parameter_inputs"))), All_city_list!F12,INDIRECT(ADDRESS(B13,1,1,1,"all_city_parameter_inputs"))))</f>
        <v>speeds (单位是km/hour)</v>
      </c>
      <c r="G13" s="4" t="str" cm="1">
        <f t="array" aca="1" ref="G13" ca="1">IF(AND(ISBLANK(INDIRECT(ADDRESS(B13,3,1,1,"all_city_parameter_inputs"))),ISBLANK(INDIRECT(ADDRESS(B13,2,1,1,"all_city_parameter_inputs")))),"",IF(ISBLANK(INDIRECT(ADDRESS(B13,2,1,1,"all_city_parameter_inputs"))),"",INDIRECT(ADDRESS(B13,2,1,1,"all_city_parameter_inputs"))))</f>
        <v>rail</v>
      </c>
      <c r="H13" s="14" cm="1">
        <f t="array" aca="1" ref="H13" ca="1">IF(ISBLANK(INDIRECT(ADDRESS(B13,A13,1,1,"all_city_parameter_inputs"))), "--",INDIRECT(ADDRESS(B13,A13,1,1,"all_city_parameter_inputs")))</f>
        <v>21.9</v>
      </c>
      <c r="I13" s="14" t="e">
        <f ca="1">IF(OR(G13="alpha",G13="beta",G13="sd",G13="mean"),"--",VLOOKUP(C13,Default!$B$5:$H$114,7,FALSE))</f>
        <v>#N/A</v>
      </c>
      <c r="J13" s="4" t="e">
        <f ca="1">VLOOKUP(F13,Lookup!$C$5:$D$110,2, FALSE)</f>
        <v>#N/A</v>
      </c>
      <c r="K13" s="4" t="e">
        <f ca="1">VLOOKUP(C13,Default!$B$4:$E$114,4, FALSE)</f>
        <v>#N/A</v>
      </c>
      <c r="L13" s="18" t="str" cm="1">
        <f t="array" aca="1" ref="L13" ca="1">IF(ISNA(VLOOKUP($D13,Grouped_Sources!$C:$C,1,FALSE)),"", INDIRECT(VLOOKUP($D13,Grouped_Sources!$C:$I,5,FALSE)))</f>
        <v/>
      </c>
      <c r="M13" s="18" t="str" cm="1">
        <f t="array" aca="1" ref="M13" ca="1">IF(ISNA(VLOOKUP($D13,Grouped_Sources!$C:$C,1,FALSE)),"", INDIRECT(VLOOKUP($D13,Grouped_Sources!$C:$I,6,FALSE)))</f>
        <v/>
      </c>
      <c r="N13" s="18" t="str" cm="1">
        <f t="array" aca="1" ref="N13" ca="1">IF(ISNA(VLOOKUP($D13,Grouped_Sources!$C:$C,1,FALSE)),"", INDIRECT(VLOOKUP($D13,Grouped_Sources!$C:$I,7,FALSE)))</f>
        <v/>
      </c>
      <c r="R13" s="7"/>
    </row>
    <row r="14" spans="1:18">
      <c r="A14" s="5">
        <v>3</v>
      </c>
      <c r="B14" s="5">
        <v>12</v>
      </c>
      <c r="C14" s="5" t="str">
        <f t="shared" ca="1" si="1"/>
        <v>speeds (单位是km/hour) taxi</v>
      </c>
      <c r="D14" s="5" t="str">
        <f t="shared" ca="1" si="0"/>
        <v>speeds (单位是km/hour)_南美洲</v>
      </c>
      <c r="E14" s="4" t="str" cm="1">
        <f t="array" aca="1" ref="E14" ca="1">INDIRECT(ADDRESS(1,A14,1,1,"all_city_parameter_inputs"))</f>
        <v>南美洲</v>
      </c>
      <c r="F14" s="6" t="str" cm="1">
        <f t="array" aca="1" ref="F14" ca="1">IF(AND(ISBLANK(INDIRECT(ADDRESS(B14,2,1,1,"all_city_parameter_inputs"))), ISBLANK(INDIRECT(ADDRESS(B14,1,1,1,"all_city_parameter_inputs")))), "", IF(ISBLANK(INDIRECT(ADDRESS(B14,1,1,1,"all_city_parameter_inputs"))), All_city_list!F13,INDIRECT(ADDRESS(B14,1,1,1,"all_city_parameter_inputs"))))</f>
        <v>speeds (单位是km/hour)</v>
      </c>
      <c r="G14" s="4" t="str" cm="1">
        <f t="array" aca="1" ref="G14" ca="1">IF(AND(ISBLANK(INDIRECT(ADDRESS(B14,3,1,1,"all_city_parameter_inputs"))),ISBLANK(INDIRECT(ADDRESS(B14,2,1,1,"all_city_parameter_inputs")))),"",IF(ISBLANK(INDIRECT(ADDRESS(B14,2,1,1,"all_city_parameter_inputs"))),"",INDIRECT(ADDRESS(B14,2,1,1,"all_city_parameter_inputs"))))</f>
        <v>taxi</v>
      </c>
      <c r="H14" s="14" cm="1">
        <f t="array" aca="1" ref="H14" ca="1">IF(ISBLANK(INDIRECT(ADDRESS(B14,A14,1,1,"all_city_parameter_inputs"))), "--",INDIRECT(ADDRESS(B14,A14,1,1,"all_city_parameter_inputs")))</f>
        <v>12.559999999999999</v>
      </c>
      <c r="I14" s="14" t="e">
        <f ca="1">IF(OR(G14="alpha",G14="beta",G14="sd",G14="mean"),"--",VLOOKUP(C14,Default!$B$5:$H$114,7,FALSE))</f>
        <v>#N/A</v>
      </c>
      <c r="J14" s="4" t="e">
        <f ca="1">VLOOKUP(F14,Lookup!$C$5:$D$110,2, FALSE)</f>
        <v>#N/A</v>
      </c>
      <c r="K14" s="4" t="e">
        <f ca="1">VLOOKUP(C14,Default!$B$4:$E$114,4, FALSE)</f>
        <v>#N/A</v>
      </c>
      <c r="L14" s="18" t="str" cm="1">
        <f t="array" aca="1" ref="L14" ca="1">IF(ISNA(VLOOKUP($D14,Grouped_Sources!$C:$C,1,FALSE)),"", INDIRECT(VLOOKUP($D14,Grouped_Sources!$C:$I,5,FALSE)))</f>
        <v/>
      </c>
      <c r="M14" s="18" t="str" cm="1">
        <f t="array" aca="1" ref="M14" ca="1">IF(ISNA(VLOOKUP($D14,Grouped_Sources!$C:$C,1,FALSE)),"", INDIRECT(VLOOKUP($D14,Grouped_Sources!$C:$I,6,FALSE)))</f>
        <v/>
      </c>
      <c r="N14" s="18" t="str" cm="1">
        <f t="array" aca="1" ref="N14" ca="1">IF(ISNA(VLOOKUP($D14,Grouped_Sources!$C:$C,1,FALSE)),"", INDIRECT(VLOOKUP($D14,Grouped_Sources!$C:$I,7,FALSE)))</f>
        <v/>
      </c>
      <c r="R14" s="7"/>
    </row>
    <row r="15" spans="1:18">
      <c r="A15" s="5">
        <v>3</v>
      </c>
      <c r="B15" s="5">
        <v>13</v>
      </c>
      <c r="C15" s="5" t="str">
        <f t="shared" ca="1" si="1"/>
        <v>speeds (单位是km/hour) truck</v>
      </c>
      <c r="D15" s="5" t="str">
        <f t="shared" ca="1" si="0"/>
        <v>speeds (单位是km/hour)_南美洲</v>
      </c>
      <c r="E15" s="4" t="str" cm="1">
        <f t="array" aca="1" ref="E15" ca="1">INDIRECT(ADDRESS(1,A15,1,1,"all_city_parameter_inputs"))</f>
        <v>南美洲</v>
      </c>
      <c r="F15" s="6" t="str" cm="1">
        <f t="array" aca="1" ref="F15" ca="1">IF(AND(ISBLANK(INDIRECT(ADDRESS(B15,2,1,1,"all_city_parameter_inputs"))), ISBLANK(INDIRECT(ADDRESS(B15,1,1,1,"all_city_parameter_inputs")))), "", IF(ISBLANK(INDIRECT(ADDRESS(B15,1,1,1,"all_city_parameter_inputs"))), All_city_list!F14,INDIRECT(ADDRESS(B15,1,1,1,"all_city_parameter_inputs"))))</f>
        <v>speeds (单位是km/hour)</v>
      </c>
      <c r="G15" s="4" t="str" cm="1">
        <f t="array" aca="1" ref="G15" ca="1">IF(AND(ISBLANK(INDIRECT(ADDRESS(B15,3,1,1,"all_city_parameter_inputs"))),ISBLANK(INDIRECT(ADDRESS(B15,2,1,1,"all_city_parameter_inputs")))),"",IF(ISBLANK(INDIRECT(ADDRESS(B15,2,1,1,"all_city_parameter_inputs"))),"",INDIRECT(ADDRESS(B15,2,1,1,"all_city_parameter_inputs"))))</f>
        <v>truck</v>
      </c>
      <c r="H15" s="14" cm="1">
        <f t="array" aca="1" ref="H15" ca="1">IF(ISBLANK(INDIRECT(ADDRESS(B15,A15,1,1,"all_city_parameter_inputs"))), "--",INDIRECT(ADDRESS(B15,A15,1,1,"all_city_parameter_inputs")))</f>
        <v>8.1</v>
      </c>
      <c r="I15" s="14" t="e">
        <f ca="1">IF(OR(G15="alpha",G15="beta",G15="sd",G15="mean"),"--",VLOOKUP(C15,Default!$B$5:$H$114,7,FALSE))</f>
        <v>#N/A</v>
      </c>
      <c r="J15" s="4" t="e">
        <f ca="1">VLOOKUP(F15,Lookup!$C$5:$D$110,2, FALSE)</f>
        <v>#N/A</v>
      </c>
      <c r="K15" s="4" t="e">
        <f ca="1">VLOOKUP(C15,Default!$B$4:$E$114,4, FALSE)</f>
        <v>#N/A</v>
      </c>
      <c r="L15" s="18" t="str" cm="1">
        <f t="array" aca="1" ref="L15" ca="1">IF(ISNA(VLOOKUP($D15,Grouped_Sources!$C:$C,1,FALSE)),"", INDIRECT(VLOOKUP($D15,Grouped_Sources!$C:$I,5,FALSE)))</f>
        <v/>
      </c>
      <c r="M15" s="18" t="str" cm="1">
        <f t="array" aca="1" ref="M15" ca="1">IF(ISNA(VLOOKUP($D15,Grouped_Sources!$C:$C,1,FALSE)),"", INDIRECT(VLOOKUP($D15,Grouped_Sources!$C:$I,6,FALSE)))</f>
        <v/>
      </c>
      <c r="N15" s="18" t="str" cm="1">
        <f t="array" aca="1" ref="N15" ca="1">IF(ISNA(VLOOKUP($D15,Grouped_Sources!$C:$C,1,FALSE)),"", INDIRECT(VLOOKUP($D15,Grouped_Sources!$C:$I,7,FALSE)))</f>
        <v/>
      </c>
      <c r="R15" s="7"/>
    </row>
    <row r="16" spans="1:18">
      <c r="A16" s="5">
        <v>3</v>
      </c>
      <c r="B16" s="5">
        <v>14</v>
      </c>
      <c r="C16" s="5" t="str">
        <f t="shared" ca="1" si="1"/>
        <v>speeds (单位是km/hour) van</v>
      </c>
      <c r="D16" s="5" t="str">
        <f t="shared" ref="D16:D17" ca="1" si="2">F16&amp;"_"&amp;E16</f>
        <v>speeds (单位是km/hour)_南美洲</v>
      </c>
      <c r="E16" s="4" t="str" cm="1">
        <f t="array" aca="1" ref="E16" ca="1">INDIRECT(ADDRESS(1,A16,1,1,"all_city_parameter_inputs"))</f>
        <v>南美洲</v>
      </c>
      <c r="F16" s="6" t="str" cm="1">
        <f t="array" aca="1" ref="F16" ca="1">IF(AND(ISBLANK(INDIRECT(ADDRESS(B16,2,1,1,"all_city_parameter_inputs"))), ISBLANK(INDIRECT(ADDRESS(B16,1,1,1,"all_city_parameter_inputs")))), "", IF(ISBLANK(INDIRECT(ADDRESS(B16,1,1,1,"all_city_parameter_inputs"))), All_city_list!F5,INDIRECT(ADDRESS(B16,1,1,1,"all_city_parameter_inputs"))))</f>
        <v>speeds (单位是km/hour)</v>
      </c>
      <c r="G16" s="4" t="str" cm="1">
        <f t="array" aca="1" ref="G16" ca="1">IF(AND(ISBLANK(INDIRECT(ADDRESS(B16,3,1,1,"all_city_parameter_inputs"))),ISBLANK(INDIRECT(ADDRESS(B16,2,1,1,"all_city_parameter_inputs")))),"",IF(ISBLANK(INDIRECT(ADDRESS(B16,2,1,1,"all_city_parameter_inputs"))),"",INDIRECT(ADDRESS(B16,2,1,1,"all_city_parameter_inputs"))))</f>
        <v>van</v>
      </c>
      <c r="H16" s="14" cm="1">
        <f t="array" aca="1" ref="H16" ca="1">IF(ISBLANK(INDIRECT(ADDRESS(B16,A16,1,1,"all_city_parameter_inputs"))), "--",INDIRECT(ADDRESS(B16,A16,1,1,"all_city_parameter_inputs")))</f>
        <v>13.8</v>
      </c>
      <c r="I16" s="14" t="e">
        <f ca="1">IF(OR(G16="alpha",G16="beta",G16="sd",G16="mean"),"--",VLOOKUP(C16,Default!$B$5:$H$114,7,FALSE))</f>
        <v>#N/A</v>
      </c>
      <c r="J16" s="4" t="e">
        <f ca="1">VLOOKUP(F16,Lookup!$C$5:$D$110,2, FALSE)</f>
        <v>#N/A</v>
      </c>
      <c r="K16" s="4" t="e">
        <f ca="1">VLOOKUP(C16,Default!$B$4:$E$114,4, FALSE)</f>
        <v>#N/A</v>
      </c>
      <c r="L16" s="54" t="s">
        <v>144</v>
      </c>
      <c r="M16" s="34" t="s">
        <v>145</v>
      </c>
      <c r="N16" s="55"/>
    </row>
    <row r="17" spans="1:14">
      <c r="A17" s="5">
        <v>3</v>
      </c>
      <c r="B17" s="5">
        <v>15</v>
      </c>
      <c r="C17" s="5" t="str">
        <f t="shared" ca="1" si="1"/>
        <v>PM_emission_inventories motorcycle</v>
      </c>
      <c r="D17" s="5" t="str">
        <f t="shared" ca="1" si="2"/>
        <v>PM_emission_inventories_南美洲</v>
      </c>
      <c r="E17" s="4" t="str" cm="1">
        <f t="array" aca="1" ref="E17" ca="1">INDIRECT(ADDRESS(1,A17,1,1,"all_city_parameter_inputs"))</f>
        <v>南美洲</v>
      </c>
      <c r="F17" s="6" t="str" cm="1">
        <f t="array" aca="1" ref="F17" ca="1">IF(AND(ISBLANK(INDIRECT(ADDRESS(B17,2,1,1,"all_city_parameter_inputs"))), ISBLANK(INDIRECT(ADDRESS(B17,1,1,1,"all_city_parameter_inputs")))), "", IF(ISBLANK(INDIRECT(ADDRESS(B17,1,1,1,"all_city_parameter_inputs"))), All_city_list!F16,INDIRECT(ADDRESS(B17,1,1,1,"all_city_parameter_inputs"))))</f>
        <v>PM_emission_inventories</v>
      </c>
      <c r="G17" s="4" t="str" cm="1">
        <f t="array" aca="1" ref="G17" ca="1">IF(AND(ISBLANK(INDIRECT(ADDRESS(B17,3,1,1,"all_city_parameter_inputs"))),ISBLANK(INDIRECT(ADDRESS(B17,2,1,1,"all_city_parameter_inputs")))),"",IF(ISBLANK(INDIRECT(ADDRESS(B17,2,1,1,"all_city_parameter_inputs"))),"",INDIRECT(ADDRESS(B17,2,1,1,"all_city_parameter_inputs"))))</f>
        <v>motorcycle</v>
      </c>
      <c r="H17" s="14" cm="1">
        <f t="array" aca="1" ref="H17" ca="1">IF(ISBLANK(INDIRECT(ADDRESS(B17,A17,1,1,"all_city_parameter_inputs"))), "--",INDIRECT(ADDRESS(B17,A17,1,1,"all_city_parameter_inputs")))</f>
        <v>2.3031654375338189E-3</v>
      </c>
      <c r="I17" s="14">
        <f ca="1">IF(OR(G17="alpha",G17="beta",G17="sd",G17="mean"),"--",VLOOKUP(C17,Default!$B$5:$H$114,7,FALSE))</f>
        <v>2.3031654375338189E-3</v>
      </c>
      <c r="J17" s="4" t="str">
        <f ca="1">VLOOKUP(F17,Lookup!$C$5:$D$110,2, FALSE)</f>
        <v>Pollution values</v>
      </c>
      <c r="K17" s="4" t="str">
        <f ca="1">VLOOKUP(C17,Default!$B$4:$E$114,4,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7" s="18" t="str" cm="1">
        <f t="array" aca="1" ref="L17" ca="1">IF(ISNA(VLOOKUP($D17,Grouped_Sources!$C:$C,1,FALSE)),"", INDIRECT(VLOOKUP($D17,Grouped_Sources!$C:$I,5,FALSE)))</f>
        <v/>
      </c>
      <c r="M17" s="18" t="str" cm="1">
        <f t="array" aca="1" ref="M17" ca="1">IF(ISNA(VLOOKUP($D17,Grouped_Sources!$C:$C,1,FALSE)),"", INDIRECT(VLOOKUP($D17,Grouped_Sources!$C:$I,6,FALSE)))</f>
        <v/>
      </c>
      <c r="N17" s="18" t="str" cm="1">
        <f t="array" aca="1" ref="N17" ca="1">IF(ISNA(VLOOKUP($D17,Grouped_Sources!$C:$C,1,FALSE)),"", INDIRECT(VLOOKUP($D17,Grouped_Sources!$C:$I,7,FALSE)))</f>
        <v/>
      </c>
    </row>
    <row r="18" spans="1:14">
      <c r="A18" s="5">
        <v>3</v>
      </c>
      <c r="B18" s="5">
        <v>16</v>
      </c>
      <c r="C18" s="5" t="str">
        <f t="shared" ca="1" si="1"/>
        <v>PM_emission_inventories car</v>
      </c>
      <c r="D18" s="5" t="str">
        <f t="shared" ref="D18:D81" ca="1" si="3">F18&amp;"_"&amp;E18</f>
        <v>PM_emission_inventories_南美洲</v>
      </c>
      <c r="E18" s="4" t="str" cm="1">
        <f t="array" aca="1" ref="E18" ca="1">INDIRECT(ADDRESS(1,A18,1,1,"all_city_parameter_inputs"))</f>
        <v>南美洲</v>
      </c>
      <c r="F18" s="6" t="str" cm="1">
        <f t="array" aca="1" ref="F18" ca="1">IF(AND(ISBLANK(INDIRECT(ADDRESS(B18,2,1,1,"all_city_parameter_inputs"))), ISBLANK(INDIRECT(ADDRESS(B18,1,1,1,"all_city_parameter_inputs")))), "", IF(ISBLANK(INDIRECT(ADDRESS(B18,1,1,1,"all_city_parameter_inputs"))), All_city_list!F17,INDIRECT(ADDRESS(B18,1,1,1,"all_city_parameter_inputs"))))</f>
        <v>PM_emission_inventories</v>
      </c>
      <c r="G18" s="4" t="str" cm="1">
        <f t="array" aca="1" ref="G18" ca="1">IF(AND(ISBLANK(INDIRECT(ADDRESS(B18,3,1,1,"all_city_parameter_inputs"))),ISBLANK(INDIRECT(ADDRESS(B18,2,1,1,"all_city_parameter_inputs")))),"",IF(ISBLANK(INDIRECT(ADDRESS(B18,2,1,1,"all_city_parameter_inputs"))),"",INDIRECT(ADDRESS(B18,2,1,1,"all_city_parameter_inputs"))))</f>
        <v>car</v>
      </c>
      <c r="H18" s="14" cm="1">
        <f t="array" aca="1" ref="H18" ca="1">IF(ISBLANK(INDIRECT(ADDRESS(B18,A18,1,1,"all_city_parameter_inputs"))), "--",INDIRECT(ADDRESS(B18,A18,1,1,"all_city_parameter_inputs")))</f>
        <v>8.1980352806225759E-2</v>
      </c>
      <c r="I18" s="14">
        <f ca="1">IF(OR(G18="alpha",G18="beta",G18="sd",G18="mean"),"--",VLOOKUP(C18,Default!$B$5:$H$114,7,FALSE))</f>
        <v>8.1980352806225759E-2</v>
      </c>
      <c r="J18" s="4" t="str">
        <f ca="1">VLOOKUP(F18,Lookup!$C$5:$D$110,2, FALSE)</f>
        <v>Pollution values</v>
      </c>
      <c r="K18" s="4">
        <f ca="1">VLOOKUP(C18,Default!$B$4:$E$114,4, FALSE)</f>
        <v>0</v>
      </c>
      <c r="L18" s="18" t="str" cm="1">
        <f t="array" aca="1" ref="L18" ca="1">IF(ISNA(VLOOKUP($D18,Grouped_Sources!$C:$C,1,FALSE)),"", INDIRECT(VLOOKUP($D18,Grouped_Sources!$C:$I,5,FALSE)))</f>
        <v/>
      </c>
      <c r="M18" s="18" t="str" cm="1">
        <f t="array" aca="1" ref="M18" ca="1">IF(ISNA(VLOOKUP($D18,Grouped_Sources!$C:$C,1,FALSE)),"", INDIRECT(VLOOKUP($D18,Grouped_Sources!$C:$I,6,FALSE)))</f>
        <v/>
      </c>
      <c r="N18" s="18" t="str" cm="1">
        <f t="array" aca="1" ref="N18" ca="1">IF(ISNA(VLOOKUP($D18,Grouped_Sources!$C:$C,1,FALSE)),"", INDIRECT(VLOOKUP($D18,Grouped_Sources!$C:$I,7,FALSE)))</f>
        <v/>
      </c>
    </row>
    <row r="19" spans="1:14">
      <c r="A19" s="5">
        <v>3</v>
      </c>
      <c r="B19" s="5">
        <v>17</v>
      </c>
      <c r="C19" s="5" t="str">
        <f t="shared" ca="1" si="1"/>
        <v>PM_emission_inventories bus_driver</v>
      </c>
      <c r="D19" s="5" t="str">
        <f t="shared" ca="1" si="3"/>
        <v>PM_emission_inventories_南美洲</v>
      </c>
      <c r="E19" s="4" t="str" cm="1">
        <f t="array" aca="1" ref="E19" ca="1">INDIRECT(ADDRESS(1,A19,1,1,"all_city_parameter_inputs"))</f>
        <v>南美洲</v>
      </c>
      <c r="F19" s="6" t="str" cm="1">
        <f t="array" aca="1" ref="F19" ca="1">IF(AND(ISBLANK(INDIRECT(ADDRESS(B19,2,1,1,"all_city_parameter_inputs"))), ISBLANK(INDIRECT(ADDRESS(B19,1,1,1,"all_city_parameter_inputs")))), "", IF(ISBLANK(INDIRECT(ADDRESS(B19,1,1,1,"all_city_parameter_inputs"))), All_city_list!F18,INDIRECT(ADDRESS(B19,1,1,1,"all_city_parameter_inputs"))))</f>
        <v>PM_emission_inventories</v>
      </c>
      <c r="G19" s="4" t="str" cm="1">
        <f t="array" aca="1" ref="G19" ca="1">IF(AND(ISBLANK(INDIRECT(ADDRESS(B19,3,1,1,"all_city_parameter_inputs"))),ISBLANK(INDIRECT(ADDRESS(B19,2,1,1,"all_city_parameter_inputs")))),"",IF(ISBLANK(INDIRECT(ADDRESS(B19,2,1,1,"all_city_parameter_inputs"))),"",INDIRECT(ADDRESS(B19,2,1,1,"all_city_parameter_inputs"))))</f>
        <v>bus_driver</v>
      </c>
      <c r="H19" s="14" cm="1">
        <f t="array" aca="1" ref="H19" ca="1">IF(ISBLANK(INDIRECT(ADDRESS(B19,A19,1,1,"all_city_parameter_inputs"))), "--",INDIRECT(ADDRESS(B19,A19,1,1,"all_city_parameter_inputs")))</f>
        <v>0.12246677425253254</v>
      </c>
      <c r="I19" s="14">
        <f ca="1">IF(OR(G19="alpha",G19="beta",G19="sd",G19="mean"),"--",VLOOKUP(C19,Default!$B$5:$H$114,7,FALSE))</f>
        <v>0.12246677425253254</v>
      </c>
      <c r="J19" s="4" t="str">
        <f ca="1">VLOOKUP(F19,Lookup!$C$5:$D$110,2, FALSE)</f>
        <v>Pollution values</v>
      </c>
      <c r="K19" s="4">
        <f ca="1">VLOOKUP(C19,Default!$B$4:$E$114,4, FALSE)</f>
        <v>0</v>
      </c>
      <c r="L19" s="18" t="str" cm="1">
        <f t="array" aca="1" ref="L19" ca="1">IF(ISNA(VLOOKUP($D19,Grouped_Sources!$C:$C,1,FALSE)),"", INDIRECT(VLOOKUP($D19,Grouped_Sources!$C:$I,5,FALSE)))</f>
        <v/>
      </c>
      <c r="M19" s="18" t="str" cm="1">
        <f t="array" aca="1" ref="M19" ca="1">IF(ISNA(VLOOKUP($D19,Grouped_Sources!$C:$C,1,FALSE)),"", INDIRECT(VLOOKUP($D19,Grouped_Sources!$C:$I,6,FALSE)))</f>
        <v/>
      </c>
      <c r="N19" s="18" t="str" cm="1">
        <f t="array" aca="1" ref="N19" ca="1">IF(ISNA(VLOOKUP($D19,Grouped_Sources!$C:$C,1,FALSE)),"", INDIRECT(VLOOKUP($D19,Grouped_Sources!$C:$I,7,FALSE)))</f>
        <v/>
      </c>
    </row>
    <row r="20" spans="1:14">
      <c r="A20" s="5">
        <v>3</v>
      </c>
      <c r="B20" s="5">
        <v>18</v>
      </c>
      <c r="C20" s="5" t="str">
        <f t="shared" ca="1" si="1"/>
        <v>PM_emission_inventories heavy_truck</v>
      </c>
      <c r="D20" s="5" t="str">
        <f t="shared" ca="1" si="3"/>
        <v>PM_emission_inventories_南美洲</v>
      </c>
      <c r="E20" s="4" t="str" cm="1">
        <f t="array" aca="1" ref="E20" ca="1">INDIRECT(ADDRESS(1,A20,1,1,"all_city_parameter_inputs"))</f>
        <v>南美洲</v>
      </c>
      <c r="F20" s="6" t="str" cm="1">
        <f t="array" aca="1" ref="F20" ca="1">IF(AND(ISBLANK(INDIRECT(ADDRESS(B20,2,1,1,"all_city_parameter_inputs"))), ISBLANK(INDIRECT(ADDRESS(B20,1,1,1,"all_city_parameter_inputs")))), "", IF(ISBLANK(INDIRECT(ADDRESS(B20,1,1,1,"all_city_parameter_inputs"))), All_city_list!F19,INDIRECT(ADDRESS(B20,1,1,1,"all_city_parameter_inputs"))))</f>
        <v>PM_emission_inventories</v>
      </c>
      <c r="G20" s="4" t="str" cm="1">
        <f t="array" aca="1" ref="G20" ca="1">IF(AND(ISBLANK(INDIRECT(ADDRESS(B20,3,1,1,"all_city_parameter_inputs"))),ISBLANK(INDIRECT(ADDRESS(B20,2,1,1,"all_city_parameter_inputs")))),"",IF(ISBLANK(INDIRECT(ADDRESS(B20,2,1,1,"all_city_parameter_inputs"))),"",INDIRECT(ADDRESS(B20,2,1,1,"all_city_parameter_inputs"))))</f>
        <v>heavy_truck</v>
      </c>
      <c r="H20" s="14" cm="1">
        <f t="array" aca="1" ref="H20" ca="1">IF(ISBLANK(INDIRECT(ADDRESS(B20,A20,1,1,"all_city_parameter_inputs"))), "--",INDIRECT(ADDRESS(B20,A20,1,1,"all_city_parameter_inputs")))</f>
        <v>0.45445403783708543</v>
      </c>
      <c r="I20" s="14">
        <f ca="1">IF(OR(G20="alpha",G20="beta",G20="sd",G20="mean"),"--",VLOOKUP(C20,Default!$B$5:$H$114,7,FALSE))</f>
        <v>0.45445403783708543</v>
      </c>
      <c r="J20" s="4" t="str">
        <f ca="1">VLOOKUP(F20,Lookup!$C$5:$D$110,2, FALSE)</f>
        <v>Pollution values</v>
      </c>
      <c r="K20" s="4">
        <f ca="1">VLOOKUP(C20,Default!$B$4:$E$114,4, FALSE)</f>
        <v>0</v>
      </c>
      <c r="L20" s="18" t="str" cm="1">
        <f t="array" aca="1" ref="L20" ca="1">IF(ISNA(VLOOKUP($D20,Grouped_Sources!$C:$C,1,FALSE)),"", INDIRECT(VLOOKUP($D20,Grouped_Sources!$C:$I,5,FALSE)))</f>
        <v/>
      </c>
      <c r="M20" s="18" t="str" cm="1">
        <f t="array" aca="1" ref="M20" ca="1">IF(ISNA(VLOOKUP($D20,Grouped_Sources!$C:$C,1,FALSE)),"", INDIRECT(VLOOKUP($D20,Grouped_Sources!$C:$I,6,FALSE)))</f>
        <v/>
      </c>
      <c r="N20" s="18" t="str" cm="1">
        <f t="array" aca="1" ref="N20" ca="1">IF(ISNA(VLOOKUP($D20,Grouped_Sources!$C:$C,1,FALSE)),"", INDIRECT(VLOOKUP($D20,Grouped_Sources!$C:$I,7,FALSE)))</f>
        <v/>
      </c>
    </row>
    <row r="21" spans="1:14">
      <c r="A21" s="5">
        <v>3</v>
      </c>
      <c r="B21" s="5">
        <v>19</v>
      </c>
      <c r="C21" s="5" t="str">
        <f t="shared" ca="1" si="1"/>
        <v>PM_emission_inventories truck</v>
      </c>
      <c r="D21" s="5" t="str">
        <f t="shared" ca="1" si="3"/>
        <v>PM_emission_inventories_南美洲</v>
      </c>
      <c r="E21" s="4" t="str" cm="1">
        <f t="array" aca="1" ref="E21" ca="1">INDIRECT(ADDRESS(1,A21,1,1,"all_city_parameter_inputs"))</f>
        <v>南美洲</v>
      </c>
      <c r="F21" s="6" t="str" cm="1">
        <f t="array" aca="1" ref="F21" ca="1">IF(AND(ISBLANK(INDIRECT(ADDRESS(B21,2,1,1,"all_city_parameter_inputs"))), ISBLANK(INDIRECT(ADDRESS(B21,1,1,1,"all_city_parameter_inputs")))), "", IF(ISBLANK(INDIRECT(ADDRESS(B21,1,1,1,"all_city_parameter_inputs"))), All_city_list!F20,INDIRECT(ADDRESS(B21,1,1,1,"all_city_parameter_inputs"))))</f>
        <v>PM_emission_inventories</v>
      </c>
      <c r="G21" s="4" t="str" cm="1">
        <f t="array" aca="1" ref="G21" ca="1">IF(AND(ISBLANK(INDIRECT(ADDRESS(B21,3,1,1,"all_city_parameter_inputs"))),ISBLANK(INDIRECT(ADDRESS(B21,2,1,1,"all_city_parameter_inputs")))),"",IF(ISBLANK(INDIRECT(ADDRESS(B21,2,1,1,"all_city_parameter_inputs"))),"",INDIRECT(ADDRESS(B21,2,1,1,"all_city_parameter_inputs"))))</f>
        <v>truck</v>
      </c>
      <c r="H21" s="14" cm="1">
        <f t="array" aca="1" ref="H21" ca="1">IF(ISBLANK(INDIRECT(ADDRESS(B21,A21,1,1,"all_city_parameter_inputs"))), "--",INDIRECT(ADDRESS(B21,A21,1,1,"all_city_parameter_inputs")))</f>
        <v>0.33879566966662278</v>
      </c>
      <c r="I21" s="53">
        <f ca="1">IF(OR(G21="alpha",G21="beta",G21="sd",G21="mean"),"--",VLOOKUP(C21,Default!$B$5:$H$114,7,FALSE))</f>
        <v>0.33879566966662278</v>
      </c>
      <c r="J21" s="4" t="str">
        <f ca="1">VLOOKUP(F21,Lookup!$C$5:$D$110,2, FALSE)</f>
        <v>Pollution values</v>
      </c>
      <c r="K21" s="4">
        <f ca="1">VLOOKUP(C21,Default!$B$4:$E$114,4, FALSE)</f>
        <v>0</v>
      </c>
      <c r="L21" s="18" t="str" cm="1">
        <f t="array" aca="1" ref="L21" ca="1">IF(ISNA(VLOOKUP($D21,Grouped_Sources!$C:$C,1,FALSE)),"", INDIRECT(VLOOKUP($D21,Grouped_Sources!$C:$I,5,FALSE)))</f>
        <v/>
      </c>
      <c r="M21" s="18" t="str" cm="1">
        <f t="array" aca="1" ref="M21" ca="1">IF(ISNA(VLOOKUP($D21,Grouped_Sources!$C:$C,1,FALSE)),"", INDIRECT(VLOOKUP($D21,Grouped_Sources!$C:$I,6,FALSE)))</f>
        <v/>
      </c>
      <c r="N21" s="18" t="str" cm="1">
        <f t="array" aca="1" ref="N21" ca="1">IF(ISNA(VLOOKUP($D21,Grouped_Sources!$C:$C,1,FALSE)),"", INDIRECT(VLOOKUP($D21,Grouped_Sources!$C:$I,7,FALSE)))</f>
        <v/>
      </c>
    </row>
    <row r="22" spans="1:14">
      <c r="A22" s="5">
        <v>3</v>
      </c>
      <c r="B22" s="5">
        <v>20</v>
      </c>
      <c r="C22" s="5" t="str">
        <f t="shared" ca="1" si="1"/>
        <v>PM_emission_inventories van</v>
      </c>
      <c r="D22" s="5" t="str">
        <f t="shared" ca="1" si="3"/>
        <v>PM_emission_inventories_南美洲</v>
      </c>
      <c r="E22" s="4" t="str" cm="1">
        <f t="array" aca="1" ref="E22" ca="1">INDIRECT(ADDRESS(1,A22,1,1,"all_city_parameter_inputs"))</f>
        <v>南美洲</v>
      </c>
      <c r="F22" s="6" t="str" cm="1">
        <f t="array" aca="1" ref="F22" ca="1">IF(AND(ISBLANK(INDIRECT(ADDRESS(B22,2,1,1,"all_city_parameter_inputs"))), ISBLANK(INDIRECT(ADDRESS(B22,1,1,1,"all_city_parameter_inputs")))), "", IF(ISBLANK(INDIRECT(ADDRESS(B22,1,1,1,"all_city_parameter_inputs"))), All_city_list!F21,INDIRECT(ADDRESS(B22,1,1,1,"all_city_parameter_inputs"))))</f>
        <v>PM_emission_inventories</v>
      </c>
      <c r="G22" s="4" t="str" cm="1">
        <f t="array" aca="1" ref="G22" ca="1">IF(AND(ISBLANK(INDIRECT(ADDRESS(B22,3,1,1,"all_city_parameter_inputs"))),ISBLANK(INDIRECT(ADDRESS(B22,2,1,1,"all_city_parameter_inputs")))),"",IF(ISBLANK(INDIRECT(ADDRESS(B22,2,1,1,"all_city_parameter_inputs"))),"",INDIRECT(ADDRESS(B22,2,1,1,"all_city_parameter_inputs"))))</f>
        <v>van</v>
      </c>
      <c r="H22" s="14" cm="1">
        <f t="array" aca="1" ref="H22" ca="1">IF(ISBLANK(INDIRECT(ADDRESS(B22,A22,1,1,"all_city_parameter_inputs"))), "--",INDIRECT(ADDRESS(B22,A22,1,1,"all_city_parameter_inputs")))</f>
        <v>0</v>
      </c>
      <c r="I22" s="53">
        <f ca="1">IF(OR(G22="alpha",G22="beta",G22="sd",G22="mean"),"--",VLOOKUP(C22,Default!$B$5:$H$114,7,FALSE))</f>
        <v>0</v>
      </c>
      <c r="J22" s="4" t="str">
        <f ca="1">VLOOKUP(F22,Lookup!$C$5:$D$110,2, FALSE)</f>
        <v>Pollution values</v>
      </c>
      <c r="K22" s="4">
        <f ca="1">VLOOKUP(C22,Default!$B$4:$E$114,4, FALSE)</f>
        <v>0</v>
      </c>
      <c r="L22" s="18" t="str" cm="1">
        <f t="array" aca="1" ref="L22" ca="1">IF(ISNA(VLOOKUP($D22,Grouped_Sources!$C:$C,1,FALSE)),"", INDIRECT(VLOOKUP($D22,Grouped_Sources!$C:$I,5,FALSE)))</f>
        <v/>
      </c>
      <c r="M22" s="18" t="str" cm="1">
        <f t="array" aca="1" ref="M22" ca="1">IF(ISNA(VLOOKUP($D22,Grouped_Sources!$C:$C,1,FALSE)),"", INDIRECT(VLOOKUP($D22,Grouped_Sources!$C:$I,6,FALSE)))</f>
        <v/>
      </c>
      <c r="N22" s="18" t="str" cm="1">
        <f t="array" aca="1" ref="N22" ca="1">IF(ISNA(VLOOKUP($D22,Grouped_Sources!$C:$C,1,FALSE)),"", INDIRECT(VLOOKUP($D22,Grouped_Sources!$C:$I,7,FALSE)))</f>
        <v/>
      </c>
    </row>
    <row r="23" spans="1:14">
      <c r="A23" s="5">
        <v>3</v>
      </c>
      <c r="B23" s="5">
        <v>21</v>
      </c>
      <c r="C23" s="5" t="str">
        <f t="shared" ca="1" si="1"/>
        <v>PM_emission_inventories other</v>
      </c>
      <c r="D23" s="5" t="str">
        <f t="shared" ca="1" si="3"/>
        <v>PM_emission_inventories_南美洲</v>
      </c>
      <c r="E23" s="4" t="str" cm="1">
        <f t="array" aca="1" ref="E23" ca="1">INDIRECT(ADDRESS(1,A23,1,1,"all_city_parameter_inputs"))</f>
        <v>南美洲</v>
      </c>
      <c r="F23" s="6" t="str" cm="1">
        <f t="array" aca="1" ref="F23" ca="1">IF(AND(ISBLANK(INDIRECT(ADDRESS(B23,2,1,1,"all_city_parameter_inputs"))), ISBLANK(INDIRECT(ADDRESS(B23,1,1,1,"all_city_parameter_inputs")))), "", IF(ISBLANK(INDIRECT(ADDRESS(B23,1,1,1,"all_city_parameter_inputs"))), All_city_list!F22,INDIRECT(ADDRESS(B23,1,1,1,"all_city_parameter_inputs"))))</f>
        <v>PM_emission_inventories</v>
      </c>
      <c r="G23" s="4" t="str" cm="1">
        <f t="array" aca="1" ref="G23" ca="1">IF(AND(ISBLANK(INDIRECT(ADDRESS(B23,3,1,1,"all_city_parameter_inputs"))),ISBLANK(INDIRECT(ADDRESS(B23,2,1,1,"all_city_parameter_inputs")))),"",IF(ISBLANK(INDIRECT(ADDRESS(B23,2,1,1,"all_city_parameter_inputs"))),"",INDIRECT(ADDRESS(B23,2,1,1,"all_city_parameter_inputs"))))</f>
        <v>other</v>
      </c>
      <c r="H23" s="14" cm="1">
        <f t="array" aca="1" ref="H23" ca="1">IF(ISBLANK(INDIRECT(ADDRESS(B23,A23,1,1,"all_city_parameter_inputs"))), "--",INDIRECT(ADDRESS(B23,A23,1,1,"all_city_parameter_inputs")))</f>
        <v>0</v>
      </c>
      <c r="I23" s="53">
        <f ca="1">IF(OR(G23="alpha",G23="beta",G23="sd",G23="mean"),"--",VLOOKUP(C23,Default!$B$5:$H$114,7,FALSE))</f>
        <v>0</v>
      </c>
      <c r="J23" s="4" t="str">
        <f ca="1">VLOOKUP(F23,Lookup!$C$5:$D$110,2, FALSE)</f>
        <v>Pollution values</v>
      </c>
      <c r="K23" s="4">
        <f ca="1">VLOOKUP(C23,Default!$B$4:$E$114,4, FALSE)</f>
        <v>0</v>
      </c>
      <c r="L23" s="18" t="str" cm="1">
        <f t="array" aca="1" ref="L23" ca="1">IF(ISNA(VLOOKUP($D23,Grouped_Sources!$C:$C,1,FALSE)),"", INDIRECT(VLOOKUP($D23,Grouped_Sources!$C:$I,5,FALSE)))</f>
        <v/>
      </c>
      <c r="M23" s="18" t="str" cm="1">
        <f t="array" aca="1" ref="M23" ca="1">IF(ISNA(VLOOKUP($D23,Grouped_Sources!$C:$C,1,FALSE)),"", INDIRECT(VLOOKUP($D23,Grouped_Sources!$C:$I,6,FALSE)))</f>
        <v/>
      </c>
      <c r="N23" s="18" t="str" cm="1">
        <f t="array" aca="1" ref="N23" ca="1">IF(ISNA(VLOOKUP($D23,Grouped_Sources!$C:$C,1,FALSE)),"", INDIRECT(VLOOKUP($D23,Grouped_Sources!$C:$I,7,FALSE)))</f>
        <v/>
      </c>
    </row>
    <row r="24" spans="1:14">
      <c r="A24" s="5">
        <v>3</v>
      </c>
      <c r="B24" s="5">
        <v>22</v>
      </c>
      <c r="C24" s="5" t="str">
        <f t="shared" ca="1" si="1"/>
        <v>PM_emission_inventories taxi</v>
      </c>
      <c r="D24" s="5" t="str">
        <f t="shared" ca="1" si="3"/>
        <v>PM_emission_inventories_南美洲</v>
      </c>
      <c r="E24" s="4" t="str" cm="1">
        <f t="array" aca="1" ref="E24" ca="1">INDIRECT(ADDRESS(1,A24,1,1,"all_city_parameter_inputs"))</f>
        <v>南美洲</v>
      </c>
      <c r="F24" s="6" t="str" cm="1">
        <f t="array" aca="1" ref="F24" ca="1">IF(AND(ISBLANK(INDIRECT(ADDRESS(B24,2,1,1,"all_city_parameter_inputs"))), ISBLANK(INDIRECT(ADDRESS(B24,1,1,1,"all_city_parameter_inputs")))), "", IF(ISBLANK(INDIRECT(ADDRESS(B24,1,1,1,"all_city_parameter_inputs"))), All_city_list!F23,INDIRECT(ADDRESS(B24,1,1,1,"all_city_parameter_inputs"))))</f>
        <v>PM_emission_inventories</v>
      </c>
      <c r="G24" s="4" t="str" cm="1">
        <f t="array" aca="1" ref="G24" ca="1">IF(AND(ISBLANK(INDIRECT(ADDRESS(B24,3,1,1,"all_city_parameter_inputs"))),ISBLANK(INDIRECT(ADDRESS(B24,2,1,1,"all_city_parameter_inputs")))),"",IF(ISBLANK(INDIRECT(ADDRESS(B24,2,1,1,"all_city_parameter_inputs"))),"",INDIRECT(ADDRESS(B24,2,1,1,"all_city_parameter_inputs"))))</f>
        <v>taxi</v>
      </c>
      <c r="H24" s="14" cm="1">
        <f t="array" aca="1" ref="H24" ca="1">IF(ISBLANK(INDIRECT(ADDRESS(B24,A24,1,1,"all_city_parameter_inputs"))), "--",INDIRECT(ADDRESS(B24,A24,1,1,"all_city_parameter_inputs")))</f>
        <v>0</v>
      </c>
      <c r="I24" s="53">
        <f ca="1">IF(OR(G24="alpha",G24="beta",G24="sd",G24="mean"),"--",VLOOKUP(C24,Default!$B$5:$H$114,7,FALSE))</f>
        <v>0</v>
      </c>
      <c r="J24" s="4" t="str">
        <f ca="1">VLOOKUP(F24,Lookup!$C$5:$D$110,2, FALSE)</f>
        <v>Pollution values</v>
      </c>
      <c r="K24" s="4">
        <f ca="1">VLOOKUP(C24,Default!$B$4:$E$114,4, FALSE)</f>
        <v>0</v>
      </c>
      <c r="L24" s="18" t="str" cm="1">
        <f t="array" aca="1" ref="L24" ca="1">IF(ISNA(VLOOKUP($D24,Grouped_Sources!$C:$C,1,FALSE)),"", INDIRECT(VLOOKUP($D24,Grouped_Sources!$C:$I,5,FALSE)))</f>
        <v/>
      </c>
      <c r="M24" s="18" t="str" cm="1">
        <f t="array" aca="1" ref="M24" ca="1">IF(ISNA(VLOOKUP($D24,Grouped_Sources!$C:$C,1,FALSE)),"", INDIRECT(VLOOKUP($D24,Grouped_Sources!$C:$I,6,FALSE)))</f>
        <v/>
      </c>
      <c r="N24" s="18" t="str" cm="1">
        <f t="array" aca="1" ref="N24" ca="1">IF(ISNA(VLOOKUP($D24,Grouped_Sources!$C:$C,1,FALSE)),"", INDIRECT(VLOOKUP($D24,Grouped_Sources!$C:$I,7,FALSE)))</f>
        <v/>
      </c>
    </row>
    <row r="25" spans="1:14">
      <c r="A25" s="5">
        <v>3</v>
      </c>
      <c r="B25" s="5">
        <v>23</v>
      </c>
      <c r="C25" s="5" t="str">
        <f t="shared" ca="1" si="1"/>
        <v>PM_emission_inventories auto_rickshaw</v>
      </c>
      <c r="D25" s="5" t="str">
        <f t="shared" ca="1" si="3"/>
        <v>PM_emission_inventories_南美洲</v>
      </c>
      <c r="E25" s="4" t="str" cm="1">
        <f t="array" aca="1" ref="E25" ca="1">INDIRECT(ADDRESS(1,A25,1,1,"all_city_parameter_inputs"))</f>
        <v>南美洲</v>
      </c>
      <c r="F25" s="6" t="str" cm="1">
        <f t="array" aca="1" ref="F25" ca="1">IF(AND(ISBLANK(INDIRECT(ADDRESS(B25,2,1,1,"all_city_parameter_inputs"))), ISBLANK(INDIRECT(ADDRESS(B25,1,1,1,"all_city_parameter_inputs")))), "", IF(ISBLANK(INDIRECT(ADDRESS(B25,1,1,1,"all_city_parameter_inputs"))), All_city_list!F24,INDIRECT(ADDRESS(B25,1,1,1,"all_city_parameter_inputs"))))</f>
        <v>PM_emission_inventories</v>
      </c>
      <c r="G25" s="4" t="str" cm="1">
        <f t="array" aca="1" ref="G25" ca="1">IF(AND(ISBLANK(INDIRECT(ADDRESS(B25,3,1,1,"all_city_parameter_inputs"))),ISBLANK(INDIRECT(ADDRESS(B25,2,1,1,"all_city_parameter_inputs")))),"",IF(ISBLANK(INDIRECT(ADDRESS(B25,2,1,1,"all_city_parameter_inputs"))),"",INDIRECT(ADDRESS(B25,2,1,1,"all_city_parameter_inputs"))))</f>
        <v>auto_rickshaw</v>
      </c>
      <c r="H25" s="14" cm="1">
        <f t="array" aca="1" ref="H25" ca="1">IF(ISBLANK(INDIRECT(ADDRESS(B25,A25,1,1,"all_city_parameter_inputs"))), "--",INDIRECT(ADDRESS(B25,A25,1,1,"all_city_parameter_inputs")))</f>
        <v>0</v>
      </c>
      <c r="I25" s="14">
        <f ca="1">IF(OR(G25="alpha",G25="beta",G25="sd",G25="mean"),"--",VLOOKUP(C25,Default!$B$5:$H$114,7,FALSE))</f>
        <v>0</v>
      </c>
      <c r="J25" s="4" t="str">
        <f ca="1">VLOOKUP(F25,Lookup!$C$5:$D$110,2, FALSE)</f>
        <v>Pollution values</v>
      </c>
      <c r="K25" s="4">
        <f ca="1">VLOOKUP(C25,Default!$B$4:$E$114,4, FALSE)</f>
        <v>0</v>
      </c>
      <c r="L25" s="35" t="s">
        <v>146</v>
      </c>
      <c r="M25" s="56" t="s">
        <v>147</v>
      </c>
      <c r="N25" s="18"/>
    </row>
    <row r="26" spans="1:14">
      <c r="A26" s="5">
        <v>3</v>
      </c>
      <c r="B26" s="5">
        <v>24</v>
      </c>
      <c r="C26" s="5" t="str">
        <f t="shared" ca="1" si="1"/>
        <v>injury_reporting_rate</v>
      </c>
      <c r="D26" s="5" t="str">
        <f t="shared" ca="1" si="3"/>
        <v>injury_reporting_rate_南美洲</v>
      </c>
      <c r="E26" s="4" t="str" cm="1">
        <f t="array" aca="1" ref="E26" ca="1">INDIRECT(ADDRESS(1,A26,1,1,"all_city_parameter_inputs"))</f>
        <v>南美洲</v>
      </c>
      <c r="F26" s="6" t="str" cm="1">
        <f t="array" aca="1" ref="F26" ca="1">IF(AND(ISBLANK(INDIRECT(ADDRESS(B26,2,1,1,"all_city_parameter_inputs"))), ISBLANK(INDIRECT(ADDRESS(B26,1,1,1,"all_city_parameter_inputs")))), "", IF(ISBLANK(INDIRECT(ADDRESS(B26,1,1,1,"all_city_parameter_inputs"))), All_city_list!F25,INDIRECT(ADDRESS(B26,1,1,1,"all_city_parameter_inputs"))))</f>
        <v>injury_reporting_rate</v>
      </c>
      <c r="G26" s="4" t="str" cm="1">
        <f t="array" aca="1" ref="G26" ca="1">IF(AND(ISBLANK(INDIRECT(ADDRESS(B26,3,1,1,"all_city_parameter_inputs"))),ISBLANK(INDIRECT(ADDRESS(B26,2,1,1,"all_city_parameter_inputs")))),"",IF(ISBLANK(INDIRECT(ADDRESS(B26,2,1,1,"all_city_parameter_inputs"))),"",INDIRECT(ADDRESS(B26,2,1,1,"all_city_parameter_inputs"))))</f>
        <v>constant</v>
      </c>
      <c r="H26" s="14" cm="1">
        <f t="array" aca="1" ref="H26" ca="1">IF(ISBLANK(INDIRECT(ADDRESS(B26,A26,1,1,"all_city_parameter_inputs"))), "--",INDIRECT(ADDRESS(B26,A26,1,1,"all_city_parameter_inputs")))</f>
        <v>0.89824190497385104</v>
      </c>
      <c r="I26" s="14">
        <f ca="1">IF(OR(G26="alpha",G26="beta",G26="sd",G26="mean"),"--",VLOOKUP(C26,Default!$B$5:$H$114,7,FALSE))</f>
        <v>1</v>
      </c>
      <c r="J26" s="4" t="str">
        <f ca="1">VLOOKUP(F26,Lookup!$C$5:$D$110,2, FALSE)</f>
        <v>Injury values</v>
      </c>
      <c r="K26" s="4" t="str">
        <f ca="1">VLOOKUP(C26,Default!$B$4:$E$114,4, FALSE)</f>
        <v>rate at which injuries are reported</v>
      </c>
      <c r="L26" s="18" t="str" cm="1">
        <f t="array" aca="1" ref="L26" ca="1">IF(ISNA(VLOOKUP($D26,Grouped_Sources!$C:$C,1,FALSE)),"", INDIRECT(VLOOKUP($D26,Grouped_Sources!$C:$I,5,FALSE)))</f>
        <v/>
      </c>
      <c r="M26" s="18" t="str" cm="1">
        <f t="array" aca="1" ref="M26" ca="1">IF(ISNA(VLOOKUP($D26,Grouped_Sources!$C:$C,1,FALSE)),"", INDIRECT(VLOOKUP($D26,Grouped_Sources!$C:$I,6,FALSE)))</f>
        <v/>
      </c>
      <c r="N26" s="18" t="str" cm="1">
        <f t="array" aca="1" ref="N26" ca="1">IF(ISNA(VLOOKUP($D26,Grouped_Sources!$C:$C,1,FALSE)),"", INDIRECT(VLOOKUP($D26,Grouped_Sources!$C:$I,7,FALSE)))</f>
        <v/>
      </c>
    </row>
    <row r="27" spans="1:14">
      <c r="A27" s="5">
        <v>3</v>
      </c>
      <c r="B27" s="5">
        <v>25</v>
      </c>
      <c r="C27" s="5" t="str">
        <f t="shared" ca="1" si="1"/>
        <v>injury_reporting_rate</v>
      </c>
      <c r="D27" s="5" t="str">
        <f t="shared" ca="1" si="3"/>
        <v>injury_reporting_rate_南美洲</v>
      </c>
      <c r="E27" s="4" t="str" cm="1">
        <f t="array" aca="1" ref="E27" ca="1">INDIRECT(ADDRESS(1,A27,1,1,"all_city_parameter_inputs"))</f>
        <v>南美洲</v>
      </c>
      <c r="F27" s="6" t="str" cm="1">
        <f t="array" aca="1" ref="F27" ca="1">IF(AND(ISBLANK(INDIRECT(ADDRESS(B27,2,1,1,"all_city_parameter_inputs"))), ISBLANK(INDIRECT(ADDRESS(B27,1,1,1,"all_city_parameter_inputs")))), "", IF(ISBLANK(INDIRECT(ADDRESS(B27,1,1,1,"all_city_parameter_inputs"))), All_city_list!F26,INDIRECT(ADDRESS(B27,1,1,1,"all_city_parameter_inputs"))))</f>
        <v>injury_reporting_rate</v>
      </c>
      <c r="G27" s="4" t="str" cm="1">
        <f t="array" aca="1" ref="G27" ca="1">IF(AND(ISBLANK(INDIRECT(ADDRESS(B27,3,1,1,"all_city_parameter_inputs"))),ISBLANK(INDIRECT(ADDRESS(B27,2,1,1,"all_city_parameter_inputs")))),"",IF(ISBLANK(INDIRECT(ADDRESS(B27,2,1,1,"all_city_parameter_inputs"))),"",INDIRECT(ADDRESS(B27,2,1,1,"all_city_parameter_inputs"))))</f>
        <v>alpha</v>
      </c>
      <c r="H27" s="14" t="str" cm="1">
        <f t="array" aca="1" ref="H27" ca="1">IF(ISBLANK(INDIRECT(ADDRESS(B27,A27,1,1,"all_city_parameter_inputs"))), "--",INDIRECT(ADDRESS(B27,A27,1,1,"all_city_parameter_inputs")))</f>
        <v>--</v>
      </c>
      <c r="I27" s="14" t="str">
        <f ca="1">IF(OR(G27="alpha",G27="beta",G27="sd",G27="mean"),"--",VLOOKUP(C27,Default!$B$5:$H$114,7,FALSE))</f>
        <v>--</v>
      </c>
      <c r="J27" s="4" t="str">
        <f ca="1">VLOOKUP(F27,Lookup!$C$5:$D$110,2, FALSE)</f>
        <v>Injury values</v>
      </c>
      <c r="K27" s="4" t="str">
        <f ca="1">VLOOKUP(C27,Default!$B$4:$E$114,4, FALSE)</f>
        <v>rate at which injuries are reported</v>
      </c>
      <c r="L27" s="18" t="str" cm="1">
        <f t="array" aca="1" ref="L27" ca="1">IF(ISNA(VLOOKUP($D27,Grouped_Sources!$C:$C,1,FALSE)),"", INDIRECT(VLOOKUP($D27,Grouped_Sources!$C:$I,5,FALSE)))</f>
        <v/>
      </c>
      <c r="M27" s="18" t="str" cm="1">
        <f t="array" aca="1" ref="M27" ca="1">IF(ISNA(VLOOKUP($D27,Grouped_Sources!$C:$C,1,FALSE)),"", INDIRECT(VLOOKUP($D27,Grouped_Sources!$C:$I,6,FALSE)))</f>
        <v/>
      </c>
      <c r="N27" s="18" t="str" cm="1">
        <f t="array" aca="1" ref="N27" ca="1">IF(ISNA(VLOOKUP($D27,Grouped_Sources!$C:$C,1,FALSE)),"", INDIRECT(VLOOKUP($D27,Grouped_Sources!$C:$I,7,FALSE)))</f>
        <v/>
      </c>
    </row>
    <row r="28" spans="1:14">
      <c r="A28" s="5">
        <v>3</v>
      </c>
      <c r="B28" s="5">
        <v>26</v>
      </c>
      <c r="C28" s="5" t="str">
        <f t="shared" ca="1" si="1"/>
        <v>injury_reporting_rate</v>
      </c>
      <c r="D28" s="5" t="str">
        <f t="shared" ca="1" si="3"/>
        <v>injury_reporting_rate_南美洲</v>
      </c>
      <c r="E28" s="4" t="str" cm="1">
        <f t="array" aca="1" ref="E28" ca="1">INDIRECT(ADDRESS(1,A28,1,1,"all_city_parameter_inputs"))</f>
        <v>南美洲</v>
      </c>
      <c r="F28" s="6" t="str" cm="1">
        <f t="array" aca="1" ref="F28" ca="1">IF(AND(ISBLANK(INDIRECT(ADDRESS(B28,2,1,1,"all_city_parameter_inputs"))), ISBLANK(INDIRECT(ADDRESS(B28,1,1,1,"all_city_parameter_inputs")))), "", IF(ISBLANK(INDIRECT(ADDRESS(B28,1,1,1,"all_city_parameter_inputs"))), All_city_list!F27,INDIRECT(ADDRESS(B28,1,1,1,"all_city_parameter_inputs"))))</f>
        <v>injury_reporting_rate</v>
      </c>
      <c r="G28" s="4" t="str" cm="1">
        <f t="array" aca="1" ref="G28" ca="1">IF(AND(ISBLANK(INDIRECT(ADDRESS(B28,3,1,1,"all_city_parameter_inputs"))),ISBLANK(INDIRECT(ADDRESS(B28,2,1,1,"all_city_parameter_inputs")))),"",IF(ISBLANK(INDIRECT(ADDRESS(B28,2,1,1,"all_city_parameter_inputs"))),"",INDIRECT(ADDRESS(B28,2,1,1,"all_city_parameter_inputs"))))</f>
        <v>beta</v>
      </c>
      <c r="H28" s="14" t="str" cm="1">
        <f t="array" aca="1" ref="H28" ca="1">IF(ISBLANK(INDIRECT(ADDRESS(B28,A28,1,1,"all_city_parameter_inputs"))), "--",INDIRECT(ADDRESS(B28,A28,1,1,"all_city_parameter_inputs")))</f>
        <v>--</v>
      </c>
      <c r="I28" s="14" t="str">
        <f ca="1">IF(OR(G28="alpha",G28="beta",G28="sd",G28="mean"),"--",VLOOKUP(C28,Default!$B$5:$H$114,7,FALSE))</f>
        <v>--</v>
      </c>
      <c r="J28" s="4" t="str">
        <f ca="1">VLOOKUP(F28,Lookup!$C$5:$D$110,2, FALSE)</f>
        <v>Injury values</v>
      </c>
      <c r="K28" s="4" t="str">
        <f ca="1">VLOOKUP(C28,Default!$B$4:$E$114,4, FALSE)</f>
        <v>rate at which injuries are reported</v>
      </c>
      <c r="L28" s="34" t="s">
        <v>148</v>
      </c>
      <c r="M28" s="18"/>
      <c r="N28" s="18"/>
    </row>
    <row r="29" spans="1:14">
      <c r="A29" s="5">
        <v>3</v>
      </c>
      <c r="B29" s="5">
        <v>27</v>
      </c>
      <c r="C29" s="5" t="str">
        <f t="shared" ca="1" si="1"/>
        <v>chronic_disease_scalar</v>
      </c>
      <c r="D29" s="5" t="str">
        <f t="shared" ca="1" si="3"/>
        <v>chronic_disease_scalar_南美洲</v>
      </c>
      <c r="E29" s="4" t="str" cm="1">
        <f t="array" aca="1" ref="E29" ca="1">INDIRECT(ADDRESS(1,A29,1,1,"all_city_parameter_inputs"))</f>
        <v>南美洲</v>
      </c>
      <c r="F29" s="6" t="str" cm="1">
        <f t="array" aca="1" ref="F29" ca="1">IF(AND(ISBLANK(INDIRECT(ADDRESS(B29,2,1,1,"all_city_parameter_inputs"))), ISBLANK(INDIRECT(ADDRESS(B29,1,1,1,"all_city_parameter_inputs")))), "", IF(ISBLANK(INDIRECT(ADDRESS(B29,1,1,1,"all_city_parameter_inputs"))), All_city_list!F28,INDIRECT(ADDRESS(B29,1,1,1,"all_city_parameter_inputs"))))</f>
        <v>chronic_disease_scalar</v>
      </c>
      <c r="G29" s="4" t="str" cm="1">
        <f t="array" aca="1" ref="G29" ca="1">IF(AND(ISBLANK(INDIRECT(ADDRESS(B29,3,1,1,"all_city_parameter_inputs"))),ISBLANK(INDIRECT(ADDRESS(B29,2,1,1,"all_city_parameter_inputs")))),"",IF(ISBLANK(INDIRECT(ADDRESS(B29,2,1,1,"all_city_parameter_inputs"))),"",INDIRECT(ADDRESS(B29,2,1,1,"all_city_parameter_inputs"))))</f>
        <v>constant</v>
      </c>
      <c r="H29" s="14" cm="1">
        <f t="array" aca="1" ref="H29" ca="1">IF(ISBLANK(INDIRECT(ADDRESS(B29,A29,1,1,"all_city_parameter_inputs"))), "--",INDIRECT(ADDRESS(B29,A29,1,1,"all_city_parameter_inputs")))</f>
        <v>1</v>
      </c>
      <c r="I29" s="14">
        <f ca="1">IF(OR(G29="alpha",G29="beta",G29="sd",G29="mean"),"--",VLOOKUP(C29,Default!$B$5:$H$114,7,FALSE))</f>
        <v>1</v>
      </c>
      <c r="J29" s="4" t="str">
        <f ca="1">VLOOKUP(F29,Lookup!$C$5:$D$110,2, FALSE)</f>
        <v>Health values</v>
      </c>
      <c r="K29" s="4" t="str">
        <f ca="1">VLOOKUP(C29,Default!$B$4:$E$114,4, FALSE)</f>
        <v>scalar for GBD data</v>
      </c>
      <c r="L29" s="18" t="str" cm="1">
        <f t="array" aca="1" ref="L29" ca="1">IF(ISNA(VLOOKUP($D29,Grouped_Sources!$C:$C,1,FALSE)),"", INDIRECT(VLOOKUP($D29,Grouped_Sources!$C:$I,5,FALSE)))</f>
        <v/>
      </c>
      <c r="M29" s="18" t="str" cm="1">
        <f t="array" aca="1" ref="M29" ca="1">IF(ISNA(VLOOKUP($D29,Grouped_Sources!$C:$C,1,FALSE)),"", INDIRECT(VLOOKUP($D29,Grouped_Sources!$C:$I,6,FALSE)))</f>
        <v/>
      </c>
      <c r="N29" s="18" t="str" cm="1">
        <f t="array" aca="1" ref="N29" ca="1">IF(ISNA(VLOOKUP($D29,Grouped_Sources!$C:$C,1,FALSE)),"", INDIRECT(VLOOKUP($D29,Grouped_Sources!$C:$I,7,FALSE)))</f>
        <v/>
      </c>
    </row>
    <row r="30" spans="1:14">
      <c r="A30" s="5">
        <v>3</v>
      </c>
      <c r="B30" s="5">
        <v>28</v>
      </c>
      <c r="C30" s="5" t="str">
        <f t="shared" ca="1" si="1"/>
        <v>chronic_disease_scalar</v>
      </c>
      <c r="D30" s="5" t="str">
        <f t="shared" ca="1" si="3"/>
        <v>chronic_disease_scalar_南美洲</v>
      </c>
      <c r="E30" s="4" t="str" cm="1">
        <f t="array" aca="1" ref="E30" ca="1">INDIRECT(ADDRESS(1,A30,1,1,"all_city_parameter_inputs"))</f>
        <v>南美洲</v>
      </c>
      <c r="F30" s="6" t="str" cm="1">
        <f t="array" aca="1" ref="F30" ca="1">IF(AND(ISBLANK(INDIRECT(ADDRESS(B30,2,1,1,"all_city_parameter_inputs"))), ISBLANK(INDIRECT(ADDRESS(B30,1,1,1,"all_city_parameter_inputs")))), "", IF(ISBLANK(INDIRECT(ADDRESS(B30,1,1,1,"all_city_parameter_inputs"))), All_city_list!F29,INDIRECT(ADDRESS(B30,1,1,1,"all_city_parameter_inputs"))))</f>
        <v>chronic_disease_scalar</v>
      </c>
      <c r="G30" s="4" t="str" cm="1">
        <f t="array" aca="1" ref="G30" ca="1">IF(AND(ISBLANK(INDIRECT(ADDRESS(B30,3,1,1,"all_city_parameter_inputs"))),ISBLANK(INDIRECT(ADDRESS(B30,2,1,1,"all_city_parameter_inputs")))),"",IF(ISBLANK(INDIRECT(ADDRESS(B30,2,1,1,"all_city_parameter_inputs"))),"",INDIRECT(ADDRESS(B30,2,1,1,"all_city_parameter_inputs"))))</f>
        <v>mean</v>
      </c>
      <c r="H30" s="14" t="str" cm="1">
        <f t="array" aca="1" ref="H30" ca="1">IF(ISBLANK(INDIRECT(ADDRESS(B30,A30,1,1,"all_city_parameter_inputs"))), "--",INDIRECT(ADDRESS(B30,A30,1,1,"all_city_parameter_inputs")))</f>
        <v>--</v>
      </c>
      <c r="I30" s="14" t="str">
        <f ca="1">IF(OR(G30="alpha",G30="beta",G30="sd",G30="mean"),"--",VLOOKUP(C30,Default!$B$5:$H$114,7,FALSE))</f>
        <v>--</v>
      </c>
      <c r="J30" s="4" t="str">
        <f ca="1">VLOOKUP(F30,Lookup!$C$5:$D$110,2, FALSE)</f>
        <v>Health values</v>
      </c>
      <c r="K30" s="4" t="str">
        <f ca="1">VLOOKUP(C30,Default!$B$4:$E$114,4, FALSE)</f>
        <v>scalar for GBD data</v>
      </c>
      <c r="L30" s="18" t="str" cm="1">
        <f t="array" aca="1" ref="L30" ca="1">IF(ISNA(VLOOKUP($D30,Grouped_Sources!$C:$C,1,FALSE)),"", INDIRECT(VLOOKUP($D30,Grouped_Sources!$C:$I,5,FALSE)))</f>
        <v/>
      </c>
      <c r="M30" s="18" t="str" cm="1">
        <f t="array" aca="1" ref="M30" ca="1">IF(ISNA(VLOOKUP($D30,Grouped_Sources!$C:$C,1,FALSE)),"", INDIRECT(VLOOKUP($D30,Grouped_Sources!$C:$I,6,FALSE)))</f>
        <v/>
      </c>
      <c r="N30" s="18" t="str" cm="1">
        <f t="array" aca="1" ref="N30" ca="1">IF(ISNA(VLOOKUP($D30,Grouped_Sources!$C:$C,1,FALSE)),"", INDIRECT(VLOOKUP($D30,Grouped_Sources!$C:$I,7,FALSE)))</f>
        <v/>
      </c>
    </row>
    <row r="31" spans="1:14">
      <c r="A31" s="5">
        <v>3</v>
      </c>
      <c r="B31" s="5">
        <v>29</v>
      </c>
      <c r="C31" s="5" t="str">
        <f t="shared" ca="1" si="1"/>
        <v>chronic_disease_scalar</v>
      </c>
      <c r="D31" s="5" t="str">
        <f t="shared" ca="1" si="3"/>
        <v>chronic_disease_scalar_南美洲</v>
      </c>
      <c r="E31" s="4" t="str" cm="1">
        <f t="array" aca="1" ref="E31" ca="1">INDIRECT(ADDRESS(1,A31,1,1,"all_city_parameter_inputs"))</f>
        <v>南美洲</v>
      </c>
      <c r="F31" s="6" t="str" cm="1">
        <f t="array" aca="1" ref="F31" ca="1">IF(AND(ISBLANK(INDIRECT(ADDRESS(B31,2,1,1,"all_city_parameter_inputs"))), ISBLANK(INDIRECT(ADDRESS(B31,1,1,1,"all_city_parameter_inputs")))), "", IF(ISBLANK(INDIRECT(ADDRESS(B31,1,1,1,"all_city_parameter_inputs"))), All_city_list!F30,INDIRECT(ADDRESS(B31,1,1,1,"all_city_parameter_inputs"))))</f>
        <v>chronic_disease_scalar</v>
      </c>
      <c r="G31" s="4" t="str" cm="1">
        <f t="array" aca="1" ref="G31" ca="1">IF(AND(ISBLANK(INDIRECT(ADDRESS(B31,3,1,1,"all_city_parameter_inputs"))),ISBLANK(INDIRECT(ADDRESS(B31,2,1,1,"all_city_parameter_inputs")))),"",IF(ISBLANK(INDIRECT(ADDRESS(B31,2,1,1,"all_city_parameter_inputs"))),"",INDIRECT(ADDRESS(B31,2,1,1,"all_city_parameter_inputs"))))</f>
        <v>sd</v>
      </c>
      <c r="H31" s="14" t="str" cm="1">
        <f t="array" aca="1" ref="H31" ca="1">IF(ISBLANK(INDIRECT(ADDRESS(B31,A31,1,1,"all_city_parameter_inputs"))), "--",INDIRECT(ADDRESS(B31,A31,1,1,"all_city_parameter_inputs")))</f>
        <v>--</v>
      </c>
      <c r="I31" s="14" t="str">
        <f ca="1">IF(OR(G31="alpha",G31="beta",G31="sd",G31="mean"),"--",VLOOKUP(C31,Default!$B$5:$H$114,7,FALSE))</f>
        <v>--</v>
      </c>
      <c r="J31" s="4" t="str">
        <f ca="1">VLOOKUP(F31,Lookup!$C$5:$D$110,2, FALSE)</f>
        <v>Health values</v>
      </c>
      <c r="K31" s="4" t="str">
        <f ca="1">VLOOKUP(C31,Default!$B$4:$E$114,4, FALSE)</f>
        <v>scalar for GBD data</v>
      </c>
      <c r="L31" s="34" t="s">
        <v>149</v>
      </c>
      <c r="M31" s="18" t="s">
        <v>150</v>
      </c>
      <c r="N31" s="19"/>
    </row>
    <row r="32" spans="1:14">
      <c r="A32" s="5">
        <v>3</v>
      </c>
      <c r="B32" s="5">
        <v>30</v>
      </c>
      <c r="C32" s="5" t="str">
        <f t="shared" ca="1" si="1"/>
        <v>pm_conc_base (from Edgar)</v>
      </c>
      <c r="D32" s="5" t="str">
        <f t="shared" ca="1" si="3"/>
        <v>pm_conc_base (from Edgar)_南美洲</v>
      </c>
      <c r="E32" s="4" t="str" cm="1">
        <f t="array" aca="1" ref="E32" ca="1">INDIRECT(ADDRESS(1,A32,1,1,"all_city_parameter_inputs"))</f>
        <v>南美洲</v>
      </c>
      <c r="F32" s="6" t="str" cm="1">
        <f t="array" aca="1" ref="F32" ca="1">IF(AND(ISBLANK(INDIRECT(ADDRESS(B32,2,1,1,"all_city_parameter_inputs"))), ISBLANK(INDIRECT(ADDRESS(B32,1,1,1,"all_city_parameter_inputs")))), "", IF(ISBLANK(INDIRECT(ADDRESS(B32,1,1,1,"all_city_parameter_inputs"))), All_city_list!F31,INDIRECT(ADDRESS(B32,1,1,1,"all_city_parameter_inputs"))))</f>
        <v>pm_conc_base (from Edgar)</v>
      </c>
      <c r="G32" s="4" t="str" cm="1">
        <f t="array" aca="1" ref="G32" ca="1">IF(AND(ISBLANK(INDIRECT(ADDRESS(B32,3,1,1,"all_city_parameter_inputs"))),ISBLANK(INDIRECT(ADDRESS(B32,2,1,1,"all_city_parameter_inputs")))),"",IF(ISBLANK(INDIRECT(ADDRESS(B32,2,1,1,"all_city_parameter_inputs"))),"",INDIRECT(ADDRESS(B32,2,1,1,"all_city_parameter_inputs"))))</f>
        <v>constant</v>
      </c>
      <c r="H32" s="14" cm="1">
        <f t="array" aca="1" ref="H32" ca="1">IF(ISBLANK(INDIRECT(ADDRESS(B32,A32,1,1,"all_city_parameter_inputs"))), "--",INDIRECT(ADDRESS(B32,A32,1,1,"all_city_parameter_inputs")))</f>
        <v>12.69</v>
      </c>
      <c r="I32" s="14" t="e">
        <f ca="1">IF(OR(G32="alpha",G32="beta",G32="sd",G32="mean"),"--",VLOOKUP(C32,Default!$B$5:$H$114,7,FALSE))</f>
        <v>#N/A</v>
      </c>
      <c r="J32" s="4" t="e">
        <f ca="1">VLOOKUP(F32,Lookup!$C$5:$D$110,2, FALSE)</f>
        <v>#N/A</v>
      </c>
      <c r="K32" s="4" t="e">
        <f ca="1">VLOOKUP(C32,Default!$B$4:$E$114,4, FALSE)</f>
        <v>#N/A</v>
      </c>
      <c r="L32" s="18" t="str" cm="1">
        <f t="array" aca="1" ref="L32" ca="1">IF(ISNA(VLOOKUP($D32,Grouped_Sources!$C:$C,1,FALSE)),"", INDIRECT(VLOOKUP($D32,Grouped_Sources!$C:$I,5,FALSE)))</f>
        <v/>
      </c>
      <c r="M32" s="18" t="str" cm="1">
        <f t="array" aca="1" ref="M32" ca="1">IF(ISNA(VLOOKUP($D32,Grouped_Sources!$C:$C,1,FALSE)),"", INDIRECT(VLOOKUP($D32,Grouped_Sources!$C:$I,6,FALSE)))</f>
        <v/>
      </c>
      <c r="N32" s="18" t="str" cm="1">
        <f t="array" aca="1" ref="N32" ca="1">IF(ISNA(VLOOKUP($D32,Grouped_Sources!$C:$C,1,FALSE)),"", INDIRECT(VLOOKUP($D32,Grouped_Sources!$C:$I,7,FALSE)))</f>
        <v/>
      </c>
    </row>
    <row r="33" spans="1:14">
      <c r="A33" s="5">
        <v>3</v>
      </c>
      <c r="B33" s="5">
        <v>31</v>
      </c>
      <c r="C33" s="5" t="str">
        <f t="shared" ca="1" si="1"/>
        <v>pm_conc_base (from Edgar)</v>
      </c>
      <c r="D33" s="5" t="str">
        <f t="shared" ca="1" si="3"/>
        <v>pm_conc_base (from Edgar)_南美洲</v>
      </c>
      <c r="E33" s="4" t="str" cm="1">
        <f t="array" aca="1" ref="E33" ca="1">INDIRECT(ADDRESS(1,A33,1,1,"all_city_parameter_inputs"))</f>
        <v>南美洲</v>
      </c>
      <c r="F33" s="6" t="str" cm="1">
        <f t="array" aca="1" ref="F33" ca="1">IF(AND(ISBLANK(INDIRECT(ADDRESS(B33,2,1,1,"all_city_parameter_inputs"))), ISBLANK(INDIRECT(ADDRESS(B33,1,1,1,"all_city_parameter_inputs")))), "", IF(ISBLANK(INDIRECT(ADDRESS(B33,1,1,1,"all_city_parameter_inputs"))), All_city_list!F32,INDIRECT(ADDRESS(B33,1,1,1,"all_city_parameter_inputs"))))</f>
        <v>pm_conc_base (from Edgar)</v>
      </c>
      <c r="G33" s="4" t="str" cm="1">
        <f t="array" aca="1" ref="G33" ca="1">IF(AND(ISBLANK(INDIRECT(ADDRESS(B33,3,1,1,"all_city_parameter_inputs"))),ISBLANK(INDIRECT(ADDRESS(B33,2,1,1,"all_city_parameter_inputs")))),"",IF(ISBLANK(INDIRECT(ADDRESS(B33,2,1,1,"all_city_parameter_inputs"))),"",INDIRECT(ADDRESS(B33,2,1,1,"all_city_parameter_inputs"))))</f>
        <v>mean</v>
      </c>
      <c r="H33" s="14" t="str" cm="1">
        <f t="array" aca="1" ref="H33" ca="1">IF(ISBLANK(INDIRECT(ADDRESS(B33,A33,1,1,"all_city_parameter_inputs"))), "--",INDIRECT(ADDRESS(B33,A33,1,1,"all_city_parameter_inputs")))</f>
        <v>--</v>
      </c>
      <c r="I33" s="14" t="str">
        <f ca="1">IF(OR(G33="alpha",G33="beta",G33="sd",G33="mean"),"--",VLOOKUP(C33,Default!$B$5:$H$114,7,FALSE))</f>
        <v>--</v>
      </c>
      <c r="J33" s="4" t="e">
        <f ca="1">VLOOKUP(F33,Lookup!$C$5:$D$110,2, FALSE)</f>
        <v>#N/A</v>
      </c>
      <c r="K33" s="4" t="e">
        <f ca="1">VLOOKUP(C33,Default!$B$4:$E$114,4, FALSE)</f>
        <v>#N/A</v>
      </c>
      <c r="L33" s="18" t="str" cm="1">
        <f t="array" aca="1" ref="L33" ca="1">IF(ISNA(VLOOKUP($D33,Grouped_Sources!$C:$C,1,FALSE)),"", INDIRECT(VLOOKUP($D33,Grouped_Sources!$C:$I,5,FALSE)))</f>
        <v/>
      </c>
      <c r="M33" s="18" t="str" cm="1">
        <f t="array" aca="1" ref="M33" ca="1">IF(ISNA(VLOOKUP($D33,Grouped_Sources!$C:$C,1,FALSE)),"", INDIRECT(VLOOKUP($D33,Grouped_Sources!$C:$I,6,FALSE)))</f>
        <v/>
      </c>
      <c r="N33" s="18" t="str" cm="1">
        <f t="array" aca="1" ref="N33" ca="1">IF(ISNA(VLOOKUP($D33,Grouped_Sources!$C:$C,1,FALSE)),"", INDIRECT(VLOOKUP($D33,Grouped_Sources!$C:$I,7,FALSE)))</f>
        <v/>
      </c>
    </row>
    <row r="34" spans="1:14">
      <c r="A34" s="5">
        <v>3</v>
      </c>
      <c r="B34" s="5">
        <v>32</v>
      </c>
      <c r="C34" s="5" t="str">
        <f t="shared" ca="1" si="1"/>
        <v>pm_conc_base (from Edgar)</v>
      </c>
      <c r="D34" s="5" t="str">
        <f t="shared" ca="1" si="3"/>
        <v>pm_conc_base (from Edgar)_南美洲</v>
      </c>
      <c r="E34" s="4" t="str" cm="1">
        <f t="array" aca="1" ref="E34" ca="1">INDIRECT(ADDRESS(1,A34,1,1,"all_city_parameter_inputs"))</f>
        <v>南美洲</v>
      </c>
      <c r="F34" s="6" t="str" cm="1">
        <f t="array" aca="1" ref="F34" ca="1">IF(AND(ISBLANK(INDIRECT(ADDRESS(B34,2,1,1,"all_city_parameter_inputs"))), ISBLANK(INDIRECT(ADDRESS(B34,1,1,1,"all_city_parameter_inputs")))), "", IF(ISBLANK(INDIRECT(ADDRESS(B34,1,1,1,"all_city_parameter_inputs"))), All_city_list!F33,INDIRECT(ADDRESS(B34,1,1,1,"all_city_parameter_inputs"))))</f>
        <v>pm_conc_base (from Edgar)</v>
      </c>
      <c r="G34" s="4" t="str" cm="1">
        <f t="array" aca="1" ref="G34" ca="1">IF(AND(ISBLANK(INDIRECT(ADDRESS(B34,3,1,1,"all_city_parameter_inputs"))),ISBLANK(INDIRECT(ADDRESS(B34,2,1,1,"all_city_parameter_inputs")))),"",IF(ISBLANK(INDIRECT(ADDRESS(B34,2,1,1,"all_city_parameter_inputs"))),"",INDIRECT(ADDRESS(B34,2,1,1,"all_city_parameter_inputs"))))</f>
        <v>sd</v>
      </c>
      <c r="H34" s="14" t="str" cm="1">
        <f t="array" aca="1" ref="H34" ca="1">IF(ISBLANK(INDIRECT(ADDRESS(B34,A34,1,1,"all_city_parameter_inputs"))), "--",INDIRECT(ADDRESS(B34,A34,1,1,"all_city_parameter_inputs")))</f>
        <v>--</v>
      </c>
      <c r="I34" s="14" t="str">
        <f ca="1">IF(OR(G34="alpha",G34="beta",G34="sd",G34="mean"),"--",VLOOKUP(C34,Default!$B$5:$H$114,7,FALSE))</f>
        <v>--</v>
      </c>
      <c r="J34" s="4" t="e">
        <f ca="1">VLOOKUP(F34,Lookup!$C$5:$D$110,2, FALSE)</f>
        <v>#N/A</v>
      </c>
      <c r="K34" s="4" t="e">
        <f ca="1">VLOOKUP(C34,Default!$B$4:$E$114,4, FALSE)</f>
        <v>#N/A</v>
      </c>
      <c r="L34" s="34" t="s">
        <v>151</v>
      </c>
      <c r="M34" s="18" t="s">
        <v>152</v>
      </c>
      <c r="N34" s="18" t="s">
        <v>153</v>
      </c>
    </row>
    <row r="35" spans="1:14">
      <c r="A35" s="5">
        <v>3</v>
      </c>
      <c r="B35" s="5">
        <v>33</v>
      </c>
      <c r="C35" s="5" t="str">
        <f t="shared" ca="1" si="1"/>
        <v>pm_trans_share  (emission )</v>
      </c>
      <c r="D35" s="5" t="str">
        <f t="shared" ca="1" si="3"/>
        <v>pm_trans_share  (emission )_南美洲</v>
      </c>
      <c r="E35" s="4" t="str" cm="1">
        <f t="array" aca="1" ref="E35" ca="1">INDIRECT(ADDRESS(1,A35,1,1,"all_city_parameter_inputs"))</f>
        <v>南美洲</v>
      </c>
      <c r="F35" s="6" t="str" cm="1">
        <f t="array" aca="1" ref="F35" ca="1">IF(AND(ISBLANK(INDIRECT(ADDRESS(B35,2,1,1,"all_city_parameter_inputs"))), ISBLANK(INDIRECT(ADDRESS(B35,1,1,1,"all_city_parameter_inputs")))), "", IF(ISBLANK(INDIRECT(ADDRESS(B35,1,1,1,"all_city_parameter_inputs"))), All_city_list!F34,INDIRECT(ADDRESS(B35,1,1,1,"all_city_parameter_inputs"))))</f>
        <v>pm_trans_share  (emission )</v>
      </c>
      <c r="G35" s="4" t="str" cm="1">
        <f t="array" aca="1" ref="G35" ca="1">IF(AND(ISBLANK(INDIRECT(ADDRESS(B35,3,1,1,"all_city_parameter_inputs"))),ISBLANK(INDIRECT(ADDRESS(B35,2,1,1,"all_city_parameter_inputs")))),"",IF(ISBLANK(INDIRECT(ADDRESS(B35,2,1,1,"all_city_parameter_inputs"))),"",INDIRECT(ADDRESS(B35,2,1,1,"all_city_parameter_inputs"))))</f>
        <v>constant</v>
      </c>
      <c r="H35" s="14" cm="1">
        <f t="array" aca="1" ref="H35" ca="1">IF(ISBLANK(INDIRECT(ADDRESS(B35,A35,1,1,"all_city_parameter_inputs"))), "--",INDIRECT(ADDRESS(B35,A35,1,1,"all_city_parameter_inputs")))</f>
        <v>0.42</v>
      </c>
      <c r="I35" s="14" t="e">
        <f ca="1">IF(OR(G35="alpha",G35="beta",G35="sd",G35="mean"),"--",VLOOKUP(C35,Default!$B$5:$H$114,7,FALSE))</f>
        <v>#N/A</v>
      </c>
      <c r="J35" s="4" t="e">
        <f ca="1">VLOOKUP(F35,Lookup!$C$5:$D$110,2, FALSE)</f>
        <v>#N/A</v>
      </c>
      <c r="K35" s="4" t="e">
        <f ca="1">VLOOKUP(C35,Default!$B$4:$E$114,4, FALSE)</f>
        <v>#N/A</v>
      </c>
      <c r="L35" s="18" t="str" cm="1">
        <f t="array" aca="1" ref="L35" ca="1">IF(ISNA(VLOOKUP($D35,Grouped_Sources!$C:$C,1,FALSE)),"", INDIRECT(VLOOKUP($D35,Grouped_Sources!$C:$I,5,FALSE)))</f>
        <v/>
      </c>
      <c r="M35" s="18" t="str" cm="1">
        <f t="array" aca="1" ref="M35" ca="1">IF(ISNA(VLOOKUP($D35,Grouped_Sources!$C:$C,1,FALSE)),"", INDIRECT(VLOOKUP($D35,Grouped_Sources!$C:$I,6,FALSE)))</f>
        <v/>
      </c>
      <c r="N35" s="18" t="str" cm="1">
        <f t="array" aca="1" ref="N35" ca="1">IF(ISNA(VLOOKUP($D35,Grouped_Sources!$C:$C,1,FALSE)),"", INDIRECT(VLOOKUP($D35,Grouped_Sources!$C:$I,7,FALSE)))</f>
        <v/>
      </c>
    </row>
    <row r="36" spans="1:14">
      <c r="A36" s="5">
        <v>3</v>
      </c>
      <c r="B36" s="5">
        <v>34</v>
      </c>
      <c r="C36" s="5" t="str">
        <f t="shared" ca="1" si="1"/>
        <v>pm_trans_share  (emission )</v>
      </c>
      <c r="D36" s="5" t="str">
        <f t="shared" ca="1" si="3"/>
        <v>pm_trans_share  (emission )_南美洲</v>
      </c>
      <c r="E36" s="4" t="str" cm="1">
        <f t="array" aca="1" ref="E36" ca="1">INDIRECT(ADDRESS(1,A36,1,1,"all_city_parameter_inputs"))</f>
        <v>南美洲</v>
      </c>
      <c r="F36" s="6" t="str" cm="1">
        <f t="array" aca="1" ref="F36" ca="1">IF(AND(ISBLANK(INDIRECT(ADDRESS(B36,2,1,1,"all_city_parameter_inputs"))), ISBLANK(INDIRECT(ADDRESS(B36,1,1,1,"all_city_parameter_inputs")))), "", IF(ISBLANK(INDIRECT(ADDRESS(B36,1,1,1,"all_city_parameter_inputs"))), All_city_list!F35,INDIRECT(ADDRESS(B36,1,1,1,"all_city_parameter_inputs"))))</f>
        <v>pm_trans_share  (emission )</v>
      </c>
      <c r="G36" s="4" t="str" cm="1">
        <f t="array" aca="1" ref="G36" ca="1">IF(AND(ISBLANK(INDIRECT(ADDRESS(B36,3,1,1,"all_city_parameter_inputs"))),ISBLANK(INDIRECT(ADDRESS(B36,2,1,1,"all_city_parameter_inputs")))),"",IF(ISBLANK(INDIRECT(ADDRESS(B36,2,1,1,"all_city_parameter_inputs"))),"",INDIRECT(ADDRESS(B36,2,1,1,"all_city_parameter_inputs"))))</f>
        <v>alpha</v>
      </c>
      <c r="H36" s="14" t="str" cm="1">
        <f t="array" aca="1" ref="H36" ca="1">IF(ISBLANK(INDIRECT(ADDRESS(B36,A36,1,1,"all_city_parameter_inputs"))), "--",INDIRECT(ADDRESS(B36,A36,1,1,"all_city_parameter_inputs")))</f>
        <v>--</v>
      </c>
      <c r="I36" s="14" t="str">
        <f ca="1">IF(OR(G36="alpha",G36="beta",G36="sd",G36="mean"),"--",VLOOKUP(C36,Default!$B$5:$H$114,7,FALSE))</f>
        <v>--</v>
      </c>
      <c r="J36" s="4" t="e">
        <f ca="1">VLOOKUP(F36,Lookup!$C$5:$D$110,2, FALSE)</f>
        <v>#N/A</v>
      </c>
      <c r="K36" s="4" t="e">
        <f ca="1">VLOOKUP(C36,Default!$B$4:$E$114,4, FALSE)</f>
        <v>#N/A</v>
      </c>
      <c r="L36" s="18" t="str" cm="1">
        <f t="array" aca="1" ref="L36" ca="1">IF(ISNA(VLOOKUP($D36,Grouped_Sources!$C:$C,1,FALSE)),"", INDIRECT(VLOOKUP($D36,Grouped_Sources!$C:$I,5,FALSE)))</f>
        <v/>
      </c>
      <c r="M36" s="18" t="str" cm="1">
        <f t="array" aca="1" ref="M36" ca="1">IF(ISNA(VLOOKUP($D36,Grouped_Sources!$C:$C,1,FALSE)),"", INDIRECT(VLOOKUP($D36,Grouped_Sources!$C:$I,6,FALSE)))</f>
        <v/>
      </c>
      <c r="N36" s="18" t="str" cm="1">
        <f t="array" aca="1" ref="N36" ca="1">IF(ISNA(VLOOKUP($D36,Grouped_Sources!$C:$C,1,FALSE)),"", INDIRECT(VLOOKUP($D36,Grouped_Sources!$C:$I,7,FALSE)))</f>
        <v/>
      </c>
    </row>
    <row r="37" spans="1:14">
      <c r="A37" s="5">
        <v>3</v>
      </c>
      <c r="B37" s="5">
        <v>35</v>
      </c>
      <c r="C37" s="5" t="str">
        <f t="shared" ca="1" si="1"/>
        <v>pm_trans_share  (emission )</v>
      </c>
      <c r="D37" s="5" t="str">
        <f t="shared" ca="1" si="3"/>
        <v>pm_trans_share  (emission )_南美洲</v>
      </c>
      <c r="E37" s="4" t="str" cm="1">
        <f t="array" aca="1" ref="E37" ca="1">INDIRECT(ADDRESS(1,A37,1,1,"all_city_parameter_inputs"))</f>
        <v>南美洲</v>
      </c>
      <c r="F37" s="6" t="str" cm="1">
        <f t="array" aca="1" ref="F37" ca="1">IF(AND(ISBLANK(INDIRECT(ADDRESS(B37,2,1,1,"all_city_parameter_inputs"))), ISBLANK(INDIRECT(ADDRESS(B37,1,1,1,"all_city_parameter_inputs")))), "", IF(ISBLANK(INDIRECT(ADDRESS(B37,1,1,1,"all_city_parameter_inputs"))), All_city_list!F36,INDIRECT(ADDRESS(B37,1,1,1,"all_city_parameter_inputs"))))</f>
        <v>pm_trans_share  (emission )</v>
      </c>
      <c r="G37" s="4" t="str" cm="1">
        <f t="array" aca="1" ref="G37" ca="1">IF(AND(ISBLANK(INDIRECT(ADDRESS(B37,3,1,1,"all_city_parameter_inputs"))),ISBLANK(INDIRECT(ADDRESS(B37,2,1,1,"all_city_parameter_inputs")))),"",IF(ISBLANK(INDIRECT(ADDRESS(B37,2,1,1,"all_city_parameter_inputs"))),"",INDIRECT(ADDRESS(B37,2,1,1,"all_city_parameter_inputs"))))</f>
        <v>beta</v>
      </c>
      <c r="H37" s="14" t="str" cm="1">
        <f t="array" aca="1" ref="H37" ca="1">IF(ISBLANK(INDIRECT(ADDRESS(B37,A37,1,1,"all_city_parameter_inputs"))), "--",INDIRECT(ADDRESS(B37,A37,1,1,"all_city_parameter_inputs")))</f>
        <v>--</v>
      </c>
      <c r="I37" s="14" t="str">
        <f ca="1">IF(OR(G37="alpha",G37="beta",G37="sd",G37="mean"),"--",VLOOKUP(C37,Default!$B$5:$H$114,7,FALSE))</f>
        <v>--</v>
      </c>
      <c r="J37" s="4" t="e">
        <f ca="1">VLOOKUP(F37,Lookup!$C$5:$D$110,2, FALSE)</f>
        <v>#N/A</v>
      </c>
      <c r="K37" s="4" t="e">
        <f ca="1">VLOOKUP(C37,Default!$B$4:$E$114,4, FALSE)</f>
        <v>#N/A</v>
      </c>
      <c r="L37" s="34" t="s">
        <v>154</v>
      </c>
      <c r="M37" s="18"/>
      <c r="N37" s="18"/>
    </row>
    <row r="38" spans="1:14">
      <c r="A38" s="5">
        <v>3</v>
      </c>
      <c r="B38" s="5">
        <v>36</v>
      </c>
      <c r="C38" s="5" t="str">
        <f t="shared" ca="1" si="1"/>
        <v>background_pa_scalar</v>
      </c>
      <c r="D38" s="5" t="str">
        <f t="shared" ca="1" si="3"/>
        <v>background_pa_scalar_南美洲</v>
      </c>
      <c r="E38" s="4" t="str" cm="1">
        <f t="array" aca="1" ref="E38" ca="1">INDIRECT(ADDRESS(1,A38,1,1,"all_city_parameter_inputs"))</f>
        <v>南美洲</v>
      </c>
      <c r="F38" s="6" t="str" cm="1">
        <f t="array" aca="1" ref="F38" ca="1">IF(AND(ISBLANK(INDIRECT(ADDRESS(B38,2,1,1,"all_city_parameter_inputs"))), ISBLANK(INDIRECT(ADDRESS(B38,1,1,1,"all_city_parameter_inputs")))), "", IF(ISBLANK(INDIRECT(ADDRESS(B38,1,1,1,"all_city_parameter_inputs"))), All_city_list!F37,INDIRECT(ADDRESS(B38,1,1,1,"all_city_parameter_inputs"))))</f>
        <v>background_pa_scalar</v>
      </c>
      <c r="G38" s="4" t="str" cm="1">
        <f t="array" aca="1" ref="G38" ca="1">IF(AND(ISBLANK(INDIRECT(ADDRESS(B38,3,1,1,"all_city_parameter_inputs"))),ISBLANK(INDIRECT(ADDRESS(B38,2,1,1,"all_city_parameter_inputs")))),"",IF(ISBLANK(INDIRECT(ADDRESS(B38,2,1,1,"all_city_parameter_inputs"))),"",INDIRECT(ADDRESS(B38,2,1,1,"all_city_parameter_inputs"))))</f>
        <v>constant</v>
      </c>
      <c r="H38" s="14" cm="1">
        <f t="array" aca="1" ref="H38" ca="1">IF(ISBLANK(INDIRECT(ADDRESS(B38,A38,1,1,"all_city_parameter_inputs"))), "--",INDIRECT(ADDRESS(B38,A38,1,1,"all_city_parameter_inputs")))</f>
        <v>1</v>
      </c>
      <c r="I38" s="14">
        <f ca="1">IF(OR(G38="alpha",G38="beta",G38="sd",G38="mean"),"--",VLOOKUP(C38,Default!$B$5:$H$114,7,FALSE))</f>
        <v>1</v>
      </c>
      <c r="J38" s="4" t="str">
        <f ca="1">VLOOKUP(F38,Lookup!$C$5:$D$110,2, FALSE)</f>
        <v>PA values</v>
      </c>
      <c r="K38" s="4" t="str">
        <f ca="1">VLOOKUP(C38,Default!$B$4:$E$114,4, FALSE)</f>
        <v>scalar for physical activity</v>
      </c>
      <c r="L38" s="18" t="str" cm="1">
        <f t="array" aca="1" ref="L38" ca="1">IF(ISNA(VLOOKUP($D38,Grouped_Sources!$C:$C,1,FALSE)),"", INDIRECT(VLOOKUP($D38,Grouped_Sources!$C:$I,5,FALSE)))</f>
        <v/>
      </c>
      <c r="M38" s="18" t="str" cm="1">
        <f t="array" aca="1" ref="M38" ca="1">IF(ISNA(VLOOKUP($D38,Grouped_Sources!$C:$C,1,FALSE)),"", INDIRECT(VLOOKUP($D38,Grouped_Sources!$C:$I,6,FALSE)))</f>
        <v/>
      </c>
      <c r="N38" s="18" t="str" cm="1">
        <f t="array" aca="1" ref="N38" ca="1">IF(ISNA(VLOOKUP($D38,Grouped_Sources!$C:$C,1,FALSE)),"", INDIRECT(VLOOKUP($D38,Grouped_Sources!$C:$I,7,FALSE)))</f>
        <v/>
      </c>
    </row>
    <row r="39" spans="1:14">
      <c r="A39" s="5">
        <v>3</v>
      </c>
      <c r="B39" s="5">
        <v>37</v>
      </c>
      <c r="C39" s="5" t="str">
        <f t="shared" ca="1" si="1"/>
        <v>background_pa_scalar</v>
      </c>
      <c r="D39" s="5" t="str">
        <f t="shared" ca="1" si="3"/>
        <v>background_pa_scalar_南美洲</v>
      </c>
      <c r="E39" s="4" t="str" cm="1">
        <f t="array" aca="1" ref="E39" ca="1">INDIRECT(ADDRESS(1,A39,1,1,"all_city_parameter_inputs"))</f>
        <v>南美洲</v>
      </c>
      <c r="F39" s="6" t="str" cm="1">
        <f t="array" aca="1" ref="F39" ca="1">IF(AND(ISBLANK(INDIRECT(ADDRESS(B39,2,1,1,"all_city_parameter_inputs"))), ISBLANK(INDIRECT(ADDRESS(B39,1,1,1,"all_city_parameter_inputs")))), "", IF(ISBLANK(INDIRECT(ADDRESS(B39,1,1,1,"all_city_parameter_inputs"))), All_city_list!F38,INDIRECT(ADDRESS(B39,1,1,1,"all_city_parameter_inputs"))))</f>
        <v>background_pa_scalar</v>
      </c>
      <c r="G39" s="4" t="str" cm="1">
        <f t="array" aca="1" ref="G39" ca="1">IF(AND(ISBLANK(INDIRECT(ADDRESS(B39,3,1,1,"all_city_parameter_inputs"))),ISBLANK(INDIRECT(ADDRESS(B39,2,1,1,"all_city_parameter_inputs")))),"",IF(ISBLANK(INDIRECT(ADDRESS(B39,2,1,1,"all_city_parameter_inputs"))),"",INDIRECT(ADDRESS(B39,2,1,1,"all_city_parameter_inputs"))))</f>
        <v>mean</v>
      </c>
      <c r="H39" s="14" t="str" cm="1">
        <f t="array" aca="1" ref="H39" ca="1">IF(ISBLANK(INDIRECT(ADDRESS(B39,A39,1,1,"all_city_parameter_inputs"))), "--",INDIRECT(ADDRESS(B39,A39,1,1,"all_city_parameter_inputs")))</f>
        <v>--</v>
      </c>
      <c r="I39" s="14" t="str">
        <f ca="1">IF(OR(G39="alpha",G39="beta",G39="sd",G39="mean"),"--",VLOOKUP(C39,Default!$B$5:$H$114,7,FALSE))</f>
        <v>--</v>
      </c>
      <c r="J39" s="4" t="str">
        <f ca="1">VLOOKUP(F39,Lookup!$C$5:$D$110,2, FALSE)</f>
        <v>PA values</v>
      </c>
      <c r="K39" s="4" t="str">
        <f ca="1">VLOOKUP(C39,Default!$B$4:$E$114,4, FALSE)</f>
        <v>scalar for physical activity</v>
      </c>
      <c r="L39" s="18" t="str" cm="1">
        <f t="array" aca="1" ref="L39" ca="1">IF(ISNA(VLOOKUP($D39,Grouped_Sources!$C:$C,1,FALSE)),"", INDIRECT(VLOOKUP($D39,Grouped_Sources!$C:$I,5,FALSE)))</f>
        <v/>
      </c>
      <c r="M39" s="18" t="str" cm="1">
        <f t="array" aca="1" ref="M39" ca="1">IF(ISNA(VLOOKUP($D39,Grouped_Sources!$C:$C,1,FALSE)),"", INDIRECT(VLOOKUP($D39,Grouped_Sources!$C:$I,6,FALSE)))</f>
        <v/>
      </c>
      <c r="N39" s="18" t="str" cm="1">
        <f t="array" aca="1" ref="N39" ca="1">IF(ISNA(VLOOKUP($D39,Grouped_Sources!$C:$C,1,FALSE)),"", INDIRECT(VLOOKUP($D39,Grouped_Sources!$C:$I,7,FALSE)))</f>
        <v/>
      </c>
    </row>
    <row r="40" spans="1:14">
      <c r="A40" s="5">
        <v>3</v>
      </c>
      <c r="B40" s="5">
        <v>38</v>
      </c>
      <c r="C40" s="5" t="str">
        <f t="shared" ca="1" si="1"/>
        <v>background_pa_scalar</v>
      </c>
      <c r="D40" s="5" t="str">
        <f t="shared" ca="1" si="3"/>
        <v>background_pa_scalar_南美洲</v>
      </c>
      <c r="E40" s="4" t="str" cm="1">
        <f t="array" aca="1" ref="E40" ca="1">INDIRECT(ADDRESS(1,A40,1,1,"all_city_parameter_inputs"))</f>
        <v>南美洲</v>
      </c>
      <c r="F40" s="6" t="str" cm="1">
        <f t="array" aca="1" ref="F40" ca="1">IF(AND(ISBLANK(INDIRECT(ADDRESS(B40,2,1,1,"all_city_parameter_inputs"))), ISBLANK(INDIRECT(ADDRESS(B40,1,1,1,"all_city_parameter_inputs")))), "", IF(ISBLANK(INDIRECT(ADDRESS(B40,1,1,1,"all_city_parameter_inputs"))), All_city_list!F39,INDIRECT(ADDRESS(B40,1,1,1,"all_city_parameter_inputs"))))</f>
        <v>background_pa_scalar</v>
      </c>
      <c r="G40" s="4" t="str" cm="1">
        <f t="array" aca="1" ref="G40" ca="1">IF(AND(ISBLANK(INDIRECT(ADDRESS(B40,3,1,1,"all_city_parameter_inputs"))),ISBLANK(INDIRECT(ADDRESS(B40,2,1,1,"all_city_parameter_inputs")))),"",IF(ISBLANK(INDIRECT(ADDRESS(B40,2,1,1,"all_city_parameter_inputs"))),"",INDIRECT(ADDRESS(B40,2,1,1,"all_city_parameter_inputs"))))</f>
        <v>sd</v>
      </c>
      <c r="H40" s="14" t="str" cm="1">
        <f t="array" aca="1" ref="H40" ca="1">IF(ISBLANK(INDIRECT(ADDRESS(B40,A40,1,1,"all_city_parameter_inputs"))), "--",INDIRECT(ADDRESS(B40,A40,1,1,"all_city_parameter_inputs")))</f>
        <v>--</v>
      </c>
      <c r="I40" s="14" t="str">
        <f ca="1">IF(OR(G40="alpha",G40="beta",G40="sd",G40="mean"),"--",VLOOKUP(C40,Default!$B$5:$H$114,7,FALSE))</f>
        <v>--</v>
      </c>
      <c r="J40" s="4" t="str">
        <f ca="1">VLOOKUP(F40,Lookup!$C$5:$D$110,2, FALSE)</f>
        <v>PA values</v>
      </c>
      <c r="K40" s="4" t="str">
        <f ca="1">VLOOKUP(C40,Default!$B$4:$E$114,4, FALSE)</f>
        <v>scalar for physical activity</v>
      </c>
      <c r="L40" s="34" t="s">
        <v>155</v>
      </c>
      <c r="M40" s="18" t="s">
        <v>156</v>
      </c>
      <c r="N40" s="18"/>
    </row>
    <row r="41" spans="1:14">
      <c r="A41" s="5">
        <v>3</v>
      </c>
      <c r="B41" s="5">
        <v>39</v>
      </c>
      <c r="C41" s="5" t="str">
        <f t="shared" ca="1" si="1"/>
        <v xml:space="preserve">bus_walk_time (average walk to bus time) </v>
      </c>
      <c r="D41" s="5" t="str">
        <f t="shared" ca="1" si="3"/>
        <v>bus_walk_time (average walk to bus time) _南美洲</v>
      </c>
      <c r="E41" s="4" t="str" cm="1">
        <f t="array" aca="1" ref="E41" ca="1">INDIRECT(ADDRESS(1,A41,1,1,"all_city_parameter_inputs"))</f>
        <v>南美洲</v>
      </c>
      <c r="F41" s="6" t="str" cm="1">
        <f t="array" aca="1" ref="F41" ca="1">IF(AND(ISBLANK(INDIRECT(ADDRESS(B41,2,1,1,"all_city_parameter_inputs"))), ISBLANK(INDIRECT(ADDRESS(B41,1,1,1,"all_city_parameter_inputs")))), "", IF(ISBLANK(INDIRECT(ADDRESS(B41,1,1,1,"all_city_parameter_inputs"))), All_city_list!F40,INDIRECT(ADDRESS(B41,1,1,1,"all_city_parameter_inputs"))))</f>
        <v xml:space="preserve">bus_walk_time (average walk to bus time) </v>
      </c>
      <c r="G41" s="4" t="str" cm="1">
        <f t="array" aca="1" ref="G41" ca="1">IF(AND(ISBLANK(INDIRECT(ADDRESS(B41,3,1,1,"all_city_parameter_inputs"))),ISBLANK(INDIRECT(ADDRESS(B41,2,1,1,"all_city_parameter_inputs")))),"",IF(ISBLANK(INDIRECT(ADDRESS(B41,2,1,1,"all_city_parameter_inputs"))),"",INDIRECT(ADDRESS(B41,2,1,1,"all_city_parameter_inputs"))))</f>
        <v>constant</v>
      </c>
      <c r="H41" s="14" cm="1">
        <f t="array" aca="1" ref="H41" ca="1">IF(ISBLANK(INDIRECT(ADDRESS(B41,A41,1,1,"all_city_parameter_inputs"))), "--",INDIRECT(ADDRESS(B41,A41,1,1,"all_city_parameter_inputs")))</f>
        <v>16</v>
      </c>
      <c r="I41" s="14" t="e">
        <f ca="1">IF(OR(G41="alpha",G41="beta",G41="sd",G41="mean"),"--",VLOOKUP(C41,Default!$B$5:$H$114,7,FALSE))</f>
        <v>#N/A</v>
      </c>
      <c r="J41" s="4" t="e">
        <f ca="1">VLOOKUP(F41,Lookup!$C$5:$D$110,2, FALSE)</f>
        <v>#N/A</v>
      </c>
      <c r="K41" s="4" t="e">
        <f ca="1">VLOOKUP(C41,Default!$B$4:$E$114,4, FALSE)</f>
        <v>#N/A</v>
      </c>
      <c r="L41" s="18" t="str" cm="1">
        <f t="array" aca="1" ref="L41" ca="1">IF(ISNA(VLOOKUP($D41,Grouped_Sources!$C:$C,1,FALSE)),"", INDIRECT(VLOOKUP($D41,Grouped_Sources!$C:$I,5,FALSE)))</f>
        <v/>
      </c>
      <c r="M41" s="18" t="str" cm="1">
        <f t="array" aca="1" ref="M41" ca="1">IF(ISNA(VLOOKUP($D41,Grouped_Sources!$C:$C,1,FALSE)),"", INDIRECT(VLOOKUP($D41,Grouped_Sources!$C:$I,6,FALSE)))</f>
        <v/>
      </c>
      <c r="N41" s="18" t="str" cm="1">
        <f t="array" aca="1" ref="N41" ca="1">IF(ISNA(VLOOKUP($D41,Grouped_Sources!$C:$C,1,FALSE)),"", INDIRECT(VLOOKUP($D41,Grouped_Sources!$C:$I,7,FALSE)))</f>
        <v/>
      </c>
    </row>
    <row r="42" spans="1:14">
      <c r="A42" s="5">
        <v>3</v>
      </c>
      <c r="B42" s="5">
        <v>40</v>
      </c>
      <c r="C42" s="5" t="str">
        <f t="shared" ca="1" si="1"/>
        <v xml:space="preserve">bus_walk_time (average walk to bus time) </v>
      </c>
      <c r="D42" s="5" t="str">
        <f t="shared" ca="1" si="3"/>
        <v>bus_walk_time (average walk to bus time) _南美洲</v>
      </c>
      <c r="E42" s="4" t="str" cm="1">
        <f t="array" aca="1" ref="E42" ca="1">INDIRECT(ADDRESS(1,A42,1,1,"all_city_parameter_inputs"))</f>
        <v>南美洲</v>
      </c>
      <c r="F42" s="6" t="str" cm="1">
        <f t="array" aca="1" ref="F42" ca="1">IF(AND(ISBLANK(INDIRECT(ADDRESS(B42,2,1,1,"all_city_parameter_inputs"))), ISBLANK(INDIRECT(ADDRESS(B42,1,1,1,"all_city_parameter_inputs")))), "", IF(ISBLANK(INDIRECT(ADDRESS(B42,1,1,1,"all_city_parameter_inputs"))), All_city_list!F41,INDIRECT(ADDRESS(B42,1,1,1,"all_city_parameter_inputs"))))</f>
        <v xml:space="preserve">bus_walk_time (average walk to bus time) </v>
      </c>
      <c r="G42" s="4" t="str" cm="1">
        <f t="array" aca="1" ref="G42" ca="1">IF(AND(ISBLANK(INDIRECT(ADDRESS(B42,3,1,1,"all_city_parameter_inputs"))),ISBLANK(INDIRECT(ADDRESS(B42,2,1,1,"all_city_parameter_inputs")))),"",IF(ISBLANK(INDIRECT(ADDRESS(B42,2,1,1,"all_city_parameter_inputs"))),"",INDIRECT(ADDRESS(B42,2,1,1,"all_city_parameter_inputs"))))</f>
        <v>mean</v>
      </c>
      <c r="H42" s="14" t="str" cm="1">
        <f t="array" aca="1" ref="H42" ca="1">IF(ISBLANK(INDIRECT(ADDRESS(B42,A42,1,1,"all_city_parameter_inputs"))), "--",INDIRECT(ADDRESS(B42,A42,1,1,"all_city_parameter_inputs")))</f>
        <v>--</v>
      </c>
      <c r="I42" s="14" t="str">
        <f ca="1">IF(OR(G42="alpha",G42="beta",G42="sd",G42="mean"),"--",VLOOKUP(C42,Default!$B$5:$H$114,7,FALSE))</f>
        <v>--</v>
      </c>
      <c r="J42" s="4" t="e">
        <f ca="1">VLOOKUP(F42,Lookup!$C$5:$D$110,2, FALSE)</f>
        <v>#N/A</v>
      </c>
      <c r="K42" s="4" t="e">
        <f ca="1">VLOOKUP(C42,Default!$B$4:$E$114,4, FALSE)</f>
        <v>#N/A</v>
      </c>
      <c r="L42" s="18" t="str" cm="1">
        <f t="array" aca="1" ref="L42" ca="1">IF(ISNA(VLOOKUP($D42,Grouped_Sources!$C:$C,1,FALSE)),"", INDIRECT(VLOOKUP($D42,Grouped_Sources!$C:$I,5,FALSE)))</f>
        <v/>
      </c>
      <c r="M42" s="18" t="str" cm="1">
        <f t="array" aca="1" ref="M42" ca="1">IF(ISNA(VLOOKUP($D42,Grouped_Sources!$C:$C,1,FALSE)),"", INDIRECT(VLOOKUP($D42,Grouped_Sources!$C:$I,6,FALSE)))</f>
        <v/>
      </c>
      <c r="N42" s="18" t="str" cm="1">
        <f t="array" aca="1" ref="N42" ca="1">IF(ISNA(VLOOKUP($D42,Grouped_Sources!$C:$C,1,FALSE)),"", INDIRECT(VLOOKUP($D42,Grouped_Sources!$C:$I,7,FALSE)))</f>
        <v/>
      </c>
    </row>
    <row r="43" spans="1:14">
      <c r="A43" s="5">
        <v>3</v>
      </c>
      <c r="B43" s="5">
        <v>41</v>
      </c>
      <c r="C43" s="5" t="str">
        <f t="shared" ca="1" si="1"/>
        <v xml:space="preserve">bus_walk_time (average walk to bus time) </v>
      </c>
      <c r="D43" s="5" t="str">
        <f t="shared" ca="1" si="3"/>
        <v>bus_walk_time (average walk to bus time) _南美洲</v>
      </c>
      <c r="E43" s="4" t="str" cm="1">
        <f t="array" aca="1" ref="E43" ca="1">INDIRECT(ADDRESS(1,A43,1,1,"all_city_parameter_inputs"))</f>
        <v>南美洲</v>
      </c>
      <c r="F43" s="6" t="str" cm="1">
        <f t="array" aca="1" ref="F43" ca="1">IF(AND(ISBLANK(INDIRECT(ADDRESS(B43,2,1,1,"all_city_parameter_inputs"))), ISBLANK(INDIRECT(ADDRESS(B43,1,1,1,"all_city_parameter_inputs")))), "", IF(ISBLANK(INDIRECT(ADDRESS(B43,1,1,1,"all_city_parameter_inputs"))), All_city_list!F42,INDIRECT(ADDRESS(B43,1,1,1,"all_city_parameter_inputs"))))</f>
        <v xml:space="preserve">bus_walk_time (average walk to bus time) </v>
      </c>
      <c r="G43" s="4" t="str" cm="1">
        <f t="array" aca="1" ref="G43" ca="1">IF(AND(ISBLANK(INDIRECT(ADDRESS(B43,3,1,1,"all_city_parameter_inputs"))),ISBLANK(INDIRECT(ADDRESS(B43,2,1,1,"all_city_parameter_inputs")))),"",IF(ISBLANK(INDIRECT(ADDRESS(B43,2,1,1,"all_city_parameter_inputs"))),"",INDIRECT(ADDRESS(B43,2,1,1,"all_city_parameter_inputs"))))</f>
        <v>sd</v>
      </c>
      <c r="H43" s="14" t="str" cm="1">
        <f t="array" aca="1" ref="H43" ca="1">IF(ISBLANK(INDIRECT(ADDRESS(B43,A43,1,1,"all_city_parameter_inputs"))), "--",INDIRECT(ADDRESS(B43,A43,1,1,"all_city_parameter_inputs")))</f>
        <v>--</v>
      </c>
      <c r="I43" s="14" t="str">
        <f ca="1">IF(OR(G43="alpha",G43="beta",G43="sd",G43="mean"),"--",VLOOKUP(C43,Default!$B$5:$H$114,7,FALSE))</f>
        <v>--</v>
      </c>
      <c r="J43" s="4" t="e">
        <f ca="1">VLOOKUP(F43,Lookup!$C$5:$D$110,2, FALSE)</f>
        <v>#N/A</v>
      </c>
      <c r="K43" s="4" t="e">
        <f ca="1">VLOOKUP(C43,Default!$B$4:$E$114,4, FALSE)</f>
        <v>#N/A</v>
      </c>
      <c r="L43" s="34" t="s">
        <v>157</v>
      </c>
      <c r="M43" s="18" t="s">
        <v>158</v>
      </c>
      <c r="N43" s="18"/>
    </row>
    <row r="44" spans="1:14">
      <c r="A44" s="5">
        <v>3</v>
      </c>
      <c r="B44" s="5">
        <v>42</v>
      </c>
      <c r="C44" s="5" t="str">
        <f t="shared" ca="1" si="1"/>
        <v>rail_walk_time</v>
      </c>
      <c r="D44" s="5" t="str">
        <f t="shared" ca="1" si="3"/>
        <v>rail_walk_time_南美洲</v>
      </c>
      <c r="E44" s="4" t="str" cm="1">
        <f t="array" aca="1" ref="E44" ca="1">INDIRECT(ADDRESS(1,A44,1,1,"all_city_parameter_inputs"))</f>
        <v>南美洲</v>
      </c>
      <c r="F44" s="6" t="str" cm="1">
        <f t="array" aca="1" ref="F44" ca="1">IF(AND(ISBLANK(INDIRECT(ADDRESS(B44,2,1,1,"all_city_parameter_inputs"))), ISBLANK(INDIRECT(ADDRESS(B44,1,1,1,"all_city_parameter_inputs")))), "", IF(ISBLANK(INDIRECT(ADDRESS(B44,1,1,1,"all_city_parameter_inputs"))), All_city_list!F43,INDIRECT(ADDRESS(B44,1,1,1,"all_city_parameter_inputs"))))</f>
        <v>rail_walk_time</v>
      </c>
      <c r="G44" s="4" t="str" cm="1">
        <f t="array" aca="1" ref="G44" ca="1">IF(AND(ISBLANK(INDIRECT(ADDRESS(B44,3,1,1,"all_city_parameter_inputs"))),ISBLANK(INDIRECT(ADDRESS(B44,2,1,1,"all_city_parameter_inputs")))),"",IF(ISBLANK(INDIRECT(ADDRESS(B44,2,1,1,"all_city_parameter_inputs"))),"",INDIRECT(ADDRESS(B44,2,1,1,"all_city_parameter_inputs"))))</f>
        <v>constant</v>
      </c>
      <c r="H44" s="14" cm="1">
        <f t="array" aca="1" ref="H44" ca="1">IF(ISBLANK(INDIRECT(ADDRESS(B44,A44,1,1,"all_city_parameter_inputs"))), "--",INDIRECT(ADDRESS(B44,A44,1,1,"all_city_parameter_inputs")))</f>
        <v>12.5</v>
      </c>
      <c r="I44" s="14">
        <f ca="1">IF(OR(G44="alpha",G44="beta",G44="sd",G44="mean"),"--",VLOOKUP(C44,Default!$B$5:$H$114,7,FALSE))</f>
        <v>12.5</v>
      </c>
      <c r="J44" s="4" t="str">
        <f ca="1">VLOOKUP(F44,Lookup!$C$5:$D$110,2, FALSE)</f>
        <v>Travel values</v>
      </c>
      <c r="K44" s="4" t="str">
        <f ca="1">VLOOKUP(C44,Default!$B$4:$E$114,4, FALSE)</f>
        <v>time taken to walk to train station</v>
      </c>
      <c r="L44" s="18" t="str" cm="1">
        <f t="array" aca="1" ref="L44" ca="1">IF(ISNA(VLOOKUP($D44,Grouped_Sources!$C:$C,1,FALSE)),"", INDIRECT(VLOOKUP($D44,Grouped_Sources!$C:$I,5,FALSE)))</f>
        <v/>
      </c>
      <c r="M44" s="18" t="str" cm="1">
        <f t="array" aca="1" ref="M44" ca="1">IF(ISNA(VLOOKUP($D44,Grouped_Sources!$C:$C,1,FALSE)),"", INDIRECT(VLOOKUP($D44,Grouped_Sources!$C:$I,6,FALSE)))</f>
        <v/>
      </c>
      <c r="N44" s="18" t="str" cm="1">
        <f t="array" aca="1" ref="N44" ca="1">IF(ISNA(VLOOKUP($D44,Grouped_Sources!$C:$C,1,FALSE)),"", INDIRECT(VLOOKUP($D44,Grouped_Sources!$C:$I,7,FALSE)))</f>
        <v/>
      </c>
    </row>
    <row r="45" spans="1:14">
      <c r="A45" s="5">
        <v>3</v>
      </c>
      <c r="B45" s="5">
        <v>43</v>
      </c>
      <c r="C45" s="5" t="str">
        <f t="shared" ca="1" si="1"/>
        <v>rail_walk_time</v>
      </c>
      <c r="D45" s="5" t="str">
        <f t="shared" ca="1" si="3"/>
        <v>rail_walk_time_南美洲</v>
      </c>
      <c r="E45" s="4" t="str" cm="1">
        <f t="array" aca="1" ref="E45" ca="1">INDIRECT(ADDRESS(1,A45,1,1,"all_city_parameter_inputs"))</f>
        <v>南美洲</v>
      </c>
      <c r="F45" s="6" t="str" cm="1">
        <f t="array" aca="1" ref="F45" ca="1">IF(AND(ISBLANK(INDIRECT(ADDRESS(B45,2,1,1,"all_city_parameter_inputs"))), ISBLANK(INDIRECT(ADDRESS(B45,1,1,1,"all_city_parameter_inputs")))), "", IF(ISBLANK(INDIRECT(ADDRESS(B45,1,1,1,"all_city_parameter_inputs"))), All_city_list!F44,INDIRECT(ADDRESS(B45,1,1,1,"all_city_parameter_inputs"))))</f>
        <v>rail_walk_time</v>
      </c>
      <c r="G45" s="4" t="str" cm="1">
        <f t="array" aca="1" ref="G45" ca="1">IF(AND(ISBLANK(INDIRECT(ADDRESS(B45,3,1,1,"all_city_parameter_inputs"))),ISBLANK(INDIRECT(ADDRESS(B45,2,1,1,"all_city_parameter_inputs")))),"",IF(ISBLANK(INDIRECT(ADDRESS(B45,2,1,1,"all_city_parameter_inputs"))),"",INDIRECT(ADDRESS(B45,2,1,1,"all_city_parameter_inputs"))))</f>
        <v>mean</v>
      </c>
      <c r="H45" s="14" t="str" cm="1">
        <f t="array" aca="1" ref="H45" ca="1">IF(ISBLANK(INDIRECT(ADDRESS(B45,A45,1,1,"all_city_parameter_inputs"))), "--",INDIRECT(ADDRESS(B45,A45,1,1,"all_city_parameter_inputs")))</f>
        <v>--</v>
      </c>
      <c r="I45" s="14" t="str">
        <f ca="1">IF(OR(G45="alpha",G45="beta",G45="sd",G45="mean"),"--",VLOOKUP(C45,Default!$B$5:$H$114,7,FALSE))</f>
        <v>--</v>
      </c>
      <c r="J45" s="4" t="str">
        <f ca="1">VLOOKUP(F45,Lookup!$C$5:$D$110,2, FALSE)</f>
        <v>Travel values</v>
      </c>
      <c r="K45" s="4" t="str">
        <f ca="1">VLOOKUP(C45,Default!$B$4:$E$114,4, FALSE)</f>
        <v>time taken to walk to train station</v>
      </c>
      <c r="L45" s="18" t="str" cm="1">
        <f t="array" aca="1" ref="L45" ca="1">IF(ISNA(VLOOKUP($D45,Grouped_Sources!$C:$C,1,FALSE)),"", INDIRECT(VLOOKUP($D45,Grouped_Sources!$C:$I,5,FALSE)))</f>
        <v/>
      </c>
      <c r="M45" s="18" t="str" cm="1">
        <f t="array" aca="1" ref="M45" ca="1">IF(ISNA(VLOOKUP($D45,Grouped_Sources!$C:$C,1,FALSE)),"", INDIRECT(VLOOKUP($D45,Grouped_Sources!$C:$I,6,FALSE)))</f>
        <v/>
      </c>
      <c r="N45" s="18" t="str" cm="1">
        <f t="array" aca="1" ref="N45" ca="1">IF(ISNA(VLOOKUP($D45,Grouped_Sources!$C:$C,1,FALSE)),"", INDIRECT(VLOOKUP($D45,Grouped_Sources!$C:$I,7,FALSE)))</f>
        <v/>
      </c>
    </row>
    <row r="46" spans="1:14">
      <c r="A46" s="5">
        <v>3</v>
      </c>
      <c r="B46" s="5">
        <v>44</v>
      </c>
      <c r="C46" s="5" t="str">
        <f t="shared" ca="1" si="1"/>
        <v>rail_walk_time</v>
      </c>
      <c r="D46" s="5" t="str">
        <f t="shared" ca="1" si="3"/>
        <v>rail_walk_time_南美洲</v>
      </c>
      <c r="E46" s="4" t="str" cm="1">
        <f t="array" aca="1" ref="E46" ca="1">INDIRECT(ADDRESS(1,A46,1,1,"all_city_parameter_inputs"))</f>
        <v>南美洲</v>
      </c>
      <c r="F46" s="6" t="str" cm="1">
        <f t="array" aca="1" ref="F46" ca="1">IF(AND(ISBLANK(INDIRECT(ADDRESS(B46,2,1,1,"all_city_parameter_inputs"))), ISBLANK(INDIRECT(ADDRESS(B46,1,1,1,"all_city_parameter_inputs")))), "", IF(ISBLANK(INDIRECT(ADDRESS(B46,1,1,1,"all_city_parameter_inputs"))), All_city_list!F45,INDIRECT(ADDRESS(B46,1,1,1,"all_city_parameter_inputs"))))</f>
        <v>rail_walk_time</v>
      </c>
      <c r="G46" s="4" t="str" cm="1">
        <f t="array" aca="1" ref="G46" ca="1">IF(AND(ISBLANK(INDIRECT(ADDRESS(B46,3,1,1,"all_city_parameter_inputs"))),ISBLANK(INDIRECT(ADDRESS(B46,2,1,1,"all_city_parameter_inputs")))),"",IF(ISBLANK(INDIRECT(ADDRESS(B46,2,1,1,"all_city_parameter_inputs"))),"",INDIRECT(ADDRESS(B46,2,1,1,"all_city_parameter_inputs"))))</f>
        <v>sd</v>
      </c>
      <c r="H46" s="14" t="str" cm="1">
        <f t="array" aca="1" ref="H46" ca="1">IF(ISBLANK(INDIRECT(ADDRESS(B46,A46,1,1,"all_city_parameter_inputs"))), "--",INDIRECT(ADDRESS(B46,A46,1,1,"all_city_parameter_inputs")))</f>
        <v>--</v>
      </c>
      <c r="I46" s="14" t="str">
        <f ca="1">IF(OR(G46="alpha",G46="beta",G46="sd",G46="mean"),"--",VLOOKUP(C46,Default!$B$5:$H$114,7,FALSE))</f>
        <v>--</v>
      </c>
      <c r="J46" s="4" t="str">
        <f ca="1">VLOOKUP(F46,Lookup!$C$5:$D$110,2, FALSE)</f>
        <v>Travel values</v>
      </c>
      <c r="K46" s="4" t="str">
        <f ca="1">VLOOKUP(C46,Default!$B$4:$E$114,4, FALSE)</f>
        <v>time taken to walk to train station</v>
      </c>
      <c r="L46" s="34" t="s">
        <v>159</v>
      </c>
      <c r="M46" s="18"/>
      <c r="N46" s="18"/>
    </row>
    <row r="47" spans="1:14">
      <c r="A47" s="5">
        <v>3</v>
      </c>
      <c r="B47" s="5">
        <v>45</v>
      </c>
      <c r="C47" s="5" t="str">
        <f t="shared" ca="1" si="1"/>
        <v>add_personal_motorcycle_trips</v>
      </c>
      <c r="D47" s="5" t="str">
        <f t="shared" ca="1" si="3"/>
        <v>add_personal_motorcycle_trips_南美洲</v>
      </c>
      <c r="E47" s="4" t="str" cm="1">
        <f t="array" aca="1" ref="E47" ca="1">INDIRECT(ADDRESS(1,A47,1,1,"all_city_parameter_inputs"))</f>
        <v>南美洲</v>
      </c>
      <c r="F47" s="6" t="str" cm="1">
        <f t="array" aca="1" ref="F47" ca="1">IF(AND(ISBLANK(INDIRECT(ADDRESS(B47,2,1,1,"all_city_parameter_inputs"))), ISBLANK(INDIRECT(ADDRESS(B47,1,1,1,"all_city_parameter_inputs")))), "", IF(ISBLANK(INDIRECT(ADDRESS(B47,1,1,1,"all_city_parameter_inputs"))), All_city_list!F46,INDIRECT(ADDRESS(B47,1,1,1,"all_city_parameter_inputs"))))</f>
        <v>add_personal_motorcycle_trips</v>
      </c>
      <c r="G47" s="4" t="str" cm="1">
        <f t="array" aca="1" ref="G47" ca="1">IF(AND(ISBLANK(INDIRECT(ADDRESS(B47,3,1,1,"all_city_parameter_inputs"))),ISBLANK(INDIRECT(ADDRESS(B47,2,1,1,"all_city_parameter_inputs")))),"",IF(ISBLANK(INDIRECT(ADDRESS(B47,2,1,1,"all_city_parameter_inputs"))),"",INDIRECT(ADDRESS(B47,2,1,1,"all_city_parameter_inputs"))))</f>
        <v/>
      </c>
      <c r="H47" s="14" t="str" cm="1">
        <f t="array" aca="1" ref="H47" ca="1">IF(ISBLANK(INDIRECT(ADDRESS(B47,A47,1,1,"all_city_parameter_inputs"))), "--",INDIRECT(ADDRESS(B47,A47,1,1,"all_city_parameter_inputs")))</f>
        <v>no</v>
      </c>
      <c r="I47" s="14" t="str">
        <f ca="1">IF(OR(G47="alpha",G47="beta",G47="sd",G47="mean"),"--",VLOOKUP(C47,Default!$B$5:$H$114,7,FALSE))</f>
        <v>no</v>
      </c>
      <c r="J47" s="4" t="str">
        <f ca="1">VLOOKUP(F47,Lookup!$C$5:$D$110,2, FALSE)</f>
        <v>Travel values</v>
      </c>
      <c r="K47" s="4" t="str">
        <f ca="1">VLOOKUP(C47,Default!$B$4:$E$114,4, FALSE)</f>
        <v>if set to 'no', does not add any personal journey motorcycle trip. If set to 'Chile' add motorcycle trips based on Chilean data. Used if no motorcycle trips exist in the travel survey at all</v>
      </c>
      <c r="L47" s="34" t="s">
        <v>159</v>
      </c>
      <c r="M47" s="18"/>
      <c r="N47" s="18"/>
    </row>
    <row r="48" spans="1:14">
      <c r="A48" s="5">
        <v>3</v>
      </c>
      <c r="B48" s="5">
        <v>46</v>
      </c>
      <c r="C48" s="5" t="str">
        <f t="shared" ca="1" si="1"/>
        <v>proportion_motorcycle_trips</v>
      </c>
      <c r="D48" s="5" t="str">
        <f t="shared" ca="1" si="3"/>
        <v>proportion_motorcycle_trips_南美洲</v>
      </c>
      <c r="E48" s="4" t="str" cm="1">
        <f t="array" aca="1" ref="E48" ca="1">INDIRECT(ADDRESS(1,A48,1,1,"all_city_parameter_inputs"))</f>
        <v>南美洲</v>
      </c>
      <c r="F48" s="6" t="str" cm="1">
        <f t="array" aca="1" ref="F48" ca="1">IF(AND(ISBLANK(INDIRECT(ADDRESS(B48,2,1,1,"all_city_parameter_inputs"))), ISBLANK(INDIRECT(ADDRESS(B48,1,1,1,"all_city_parameter_inputs")))), "", IF(ISBLANK(INDIRECT(ADDRESS(B48,1,1,1,"all_city_parameter_inputs"))), All_city_list!F47,INDIRECT(ADDRESS(B48,1,1,1,"all_city_parameter_inputs"))))</f>
        <v>proportion_motorcycle_trips</v>
      </c>
      <c r="G48" s="4" t="str" cm="1">
        <f t="array" aca="1" ref="G48" ca="1">IF(AND(ISBLANK(INDIRECT(ADDRESS(B48,3,1,1,"all_city_parameter_inputs"))),ISBLANK(INDIRECT(ADDRESS(B48,2,1,1,"all_city_parameter_inputs")))),"",IF(ISBLANK(INDIRECT(ADDRESS(B48,2,1,1,"all_city_parameter_inputs"))),"",INDIRECT(ADDRESS(B48,2,1,1,"all_city_parameter_inputs"))))</f>
        <v>constant</v>
      </c>
      <c r="H48" s="14" cm="1">
        <f t="array" aca="1" ref="H48" ca="1">IF(ISBLANK(INDIRECT(ADDRESS(B48,A48,1,1,"all_city_parameter_inputs"))), "--",INDIRECT(ADDRESS(B48,A48,1,1,"all_city_parameter_inputs")))</f>
        <v>0</v>
      </c>
      <c r="I48" s="14">
        <f ca="1">IF(OR(G48="alpha",G48="beta",G48="sd",G48="mean"),"--",VLOOKUP(C48,Default!$B$5:$H$114,7,FALSE))</f>
        <v>0</v>
      </c>
      <c r="J48" s="4" t="str">
        <f ca="1">VLOOKUP(F48,Lookup!$C$5:$D$110,2, FALSE)</f>
        <v>Travel values</v>
      </c>
      <c r="K48" s="4" t="str">
        <f ca="1">VLOOKUP(C48,Default!$B$4:$E$114,4, FALSE)</f>
        <v>proportion of travel survey trips that should be added as motorcycle trips</v>
      </c>
      <c r="L48" s="18" t="str" cm="1">
        <f t="array" aca="1" ref="L48" ca="1">IF(ISNA(VLOOKUP($D48,Grouped_Sources!$C:$C,1,FALSE)),"", INDIRECT(VLOOKUP($D48,Grouped_Sources!$C:$I,5,FALSE)))</f>
        <v/>
      </c>
      <c r="M48" s="18" t="str" cm="1">
        <f t="array" aca="1" ref="M48" ca="1">IF(ISNA(VLOOKUP($D48,Grouped_Sources!$C:$C,1,FALSE)),"", INDIRECT(VLOOKUP($D48,Grouped_Sources!$C:$I,6,FALSE)))</f>
        <v/>
      </c>
      <c r="N48" s="18" t="str" cm="1">
        <f t="array" aca="1" ref="N48" ca="1">IF(ISNA(VLOOKUP($D48,Grouped_Sources!$C:$C,1,FALSE)),"", INDIRECT(VLOOKUP($D48,Grouped_Sources!$C:$I,7,FALSE)))</f>
        <v/>
      </c>
    </row>
    <row r="49" spans="1:14">
      <c r="A49" s="5">
        <v>3</v>
      </c>
      <c r="B49" s="5">
        <v>47</v>
      </c>
      <c r="C49" s="5" t="str">
        <f t="shared" ca="1" si="1"/>
        <v>proportion_motorcycle_trips</v>
      </c>
      <c r="D49" s="5" t="str">
        <f t="shared" ca="1" si="3"/>
        <v>proportion_motorcycle_trips_南美洲</v>
      </c>
      <c r="E49" s="4" t="str" cm="1">
        <f t="array" aca="1" ref="E49" ca="1">INDIRECT(ADDRESS(1,A49,1,1,"all_city_parameter_inputs"))</f>
        <v>南美洲</v>
      </c>
      <c r="F49" s="6" t="str" cm="1">
        <f t="array" aca="1" ref="F49" ca="1">IF(AND(ISBLANK(INDIRECT(ADDRESS(B49,2,1,1,"all_city_parameter_inputs"))), ISBLANK(INDIRECT(ADDRESS(B49,1,1,1,"all_city_parameter_inputs")))), "", IF(ISBLANK(INDIRECT(ADDRESS(B49,1,1,1,"all_city_parameter_inputs"))), All_city_list!F48,INDIRECT(ADDRESS(B49,1,1,1,"all_city_parameter_inputs"))))</f>
        <v>proportion_motorcycle_trips</v>
      </c>
      <c r="G49" s="4" t="str" cm="1">
        <f t="array" aca="1" ref="G49" ca="1">IF(AND(ISBLANK(INDIRECT(ADDRESS(B49,3,1,1,"all_city_parameter_inputs"))),ISBLANK(INDIRECT(ADDRESS(B49,2,1,1,"all_city_parameter_inputs")))),"",IF(ISBLANK(INDIRECT(ADDRESS(B49,2,1,1,"all_city_parameter_inputs"))),"",INDIRECT(ADDRESS(B49,2,1,1,"all_city_parameter_inputs"))))</f>
        <v>alpha</v>
      </c>
      <c r="H49" s="14" t="str" cm="1">
        <f t="array" aca="1" ref="H49" ca="1">IF(ISBLANK(INDIRECT(ADDRESS(B49,A49,1,1,"all_city_parameter_inputs"))), "--",INDIRECT(ADDRESS(B49,A49,1,1,"all_city_parameter_inputs")))</f>
        <v>--</v>
      </c>
      <c r="I49" s="14" t="str">
        <f ca="1">IF(OR(G49="alpha",G49="beta",G49="sd",G49="mean"),"--",VLOOKUP(C49,Default!$B$5:$H$114,7,FALSE))</f>
        <v>--</v>
      </c>
      <c r="J49" s="4" t="str">
        <f ca="1">VLOOKUP(F49,Lookup!$C$5:$D$110,2, FALSE)</f>
        <v>Travel values</v>
      </c>
      <c r="K49" s="4" t="str">
        <f ca="1">VLOOKUP(C49,Default!$B$4:$E$114,4, FALSE)</f>
        <v>proportion of travel survey trips that should be added as motorcycle trips</v>
      </c>
      <c r="L49" s="18" t="str" cm="1">
        <f t="array" aca="1" ref="L49" ca="1">IF(ISNA(VLOOKUP($D49,Grouped_Sources!$C:$C,1,FALSE)),"", INDIRECT(VLOOKUP($D49,Grouped_Sources!$C:$I,5,FALSE)))</f>
        <v/>
      </c>
      <c r="M49" s="18" t="str" cm="1">
        <f t="array" aca="1" ref="M49" ca="1">IF(ISNA(VLOOKUP($D49,Grouped_Sources!$C:$C,1,FALSE)),"", INDIRECT(VLOOKUP($D49,Grouped_Sources!$C:$I,6,FALSE)))</f>
        <v/>
      </c>
      <c r="N49" s="18" t="str" cm="1">
        <f t="array" aca="1" ref="N49" ca="1">IF(ISNA(VLOOKUP($D49,Grouped_Sources!$C:$C,1,FALSE)),"", INDIRECT(VLOOKUP($D49,Grouped_Sources!$C:$I,7,FALSE)))</f>
        <v/>
      </c>
    </row>
    <row r="50" spans="1:14">
      <c r="A50" s="5">
        <v>3</v>
      </c>
      <c r="B50" s="5">
        <v>48</v>
      </c>
      <c r="C50" s="5" t="str">
        <f t="shared" ca="1" si="1"/>
        <v>proportion_motorcycle_trips</v>
      </c>
      <c r="D50" s="5" t="str">
        <f t="shared" ca="1" si="3"/>
        <v>proportion_motorcycle_trips_南美洲</v>
      </c>
      <c r="E50" s="4" t="str" cm="1">
        <f t="array" aca="1" ref="E50" ca="1">INDIRECT(ADDRESS(1,A50,1,1,"all_city_parameter_inputs"))</f>
        <v>南美洲</v>
      </c>
      <c r="F50" s="6" t="str" cm="1">
        <f t="array" aca="1" ref="F50" ca="1">IF(AND(ISBLANK(INDIRECT(ADDRESS(B50,2,1,1,"all_city_parameter_inputs"))), ISBLANK(INDIRECT(ADDRESS(B50,1,1,1,"all_city_parameter_inputs")))), "", IF(ISBLANK(INDIRECT(ADDRESS(B50,1,1,1,"all_city_parameter_inputs"))), All_city_list!F49,INDIRECT(ADDRESS(B50,1,1,1,"all_city_parameter_inputs"))))</f>
        <v>proportion_motorcycle_trips</v>
      </c>
      <c r="G50" s="4" t="str" cm="1">
        <f t="array" aca="1" ref="G50" ca="1">IF(AND(ISBLANK(INDIRECT(ADDRESS(B50,3,1,1,"all_city_parameter_inputs"))),ISBLANK(INDIRECT(ADDRESS(B50,2,1,1,"all_city_parameter_inputs")))),"",IF(ISBLANK(INDIRECT(ADDRESS(B50,2,1,1,"all_city_parameter_inputs"))),"",INDIRECT(ADDRESS(B50,2,1,1,"all_city_parameter_inputs"))))</f>
        <v>beta</v>
      </c>
      <c r="H50" s="14" t="str" cm="1">
        <f t="array" aca="1" ref="H50" ca="1">IF(ISBLANK(INDIRECT(ADDRESS(B50,A50,1,1,"all_city_parameter_inputs"))), "--",INDIRECT(ADDRESS(B50,A50,1,1,"all_city_parameter_inputs")))</f>
        <v>--</v>
      </c>
      <c r="I50" s="14" t="str">
        <f ca="1">IF(OR(G50="alpha",G50="beta",G50="sd",G50="mean"),"--",VLOOKUP(C50,Default!$B$5:$H$114,7,FALSE))</f>
        <v>--</v>
      </c>
      <c r="J50" s="4" t="str">
        <f ca="1">VLOOKUP(F50,Lookup!$C$5:$D$110,2, FALSE)</f>
        <v>Travel values</v>
      </c>
      <c r="K50" s="4" t="str">
        <f ca="1">VLOOKUP(C50,Default!$B$4:$E$114,4, FALSE)</f>
        <v>proportion of travel survey trips that should be added as motorcycle trips</v>
      </c>
      <c r="L50" s="34" t="s">
        <v>160</v>
      </c>
      <c r="M50" s="18"/>
      <c r="N50" s="18"/>
    </row>
    <row r="51" spans="1:14">
      <c r="A51" s="5">
        <v>3</v>
      </c>
      <c r="B51" s="5">
        <v>49</v>
      </c>
      <c r="C51" s="5" t="str">
        <f t="shared" ca="1" si="1"/>
        <v>add_motorcycle_fleet</v>
      </c>
      <c r="D51" s="5" t="str">
        <f t="shared" ca="1" si="3"/>
        <v>add_motorcycle_fleet_南美洲</v>
      </c>
      <c r="E51" s="4" t="str" cm="1">
        <f t="array" aca="1" ref="E51" ca="1">INDIRECT(ADDRESS(1,A51,1,1,"all_city_parameter_inputs"))</f>
        <v>南美洲</v>
      </c>
      <c r="F51" s="6" t="str" cm="1">
        <f t="array" aca="1" ref="F51" ca="1">IF(AND(ISBLANK(INDIRECT(ADDRESS(B51,2,1,1,"all_city_parameter_inputs"))), ISBLANK(INDIRECT(ADDRESS(B51,1,1,1,"all_city_parameter_inputs")))), "", IF(ISBLANK(INDIRECT(ADDRESS(B51,1,1,1,"all_city_parameter_inputs"))), All_city_list!F50,INDIRECT(ADDRESS(B51,1,1,1,"all_city_parameter_inputs"))))</f>
        <v>add_motorcycle_fleet</v>
      </c>
      <c r="G51" s="4" t="str" cm="1">
        <f t="array" aca="1" ref="G51" ca="1">IF(AND(ISBLANK(INDIRECT(ADDRESS(B51,3,1,1,"all_city_parameter_inputs"))),ISBLANK(INDIRECT(ADDRESS(B51,2,1,1,"all_city_parameter_inputs")))),"",IF(ISBLANK(INDIRECT(ADDRESS(B51,2,1,1,"all_city_parameter_inputs"))),"",INDIRECT(ADDRESS(B51,2,1,1,"all_city_parameter_inputs"))))</f>
        <v/>
      </c>
      <c r="H51" s="14" t="str" cm="1">
        <f t="array" aca="1" ref="H51" ca="1">IF(ISBLANK(INDIRECT(ADDRESS(B51,A51,1,1,"all_city_parameter_inputs"))), "--",INDIRECT(ADDRESS(B51,A51,1,1,"all_city_parameter_inputs")))</f>
        <v>T</v>
      </c>
      <c r="I51" s="14" t="str">
        <f ca="1">IF(OR(G51="alpha",G51="beta",G51="sd",G51="mean"),"--",VLOOKUP(C51,Default!$B$5:$H$114,7,FALSE))</f>
        <v>T</v>
      </c>
      <c r="J51" s="4" t="str">
        <f ca="1">VLOOKUP(F51,Lookup!$C$5:$D$110,2, FALSE)</f>
        <v>Travel values</v>
      </c>
      <c r="K51" s="4" t="str">
        <f ca="1">VLOOKUP(C51,Default!$B$4:$E$114,4, FALSE)</f>
        <v>whether to add motorcylce ghost trips</v>
      </c>
      <c r="L51" s="34" t="s">
        <v>161</v>
      </c>
      <c r="M51" s="18" t="s">
        <v>162</v>
      </c>
      <c r="N51" s="18"/>
    </row>
    <row r="52" spans="1:14">
      <c r="A52" s="5">
        <v>3</v>
      </c>
      <c r="B52" s="5">
        <v>50</v>
      </c>
      <c r="C52" s="5" t="str">
        <f t="shared" ca="1" si="1"/>
        <v>fleet_to_motorcycle_ratio</v>
      </c>
      <c r="D52" s="5" t="str">
        <f t="shared" ca="1" si="3"/>
        <v>fleet_to_motorcycle_ratio_南美洲</v>
      </c>
      <c r="E52" s="4" t="str" cm="1">
        <f t="array" aca="1" ref="E52" ca="1">INDIRECT(ADDRESS(1,A52,1,1,"all_city_parameter_inputs"))</f>
        <v>南美洲</v>
      </c>
      <c r="F52" s="6" t="str" cm="1">
        <f t="array" aca="1" ref="F52" ca="1">IF(AND(ISBLANK(INDIRECT(ADDRESS(B52,2,1,1,"all_city_parameter_inputs"))), ISBLANK(INDIRECT(ADDRESS(B52,1,1,1,"all_city_parameter_inputs")))), "", IF(ISBLANK(INDIRECT(ADDRESS(B52,1,1,1,"all_city_parameter_inputs"))), All_city_list!F51,INDIRECT(ADDRESS(B52,1,1,1,"all_city_parameter_inputs"))))</f>
        <v>fleet_to_motorcycle_ratio</v>
      </c>
      <c r="G52" s="4" t="str" cm="1">
        <f t="array" aca="1" ref="G52" ca="1">IF(AND(ISBLANK(INDIRECT(ADDRESS(B52,3,1,1,"all_city_parameter_inputs"))),ISBLANK(INDIRECT(ADDRESS(B52,2,1,1,"all_city_parameter_inputs")))),"",IF(ISBLANK(INDIRECT(ADDRESS(B52,2,1,1,"all_city_parameter_inputs"))),"",INDIRECT(ADDRESS(B52,2,1,1,"all_city_parameter_inputs"))))</f>
        <v>constant</v>
      </c>
      <c r="H52" s="14" cm="1">
        <f t="array" aca="1" ref="H52" ca="1">IF(ISBLANK(INDIRECT(ADDRESS(B52,A52,1,1,"all_city_parameter_inputs"))), "--",INDIRECT(ADDRESS(B52,A52,1,1,"all_city_parameter_inputs")))</f>
        <v>0.441176470588235</v>
      </c>
      <c r="I52" s="14">
        <f ca="1">IF(OR(G52="alpha",G52="beta",G52="sd",G52="mean"),"--",VLOOKUP(C52,Default!$B$5:$H$114,7,FALSE))</f>
        <v>0.441176470588235</v>
      </c>
      <c r="J52" s="4" t="str">
        <f ca="1">VLOOKUP(F52,Lookup!$C$5:$D$110,2, FALSE)</f>
        <v>Travel values</v>
      </c>
      <c r="K52" s="4" t="str">
        <f ca="1">VLOOKUP(C52,Default!$B$4:$E$114,4, FALSE)</f>
        <v xml:space="preserve">ratio of missing motorbike trips, e.g. if ratio = 0.6 and total trip distance in survey is 400, then want to add 600 km of motorbike trips. </v>
      </c>
      <c r="L52" s="18" t="str" cm="1">
        <f t="array" aca="1" ref="L52" ca="1">IF(ISNA(VLOOKUP($D52,Grouped_Sources!$C:$C,1,FALSE)),"", INDIRECT(VLOOKUP($D52,Grouped_Sources!$C:$I,5,FALSE)))</f>
        <v/>
      </c>
      <c r="M52" s="18" t="str" cm="1">
        <f t="array" aca="1" ref="M52" ca="1">IF(ISNA(VLOOKUP($D52,Grouped_Sources!$C:$C,1,FALSE)),"", INDIRECT(VLOOKUP($D52,Grouped_Sources!$C:$I,6,FALSE)))</f>
        <v/>
      </c>
      <c r="N52" s="18" t="str" cm="1">
        <f t="array" aca="1" ref="N52" ca="1">IF(ISNA(VLOOKUP($D52,Grouped_Sources!$C:$C,1,FALSE)),"", INDIRECT(VLOOKUP($D52,Grouped_Sources!$C:$I,7,FALSE)))</f>
        <v/>
      </c>
    </row>
    <row r="53" spans="1:14">
      <c r="A53" s="5">
        <v>3</v>
      </c>
      <c r="B53" s="5">
        <v>51</v>
      </c>
      <c r="C53" s="5" t="str">
        <f t="shared" ca="1" si="1"/>
        <v>fleet_to_motorcycle_ratio</v>
      </c>
      <c r="D53" s="5" t="str">
        <f t="shared" ca="1" si="3"/>
        <v>fleet_to_motorcycle_ratio_南美洲</v>
      </c>
      <c r="E53" s="4" t="str" cm="1">
        <f t="array" aca="1" ref="E53" ca="1">INDIRECT(ADDRESS(1,A53,1,1,"all_city_parameter_inputs"))</f>
        <v>南美洲</v>
      </c>
      <c r="F53" s="6" t="str" cm="1">
        <f t="array" aca="1" ref="F53" ca="1">IF(AND(ISBLANK(INDIRECT(ADDRESS(B53,2,1,1,"all_city_parameter_inputs"))), ISBLANK(INDIRECT(ADDRESS(B53,1,1,1,"all_city_parameter_inputs")))), "", IF(ISBLANK(INDIRECT(ADDRESS(B53,1,1,1,"all_city_parameter_inputs"))), All_city_list!F52,INDIRECT(ADDRESS(B53,1,1,1,"all_city_parameter_inputs"))))</f>
        <v>fleet_to_motorcycle_ratio</v>
      </c>
      <c r="G53" s="4" t="str" cm="1">
        <f t="array" aca="1" ref="G53" ca="1">IF(AND(ISBLANK(INDIRECT(ADDRESS(B53,3,1,1,"all_city_parameter_inputs"))),ISBLANK(INDIRECT(ADDRESS(B53,2,1,1,"all_city_parameter_inputs")))),"",IF(ISBLANK(INDIRECT(ADDRESS(B53,2,1,1,"all_city_parameter_inputs"))),"",INDIRECT(ADDRESS(B53,2,1,1,"all_city_parameter_inputs"))))</f>
        <v>alpha</v>
      </c>
      <c r="H53" s="14" t="str" cm="1">
        <f t="array" aca="1" ref="H53" ca="1">IF(ISBLANK(INDIRECT(ADDRESS(B53,A53,1,1,"all_city_parameter_inputs"))), "--",INDIRECT(ADDRESS(B53,A53,1,1,"all_city_parameter_inputs")))</f>
        <v>--</v>
      </c>
      <c r="I53" s="14" t="str">
        <f ca="1">IF(OR(G53="alpha",G53="beta",G53="sd",G53="mean"),"--",VLOOKUP(C53,Default!$B$5:$H$114,7,FALSE))</f>
        <v>--</v>
      </c>
      <c r="J53" s="4" t="str">
        <f ca="1">VLOOKUP(F53,Lookup!$C$5:$D$110,2, FALSE)</f>
        <v>Travel values</v>
      </c>
      <c r="K53" s="4" t="str">
        <f ca="1">VLOOKUP(C53,Default!$B$4:$E$114,4, FALSE)</f>
        <v xml:space="preserve">ratio of missing motorbike trips, e.g. if ratio = 0.6 and total trip distance in survey is 400, then want to add 600 km of motorbike trips. </v>
      </c>
      <c r="L53" s="18" t="str" cm="1">
        <f t="array" aca="1" ref="L53" ca="1">IF(ISNA(VLOOKUP($D53,Grouped_Sources!$C:$C,1,FALSE)),"", INDIRECT(VLOOKUP($D53,Grouped_Sources!$C:$I,5,FALSE)))</f>
        <v/>
      </c>
      <c r="M53" s="18" t="str" cm="1">
        <f t="array" aca="1" ref="M53" ca="1">IF(ISNA(VLOOKUP($D53,Grouped_Sources!$C:$C,1,FALSE)),"", INDIRECT(VLOOKUP($D53,Grouped_Sources!$C:$I,6,FALSE)))</f>
        <v/>
      </c>
      <c r="N53" s="18" t="str" cm="1">
        <f t="array" aca="1" ref="N53" ca="1">IF(ISNA(VLOOKUP($D53,Grouped_Sources!$C:$C,1,FALSE)),"", INDIRECT(VLOOKUP($D53,Grouped_Sources!$C:$I,7,FALSE)))</f>
        <v/>
      </c>
    </row>
    <row r="54" spans="1:14">
      <c r="A54" s="5">
        <v>3</v>
      </c>
      <c r="B54" s="5">
        <v>52</v>
      </c>
      <c r="C54" s="5" t="str">
        <f t="shared" ca="1" si="1"/>
        <v>fleet_to_motorcycle_ratio</v>
      </c>
      <c r="D54" s="5" t="str">
        <f t="shared" ca="1" si="3"/>
        <v>fleet_to_motorcycle_ratio_南美洲</v>
      </c>
      <c r="E54" s="4" t="str" cm="1">
        <f t="array" aca="1" ref="E54" ca="1">INDIRECT(ADDRESS(1,A54,1,1,"all_city_parameter_inputs"))</f>
        <v>南美洲</v>
      </c>
      <c r="F54" s="6" t="str" cm="1">
        <f t="array" aca="1" ref="F54" ca="1">IF(AND(ISBLANK(INDIRECT(ADDRESS(B54,2,1,1,"all_city_parameter_inputs"))), ISBLANK(INDIRECT(ADDRESS(B54,1,1,1,"all_city_parameter_inputs")))), "", IF(ISBLANK(INDIRECT(ADDRESS(B54,1,1,1,"all_city_parameter_inputs"))), All_city_list!F53,INDIRECT(ADDRESS(B54,1,1,1,"all_city_parameter_inputs"))))</f>
        <v>fleet_to_motorcycle_ratio</v>
      </c>
      <c r="G54" s="4" t="str" cm="1">
        <f t="array" aca="1" ref="G54" ca="1">IF(AND(ISBLANK(INDIRECT(ADDRESS(B54,3,1,1,"all_city_parameter_inputs"))),ISBLANK(INDIRECT(ADDRESS(B54,2,1,1,"all_city_parameter_inputs")))),"",IF(ISBLANK(INDIRECT(ADDRESS(B54,2,1,1,"all_city_parameter_inputs"))),"",INDIRECT(ADDRESS(B54,2,1,1,"all_city_parameter_inputs"))))</f>
        <v>beta</v>
      </c>
      <c r="H54" s="14" t="str" cm="1">
        <f t="array" aca="1" ref="H54" ca="1">IF(ISBLANK(INDIRECT(ADDRESS(B54,A54,1,1,"all_city_parameter_inputs"))), "--",INDIRECT(ADDRESS(B54,A54,1,1,"all_city_parameter_inputs")))</f>
        <v>--</v>
      </c>
      <c r="I54" s="14" t="str">
        <f ca="1">IF(OR(G54="alpha",G54="beta",G54="sd",G54="mean"),"--",VLOOKUP(C54,Default!$B$5:$H$114,7,FALSE))</f>
        <v>--</v>
      </c>
      <c r="J54" s="4" t="str">
        <f ca="1">VLOOKUP(F54,Lookup!$C$5:$D$110,2, FALSE)</f>
        <v>Travel values</v>
      </c>
      <c r="K54" s="4" t="str">
        <f ca="1">VLOOKUP(C54,Default!$B$4:$E$114,4, FALSE)</f>
        <v xml:space="preserve">ratio of missing motorbike trips, e.g. if ratio = 0.6 and total trip distance in survey is 400, then want to add 600 km of motorbike trips. </v>
      </c>
      <c r="L54" s="34" t="s">
        <v>163</v>
      </c>
      <c r="M54" s="18"/>
      <c r="N54" s="18"/>
    </row>
    <row r="55" spans="1:14">
      <c r="A55" s="5">
        <v>3</v>
      </c>
      <c r="B55" s="5">
        <v>53</v>
      </c>
      <c r="C55" s="5" t="str">
        <f t="shared" ca="1" si="1"/>
        <v>background_pa_confidence</v>
      </c>
      <c r="D55" s="5" t="str">
        <f t="shared" ca="1" si="3"/>
        <v>background_pa_confidence_南美洲</v>
      </c>
      <c r="E55" s="4" t="str" cm="1">
        <f t="array" aca="1" ref="E55" ca="1">INDIRECT(ADDRESS(1,A55,1,1,"all_city_parameter_inputs"))</f>
        <v>南美洲</v>
      </c>
      <c r="F55" s="6" t="str" cm="1">
        <f t="array" aca="1" ref="F55" ca="1">IF(AND(ISBLANK(INDIRECT(ADDRESS(B55,2,1,1,"all_city_parameter_inputs"))), ISBLANK(INDIRECT(ADDRESS(B55,1,1,1,"all_city_parameter_inputs")))), "", IF(ISBLANK(INDIRECT(ADDRESS(B55,1,1,1,"all_city_parameter_inputs"))), All_city_list!F54,INDIRECT(ADDRESS(B55,1,1,1,"all_city_parameter_inputs"))))</f>
        <v>background_pa_confidence</v>
      </c>
      <c r="G55" s="4" t="str" cm="1">
        <f t="array" aca="1" ref="G55" ca="1">IF(AND(ISBLANK(INDIRECT(ADDRESS(B55,3,1,1,"all_city_parameter_inputs"))),ISBLANK(INDIRECT(ADDRESS(B55,2,1,1,"all_city_parameter_inputs")))),"",IF(ISBLANK(INDIRECT(ADDRESS(B55,2,1,1,"all_city_parameter_inputs"))),"",INDIRECT(ADDRESS(B55,2,1,1,"all_city_parameter_inputs"))))</f>
        <v>sample</v>
      </c>
      <c r="H55" s="14" t="str" cm="1">
        <f t="array" aca="1" ref="H55" ca="1">IF(ISBLANK(INDIRECT(ADDRESS(B55,A55,1,1,"all_city_parameter_inputs"))), "--",INDIRECT(ADDRESS(B55,A55,1,1,"all_city_parameter_inputs")))</f>
        <v>--</v>
      </c>
      <c r="I55" s="14">
        <f ca="1">IF(OR(G55="alpha",G55="beta",G55="sd",G55="mean"),"--",VLOOKUP(C55,Default!$B$5:$H$114,7,FALSE))</f>
        <v>1</v>
      </c>
      <c r="J55" s="4" t="str">
        <f ca="1">VLOOKUP(F55,Lookup!$C$5:$D$110,2, FALSE)</f>
        <v>PA values</v>
      </c>
      <c r="K55" s="4" t="str">
        <f ca="1">VLOOKUP(C55,Default!$B$4:$E$114,4, FALSE)</f>
        <v>how confident we are in the PA survey (in terms of number of people who report zero PA)</v>
      </c>
      <c r="L55" s="34" t="s">
        <v>164</v>
      </c>
      <c r="M55" s="18"/>
      <c r="N55" s="18"/>
    </row>
    <row r="56" spans="1:14">
      <c r="A56" s="5">
        <v>3</v>
      </c>
      <c r="B56" s="5">
        <v>54</v>
      </c>
      <c r="C56" s="5" t="str">
        <f t="shared" ca="1" si="1"/>
        <v>add_walk_to_pt_trips</v>
      </c>
      <c r="D56" s="5" t="str">
        <f t="shared" ca="1" si="3"/>
        <v>add_walk_to_pt_trips_南美洲</v>
      </c>
      <c r="E56" s="4" t="str" cm="1">
        <f t="array" aca="1" ref="E56" ca="1">INDIRECT(ADDRESS(1,A56,1,1,"all_city_parameter_inputs"))</f>
        <v>南美洲</v>
      </c>
      <c r="F56" s="6" t="str" cm="1">
        <f t="array" aca="1" ref="F56" ca="1">IF(AND(ISBLANK(INDIRECT(ADDRESS(B56,2,1,1,"all_city_parameter_inputs"))), ISBLANK(INDIRECT(ADDRESS(B56,1,1,1,"all_city_parameter_inputs")))), "", IF(ISBLANK(INDIRECT(ADDRESS(B56,1,1,1,"all_city_parameter_inputs"))), All_city_list!F55,INDIRECT(ADDRESS(B56,1,1,1,"all_city_parameter_inputs"))))</f>
        <v>add_walk_to_pt_trips</v>
      </c>
      <c r="G56" s="4" t="str" cm="1">
        <f t="array" aca="1" ref="G56" ca="1">IF(AND(ISBLANK(INDIRECT(ADDRESS(B56,3,1,1,"all_city_parameter_inputs"))),ISBLANK(INDIRECT(ADDRESS(B56,2,1,1,"all_city_parameter_inputs")))),"",IF(ISBLANK(INDIRECT(ADDRESS(B56,2,1,1,"all_city_parameter_inputs"))),"",INDIRECT(ADDRESS(B56,2,1,1,"all_city_parameter_inputs"))))</f>
        <v/>
      </c>
      <c r="H56" s="14" t="str" cm="1">
        <f t="array" aca="1" ref="H56" ca="1">IF(ISBLANK(INDIRECT(ADDRESS(B56,A56,1,1,"all_city_parameter_inputs"))), "--",INDIRECT(ADDRESS(B56,A56,1,1,"all_city_parameter_inputs")))</f>
        <v>T</v>
      </c>
      <c r="I56" s="14" t="str">
        <f ca="1">IF(OR(G56="alpha",G56="beta",G56="sd",G56="mean"),"--",VLOOKUP(C56,Default!$B$5:$H$114,7,FALSE))</f>
        <v>T</v>
      </c>
      <c r="J56" s="4" t="str">
        <f ca="1">VLOOKUP(F56,Lookup!$C$5:$D$110,2, FALSE)</f>
        <v>Travel values</v>
      </c>
      <c r="K56" s="4" t="str">
        <f ca="1">VLOOKUP(C56,Default!$B$4:$E$114,4, FALSE)</f>
        <v>whether to add walk component to trips with main mode bus</v>
      </c>
      <c r="L56" s="34" t="s">
        <v>165</v>
      </c>
      <c r="M56" s="18" t="s">
        <v>166</v>
      </c>
      <c r="N56" s="18"/>
    </row>
    <row r="57" spans="1:14">
      <c r="A57" s="5">
        <v>3</v>
      </c>
      <c r="B57" s="5">
        <v>55</v>
      </c>
      <c r="C57" s="5" t="str">
        <f t="shared" ca="1" si="1"/>
        <v>bus_to_passenger_ratio</v>
      </c>
      <c r="D57" s="5" t="str">
        <f t="shared" ca="1" si="3"/>
        <v>bus_to_passenger_ratio_南美洲</v>
      </c>
      <c r="E57" s="4" t="str" cm="1">
        <f t="array" aca="1" ref="E57" ca="1">INDIRECT(ADDRESS(1,A57,1,1,"all_city_parameter_inputs"))</f>
        <v>南美洲</v>
      </c>
      <c r="F57" s="6" t="str" cm="1">
        <f t="array" aca="1" ref="F57" ca="1">IF(AND(ISBLANK(INDIRECT(ADDRESS(B57,2,1,1,"all_city_parameter_inputs"))), ISBLANK(INDIRECT(ADDRESS(B57,1,1,1,"all_city_parameter_inputs")))), "", IF(ISBLANK(INDIRECT(ADDRESS(B57,1,1,1,"all_city_parameter_inputs"))), All_city_list!F56,INDIRECT(ADDRESS(B57,1,1,1,"all_city_parameter_inputs"))))</f>
        <v>bus_to_passenger_ratio</v>
      </c>
      <c r="G57" s="4" t="str" cm="1">
        <f t="array" aca="1" ref="G57" ca="1">IF(AND(ISBLANK(INDIRECT(ADDRESS(B57,3,1,1,"all_city_parameter_inputs"))),ISBLANK(INDIRECT(ADDRESS(B57,2,1,1,"all_city_parameter_inputs")))),"",IF(ISBLANK(INDIRECT(ADDRESS(B57,2,1,1,"all_city_parameter_inputs"))),"",INDIRECT(ADDRESS(B57,2,1,1,"all_city_parameter_inputs"))))</f>
        <v>constant</v>
      </c>
      <c r="H57" s="14" cm="1">
        <f t="array" aca="1" ref="H57" ca="1">IF(ISBLANK(INDIRECT(ADDRESS(B57,A57,1,1,"all_city_parameter_inputs"))), "--",INDIRECT(ADDRESS(B57,A57,1,1,"all_city_parameter_inputs")))</f>
        <v>3.8910505836575897E-2</v>
      </c>
      <c r="I57" s="14">
        <f ca="1">IF(OR(G57="alpha",G57="beta",G57="sd",G57="mean"),"--",VLOOKUP(C57,Default!$B$5:$H$114,7,FALSE))</f>
        <v>3.8910505836575897E-2</v>
      </c>
      <c r="J57" s="4" t="str">
        <f ca="1">VLOOKUP(F57,Lookup!$C$5:$D$110,2, FALSE)</f>
        <v>Travel values</v>
      </c>
      <c r="K57" s="4" t="str">
        <f ca="1">VLOOKUP(C57,Default!$B$4:$E$114,4, FALSE)</f>
        <v>number of buses per passenger</v>
      </c>
      <c r="L57" s="18" t="str" cm="1">
        <f t="array" aca="1" ref="L57" ca="1">IF(ISNA(VLOOKUP($D57,Grouped_Sources!$C:$C,1,FALSE)),"", INDIRECT(VLOOKUP($D57,Grouped_Sources!$C:$I,5,FALSE)))</f>
        <v/>
      </c>
      <c r="M57" s="18" t="str" cm="1">
        <f t="array" aca="1" ref="M57" ca="1">IF(ISNA(VLOOKUP($D57,Grouped_Sources!$C:$C,1,FALSE)),"", INDIRECT(VLOOKUP($D57,Grouped_Sources!$C:$I,6,FALSE)))</f>
        <v/>
      </c>
      <c r="N57" s="18" t="str" cm="1">
        <f t="array" aca="1" ref="N57" ca="1">IF(ISNA(VLOOKUP($D57,Grouped_Sources!$C:$C,1,FALSE)),"", INDIRECT(VLOOKUP($D57,Grouped_Sources!$C:$I,7,FALSE)))</f>
        <v/>
      </c>
    </row>
    <row r="58" spans="1:14">
      <c r="A58" s="5">
        <v>3</v>
      </c>
      <c r="B58" s="5">
        <v>56</v>
      </c>
      <c r="C58" s="5" t="str">
        <f t="shared" ca="1" si="1"/>
        <v>bus_to_passenger_ratio</v>
      </c>
      <c r="D58" s="5" t="str">
        <f t="shared" ca="1" si="3"/>
        <v>bus_to_passenger_ratio_南美洲</v>
      </c>
      <c r="E58" s="4" t="str" cm="1">
        <f t="array" aca="1" ref="E58" ca="1">INDIRECT(ADDRESS(1,A58,1,1,"all_city_parameter_inputs"))</f>
        <v>南美洲</v>
      </c>
      <c r="F58" s="6" t="str" cm="1">
        <f t="array" aca="1" ref="F58" ca="1">IF(AND(ISBLANK(INDIRECT(ADDRESS(B58,2,1,1,"all_city_parameter_inputs"))), ISBLANK(INDIRECT(ADDRESS(B58,1,1,1,"all_city_parameter_inputs")))), "", IF(ISBLANK(INDIRECT(ADDRESS(B58,1,1,1,"all_city_parameter_inputs"))), All_city_list!F57,INDIRECT(ADDRESS(B58,1,1,1,"all_city_parameter_inputs"))))</f>
        <v>bus_to_passenger_ratio</v>
      </c>
      <c r="G58" s="4" t="str" cm="1">
        <f t="array" aca="1" ref="G58" ca="1">IF(AND(ISBLANK(INDIRECT(ADDRESS(B58,3,1,1,"all_city_parameter_inputs"))),ISBLANK(INDIRECT(ADDRESS(B58,2,1,1,"all_city_parameter_inputs")))),"",IF(ISBLANK(INDIRECT(ADDRESS(B58,2,1,1,"all_city_parameter_inputs"))),"",INDIRECT(ADDRESS(B58,2,1,1,"all_city_parameter_inputs"))))</f>
        <v>alpha</v>
      </c>
      <c r="H58" s="14" t="str" cm="1">
        <f t="array" aca="1" ref="H58" ca="1">IF(ISBLANK(INDIRECT(ADDRESS(B58,A58,1,1,"all_city_parameter_inputs"))), "--",INDIRECT(ADDRESS(B58,A58,1,1,"all_city_parameter_inputs")))</f>
        <v>--</v>
      </c>
      <c r="I58" s="14" t="str">
        <f ca="1">IF(OR(G58="alpha",G58="beta",G58="sd",G58="mean"),"--",VLOOKUP(C58,Default!$B$5:$H$114,7,FALSE))</f>
        <v>--</v>
      </c>
      <c r="J58" s="4" t="str">
        <f ca="1">VLOOKUP(F58,Lookup!$C$5:$D$110,2, FALSE)</f>
        <v>Travel values</v>
      </c>
      <c r="K58" s="4" t="str">
        <f ca="1">VLOOKUP(C58,Default!$B$4:$E$114,4, FALSE)</f>
        <v>number of buses per passenger</v>
      </c>
      <c r="L58" s="18" t="str" cm="1">
        <f t="array" aca="1" ref="L58" ca="1">IF(ISNA(VLOOKUP($D58,Grouped_Sources!$C:$C,1,FALSE)),"", INDIRECT(VLOOKUP($D58,Grouped_Sources!$C:$I,5,FALSE)))</f>
        <v/>
      </c>
      <c r="M58" s="18" t="str" cm="1">
        <f t="array" aca="1" ref="M58" ca="1">IF(ISNA(VLOOKUP($D58,Grouped_Sources!$C:$C,1,FALSE)),"", INDIRECT(VLOOKUP($D58,Grouped_Sources!$C:$I,6,FALSE)))</f>
        <v/>
      </c>
      <c r="N58" s="18" t="str" cm="1">
        <f t="array" aca="1" ref="N58" ca="1">IF(ISNA(VLOOKUP($D58,Grouped_Sources!$C:$C,1,FALSE)),"", INDIRECT(VLOOKUP($D58,Grouped_Sources!$C:$I,7,FALSE)))</f>
        <v/>
      </c>
    </row>
    <row r="59" spans="1:14">
      <c r="A59" s="5">
        <v>3</v>
      </c>
      <c r="B59" s="5">
        <v>57</v>
      </c>
      <c r="C59" s="5" t="str">
        <f t="shared" ca="1" si="1"/>
        <v>bus_to_passenger_ratio</v>
      </c>
      <c r="D59" s="5" t="str">
        <f t="shared" ca="1" si="3"/>
        <v>bus_to_passenger_ratio_南美洲</v>
      </c>
      <c r="E59" s="4" t="str" cm="1">
        <f t="array" aca="1" ref="E59" ca="1">INDIRECT(ADDRESS(1,A59,1,1,"all_city_parameter_inputs"))</f>
        <v>南美洲</v>
      </c>
      <c r="F59" s="6" t="str" cm="1">
        <f t="array" aca="1" ref="F59" ca="1">IF(AND(ISBLANK(INDIRECT(ADDRESS(B59,2,1,1,"all_city_parameter_inputs"))), ISBLANK(INDIRECT(ADDRESS(B59,1,1,1,"all_city_parameter_inputs")))), "", IF(ISBLANK(INDIRECT(ADDRESS(B59,1,1,1,"all_city_parameter_inputs"))), All_city_list!F58,INDIRECT(ADDRESS(B59,1,1,1,"all_city_parameter_inputs"))))</f>
        <v>bus_to_passenger_ratio</v>
      </c>
      <c r="G59" s="4" t="str" cm="1">
        <f t="array" aca="1" ref="G59" ca="1">IF(AND(ISBLANK(INDIRECT(ADDRESS(B59,3,1,1,"all_city_parameter_inputs"))),ISBLANK(INDIRECT(ADDRESS(B59,2,1,1,"all_city_parameter_inputs")))),"",IF(ISBLANK(INDIRECT(ADDRESS(B59,2,1,1,"all_city_parameter_inputs"))),"",INDIRECT(ADDRESS(B59,2,1,1,"all_city_parameter_inputs"))))</f>
        <v>beta</v>
      </c>
      <c r="H59" s="14" t="str" cm="1">
        <f t="array" aca="1" ref="H59" ca="1">IF(ISBLANK(INDIRECT(ADDRESS(B59,A59,1,1,"all_city_parameter_inputs"))), "--",INDIRECT(ADDRESS(B59,A59,1,1,"all_city_parameter_inputs")))</f>
        <v>--</v>
      </c>
      <c r="I59" s="14" t="str">
        <f ca="1">IF(OR(G59="alpha",G59="beta",G59="sd",G59="mean"),"--",VLOOKUP(C59,Default!$B$5:$H$114,7,FALSE))</f>
        <v>--</v>
      </c>
      <c r="J59" s="4" t="str">
        <f ca="1">VLOOKUP(F59,Lookup!$C$5:$D$110,2, FALSE)</f>
        <v>Travel values</v>
      </c>
      <c r="K59" s="4" t="str">
        <f ca="1">VLOOKUP(C59,Default!$B$4:$E$114,4, FALSE)</f>
        <v>number of buses per passenger</v>
      </c>
      <c r="L59" s="34" t="s">
        <v>167</v>
      </c>
      <c r="M59" s="18" t="s">
        <v>168</v>
      </c>
      <c r="N59" s="18"/>
    </row>
    <row r="60" spans="1:14">
      <c r="A60" s="5">
        <v>3</v>
      </c>
      <c r="B60" s="5">
        <v>58</v>
      </c>
      <c r="C60" s="5" t="str">
        <f t="shared" ca="1" si="1"/>
        <v>truck_to_car_ratio</v>
      </c>
      <c r="D60" s="5" t="str">
        <f t="shared" ca="1" si="3"/>
        <v>truck_to_car_ratio_南美洲</v>
      </c>
      <c r="E60" s="4" t="str" cm="1">
        <f t="array" aca="1" ref="E60" ca="1">INDIRECT(ADDRESS(1,A60,1,1,"all_city_parameter_inputs"))</f>
        <v>南美洲</v>
      </c>
      <c r="F60" s="6" t="str" cm="1">
        <f t="array" aca="1" ref="F60" ca="1">IF(AND(ISBLANK(INDIRECT(ADDRESS(B60,2,1,1,"all_city_parameter_inputs"))), ISBLANK(INDIRECT(ADDRESS(B60,1,1,1,"all_city_parameter_inputs")))), "", IF(ISBLANK(INDIRECT(ADDRESS(B60,1,1,1,"all_city_parameter_inputs"))), All_city_list!F59,INDIRECT(ADDRESS(B60,1,1,1,"all_city_parameter_inputs"))))</f>
        <v>truck_to_car_ratio</v>
      </c>
      <c r="G60" s="4" t="str" cm="1">
        <f t="array" aca="1" ref="G60" ca="1">IF(AND(ISBLANK(INDIRECT(ADDRESS(B60,3,1,1,"all_city_parameter_inputs"))),ISBLANK(INDIRECT(ADDRESS(B60,2,1,1,"all_city_parameter_inputs")))),"",IF(ISBLANK(INDIRECT(ADDRESS(B60,2,1,1,"all_city_parameter_inputs"))),"",INDIRECT(ADDRESS(B60,2,1,1,"all_city_parameter_inputs"))))</f>
        <v>constant</v>
      </c>
      <c r="H60" s="14" cm="1">
        <f t="array" aca="1" ref="H60" ca="1">IF(ISBLANK(INDIRECT(ADDRESS(B60,A60,1,1,"all_city_parameter_inputs"))), "--",INDIRECT(ADDRESS(B60,A60,1,1,"all_city_parameter_inputs")))</f>
        <v>0.3</v>
      </c>
      <c r="I60" s="14">
        <f ca="1">IF(OR(G60="alpha",G60="beta",G60="sd",G60="mean"),"--",VLOOKUP(C60,Default!$B$5:$H$114,7,FALSE))</f>
        <v>0.3</v>
      </c>
      <c r="J60" s="4" t="str">
        <f ca="1">VLOOKUP(F60,Lookup!$C$5:$D$110,2, FALSE)</f>
        <v>Travel values</v>
      </c>
      <c r="K60" s="4" t="str">
        <f ca="1">VLOOKUP(C60,Default!$B$4:$E$114,4, FALSE)</f>
        <v>ratio of truck kilometers to car km travelled, used to add ghost trips that are not changed between the different scenarios</v>
      </c>
      <c r="L60" s="18" t="str" cm="1">
        <f t="array" aca="1" ref="L60" ca="1">IF(ISNA(VLOOKUP($D60,Grouped_Sources!$C:$C,1,FALSE)),"", INDIRECT(VLOOKUP($D60,Grouped_Sources!$C:$I,5,FALSE)))</f>
        <v/>
      </c>
      <c r="M60" s="18" t="str" cm="1">
        <f t="array" aca="1" ref="M60" ca="1">IF(ISNA(VLOOKUP($D60,Grouped_Sources!$C:$C,1,FALSE)),"", INDIRECT(VLOOKUP($D60,Grouped_Sources!$C:$I,6,FALSE)))</f>
        <v/>
      </c>
      <c r="N60" s="18" t="str" cm="1">
        <f t="array" aca="1" ref="N60" ca="1">IF(ISNA(VLOOKUP($D60,Grouped_Sources!$C:$C,1,FALSE)),"", INDIRECT(VLOOKUP($D60,Grouped_Sources!$C:$I,7,FALSE)))</f>
        <v/>
      </c>
    </row>
    <row r="61" spans="1:14">
      <c r="A61" s="5">
        <v>3</v>
      </c>
      <c r="B61" s="5">
        <v>59</v>
      </c>
      <c r="C61" s="5" t="str">
        <f t="shared" ca="1" si="1"/>
        <v>truck_to_car_ratio</v>
      </c>
      <c r="D61" s="5" t="str">
        <f t="shared" ca="1" si="3"/>
        <v>truck_to_car_ratio_南美洲</v>
      </c>
      <c r="E61" s="4" t="str" cm="1">
        <f t="array" aca="1" ref="E61" ca="1">INDIRECT(ADDRESS(1,A61,1,1,"all_city_parameter_inputs"))</f>
        <v>南美洲</v>
      </c>
      <c r="F61" s="6" t="str" cm="1">
        <f t="array" aca="1" ref="F61" ca="1">IF(AND(ISBLANK(INDIRECT(ADDRESS(B61,2,1,1,"all_city_parameter_inputs"))), ISBLANK(INDIRECT(ADDRESS(B61,1,1,1,"all_city_parameter_inputs")))), "", IF(ISBLANK(INDIRECT(ADDRESS(B61,1,1,1,"all_city_parameter_inputs"))), All_city_list!F60,INDIRECT(ADDRESS(B61,1,1,1,"all_city_parameter_inputs"))))</f>
        <v>truck_to_car_ratio</v>
      </c>
      <c r="G61" s="4" t="str" cm="1">
        <f t="array" aca="1" ref="G61" ca="1">IF(AND(ISBLANK(INDIRECT(ADDRESS(B61,3,1,1,"all_city_parameter_inputs"))),ISBLANK(INDIRECT(ADDRESS(B61,2,1,1,"all_city_parameter_inputs")))),"",IF(ISBLANK(INDIRECT(ADDRESS(B61,2,1,1,"all_city_parameter_inputs"))),"",INDIRECT(ADDRESS(B61,2,1,1,"all_city_parameter_inputs"))))</f>
        <v>alpha</v>
      </c>
      <c r="H61" s="14" t="str" cm="1">
        <f t="array" aca="1" ref="H61" ca="1">IF(ISBLANK(INDIRECT(ADDRESS(B61,A61,1,1,"all_city_parameter_inputs"))), "--",INDIRECT(ADDRESS(B61,A61,1,1,"all_city_parameter_inputs")))</f>
        <v>--</v>
      </c>
      <c r="I61" s="14" t="str">
        <f ca="1">IF(OR(G61="alpha",G61="beta",G61="sd",G61="mean"),"--",VLOOKUP(C61,Default!$B$5:$H$114,7,FALSE))</f>
        <v>--</v>
      </c>
      <c r="J61" s="4" t="str">
        <f ca="1">VLOOKUP(F61,Lookup!$C$5:$D$110,2, FALSE)</f>
        <v>Travel values</v>
      </c>
      <c r="K61" s="4" t="str">
        <f ca="1">VLOOKUP(C61,Default!$B$4:$E$114,4, FALSE)</f>
        <v>ratio of truck kilometers to car km travelled, used to add ghost trips that are not changed between the different scenarios</v>
      </c>
      <c r="L61" s="18" t="str" cm="1">
        <f t="array" aca="1" ref="L61" ca="1">IF(ISNA(VLOOKUP(D61,Grouped_Sources!$C:$C,1,FALSE)),"", INDIRECT(VLOOKUP(D61,Grouped_Sources!$C:$G,5,FALSE)))</f>
        <v/>
      </c>
      <c r="M61" s="18"/>
      <c r="N61" s="18"/>
    </row>
    <row r="62" spans="1:14">
      <c r="A62" s="5">
        <v>3</v>
      </c>
      <c r="B62" s="5">
        <v>60</v>
      </c>
      <c r="C62" s="5" t="str">
        <f t="shared" ca="1" si="1"/>
        <v>truck_to_car_ratio</v>
      </c>
      <c r="D62" s="5" t="str">
        <f t="shared" ca="1" si="3"/>
        <v>truck_to_car_ratio_南美洲</v>
      </c>
      <c r="E62" s="4" t="str" cm="1">
        <f t="array" aca="1" ref="E62" ca="1">INDIRECT(ADDRESS(1,A62,1,1,"all_city_parameter_inputs"))</f>
        <v>南美洲</v>
      </c>
      <c r="F62" s="6" t="str" cm="1">
        <f t="array" aca="1" ref="F62" ca="1">IF(AND(ISBLANK(INDIRECT(ADDRESS(B62,2,1,1,"all_city_parameter_inputs"))), ISBLANK(INDIRECT(ADDRESS(B62,1,1,1,"all_city_parameter_inputs")))), "", IF(ISBLANK(INDIRECT(ADDRESS(B62,1,1,1,"all_city_parameter_inputs"))), All_city_list!F61,INDIRECT(ADDRESS(B62,1,1,1,"all_city_parameter_inputs"))))</f>
        <v>truck_to_car_ratio</v>
      </c>
      <c r="G62" s="4" t="str" cm="1">
        <f t="array" aca="1" ref="G62" ca="1">IF(AND(ISBLANK(INDIRECT(ADDRESS(B62,3,1,1,"all_city_parameter_inputs"))),ISBLANK(INDIRECT(ADDRESS(B62,2,1,1,"all_city_parameter_inputs")))),"",IF(ISBLANK(INDIRECT(ADDRESS(B62,2,1,1,"all_city_parameter_inputs"))),"",INDIRECT(ADDRESS(B62,2,1,1,"all_city_parameter_inputs"))))</f>
        <v>beta</v>
      </c>
      <c r="H62" s="14" t="str" cm="1">
        <f t="array" aca="1" ref="H62" ca="1">IF(ISBLANK(INDIRECT(ADDRESS(B62,A62,1,1,"all_city_parameter_inputs"))), "--",INDIRECT(ADDRESS(B62,A62,1,1,"all_city_parameter_inputs")))</f>
        <v>--</v>
      </c>
      <c r="I62" s="14" t="str">
        <f ca="1">IF(OR(G62="alpha",G62="beta",G62="sd",G62="mean"),"--",VLOOKUP(C62,Default!$B$5:$H$114,7,FALSE))</f>
        <v>--</v>
      </c>
      <c r="J62" s="4" t="str">
        <f ca="1">VLOOKUP(F62,Lookup!$C$5:$D$110,2, FALSE)</f>
        <v>Travel values</v>
      </c>
      <c r="K62" s="4" t="str">
        <f ca="1">VLOOKUP(C62,Default!$B$4:$E$114,4, FALSE)</f>
        <v>ratio of truck kilometers to car km travelled, used to add ghost trips that are not changed between the different scenarios</v>
      </c>
      <c r="L62" s="34" t="s">
        <v>163</v>
      </c>
      <c r="M62" s="18"/>
      <c r="N62" s="18"/>
    </row>
    <row r="63" spans="1:14">
      <c r="A63" s="5">
        <v>3</v>
      </c>
      <c r="B63" s="5">
        <v>61</v>
      </c>
      <c r="C63" s="5" t="str">
        <f t="shared" ca="1" si="1"/>
        <v>PM_emission_confidence</v>
      </c>
      <c r="D63" s="5" t="str">
        <f t="shared" ca="1" si="3"/>
        <v>PM_emission_confidence_南美洲</v>
      </c>
      <c r="E63" s="4" t="str" cm="1">
        <f t="array" aca="1" ref="E63" ca="1">INDIRECT(ADDRESS(1,A63,1,1,"all_city_parameter_inputs"))</f>
        <v>南美洲</v>
      </c>
      <c r="F63" s="6" t="str" cm="1">
        <f t="array" aca="1" ref="F63" ca="1">IF(AND(ISBLANK(INDIRECT(ADDRESS(B63,2,1,1,"all_city_parameter_inputs"))), ISBLANK(INDIRECT(ADDRESS(B63,1,1,1,"all_city_parameter_inputs")))), "", IF(ISBLANK(INDIRECT(ADDRESS(B63,1,1,1,"all_city_parameter_inputs"))), All_city_list!F62,INDIRECT(ADDRESS(B63,1,1,1,"all_city_parameter_inputs"))))</f>
        <v>PM_emission_confidence</v>
      </c>
      <c r="G63" s="4" t="str" cm="1">
        <f t="array" aca="1" ref="G63" ca="1">IF(AND(ISBLANK(INDIRECT(ADDRESS(B63,3,1,1,"all_city_parameter_inputs"))),ISBLANK(INDIRECT(ADDRESS(B63,2,1,1,"all_city_parameter_inputs")))),"",IF(ISBLANK(INDIRECT(ADDRESS(B63,2,1,1,"all_city_parameter_inputs"))),"",INDIRECT(ADDRESS(B63,2,1,1,"all_city_parameter_inputs"))))</f>
        <v>sample</v>
      </c>
      <c r="H63" s="14" t="str" cm="1">
        <f t="array" aca="1" ref="H63" ca="1">IF(ISBLANK(INDIRECT(ADDRESS(B63,A63,1,1,"all_city_parameter_inputs"))), "--",INDIRECT(ADDRESS(B63,A63,1,1,"all_city_parameter_inputs")))</f>
        <v>--</v>
      </c>
      <c r="I63" s="14">
        <f ca="1">IF(OR(G63="alpha",G63="beta",G63="sd",G63="mean"),"--",VLOOKUP(C63,Default!$B$5:$H$114,7,FALSE))</f>
        <v>1</v>
      </c>
      <c r="J63" s="4" t="str">
        <f ca="1">VLOOKUP(F63,Lookup!$C$5:$D$110,2, FALSE)</f>
        <v>Pollution values</v>
      </c>
      <c r="K63" s="4" t="str">
        <f ca="1">VLOOKUP(C63,Default!$B$4:$E$114,4,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3" s="34" t="s">
        <v>169</v>
      </c>
      <c r="M63" s="18"/>
      <c r="N63" s="18"/>
    </row>
    <row r="64" spans="1:14">
      <c r="A64" s="5">
        <v>3</v>
      </c>
      <c r="B64" s="5">
        <v>62</v>
      </c>
      <c r="C64" s="5" t="str">
        <f t="shared" ca="1" si="1"/>
        <v>distance_scalar_car_taxi</v>
      </c>
      <c r="D64" s="5" t="str">
        <f t="shared" ca="1" si="3"/>
        <v>distance_scalar_car_taxi_南美洲</v>
      </c>
      <c r="E64" s="4" t="str" cm="1">
        <f t="array" aca="1" ref="E64" ca="1">INDIRECT(ADDRESS(1,A64,1,1,"all_city_parameter_inputs"))</f>
        <v>南美洲</v>
      </c>
      <c r="F64" s="6" t="str" cm="1">
        <f t="array" aca="1" ref="F64" ca="1">IF(AND(ISBLANK(INDIRECT(ADDRESS(B64,2,1,1,"all_city_parameter_inputs"))), ISBLANK(INDIRECT(ADDRESS(B64,1,1,1,"all_city_parameter_inputs")))), "", IF(ISBLANK(INDIRECT(ADDRESS(B64,1,1,1,"all_city_parameter_inputs"))), All_city_list!F63,INDIRECT(ADDRESS(B64,1,1,1,"all_city_parameter_inputs"))))</f>
        <v>distance_scalar_car_taxi</v>
      </c>
      <c r="G64" s="4" t="str" cm="1">
        <f t="array" aca="1" ref="G64" ca="1">IF(AND(ISBLANK(INDIRECT(ADDRESS(B64,3,1,1,"all_city_parameter_inputs"))),ISBLANK(INDIRECT(ADDRESS(B64,2,1,1,"all_city_parameter_inputs")))),"",IF(ISBLANK(INDIRECT(ADDRESS(B64,2,1,1,"all_city_parameter_inputs"))),"",INDIRECT(ADDRESS(B64,2,1,1,"all_city_parameter_inputs"))))</f>
        <v>constant</v>
      </c>
      <c r="H64" s="14" cm="1">
        <f t="array" aca="1" ref="H64" ca="1">IF(ISBLANK(INDIRECT(ADDRESS(B64,A64,1,1,"all_city_parameter_inputs"))), "--",INDIRECT(ADDRESS(B64,A64,1,1,"all_city_parameter_inputs")))</f>
        <v>1</v>
      </c>
      <c r="I64" s="14">
        <f ca="1">IF(OR(G64="alpha",G64="beta",G64="sd",G64="mean"),"--",VLOOKUP(C64,Default!$B$5:$H$114,7,FALSE))</f>
        <v>1</v>
      </c>
      <c r="J64" s="4" t="str">
        <f ca="1">VLOOKUP(F64,Lookup!$C$5:$D$110,2, FALSE)</f>
        <v>Travel values</v>
      </c>
      <c r="K64" s="4" t="str">
        <f ca="1">VLOOKUP(C64,Default!$B$4:$E$114,4, FALSE)</f>
        <v>scalar for car/taxi distance, i.e. all car and taxi trips get scaled by this scalar</v>
      </c>
      <c r="L64" s="18" t="str" cm="1">
        <f t="array" aca="1" ref="L64" ca="1">IF(ISNA(VLOOKUP($D64,Grouped_Sources!$C:$C,1,FALSE)),"", INDIRECT(VLOOKUP($D64,Grouped_Sources!$C:$I,5,FALSE)))</f>
        <v/>
      </c>
      <c r="M64" s="18" t="str" cm="1">
        <f t="array" aca="1" ref="M64" ca="1">IF(ISNA(VLOOKUP($D64,Grouped_Sources!$C:$C,1,FALSE)),"", INDIRECT(VLOOKUP($D64,Grouped_Sources!$C:$I,6,FALSE)))</f>
        <v/>
      </c>
      <c r="N64" s="18" t="str" cm="1">
        <f t="array" aca="1" ref="N64" ca="1">IF(ISNA(VLOOKUP($D64,Grouped_Sources!$C:$C,1,FALSE)),"", INDIRECT(VLOOKUP($D64,Grouped_Sources!$C:$I,7,FALSE)))</f>
        <v/>
      </c>
    </row>
    <row r="65" spans="1:14">
      <c r="A65" s="5">
        <v>3</v>
      </c>
      <c r="B65" s="5">
        <v>63</v>
      </c>
      <c r="C65" s="5" t="str">
        <f t="shared" ca="1" si="1"/>
        <v>distance_scalar_car_taxi</v>
      </c>
      <c r="D65" s="5" t="str">
        <f t="shared" ca="1" si="3"/>
        <v>distance_scalar_car_taxi_南美洲</v>
      </c>
      <c r="E65" s="4" t="str" cm="1">
        <f t="array" aca="1" ref="E65" ca="1">INDIRECT(ADDRESS(1,A65,1,1,"all_city_parameter_inputs"))</f>
        <v>南美洲</v>
      </c>
      <c r="F65" s="6" t="str" cm="1">
        <f t="array" aca="1" ref="F65" ca="1">IF(AND(ISBLANK(INDIRECT(ADDRESS(B65,2,1,1,"all_city_parameter_inputs"))), ISBLANK(INDIRECT(ADDRESS(B65,1,1,1,"all_city_parameter_inputs")))), "", IF(ISBLANK(INDIRECT(ADDRESS(B65,1,1,1,"all_city_parameter_inputs"))), All_city_list!F64,INDIRECT(ADDRESS(B65,1,1,1,"all_city_parameter_inputs"))))</f>
        <v>distance_scalar_car_taxi</v>
      </c>
      <c r="G65" s="4" t="str" cm="1">
        <f t="array" aca="1" ref="G65" ca="1">IF(AND(ISBLANK(INDIRECT(ADDRESS(B65,3,1,1,"all_city_parameter_inputs"))),ISBLANK(INDIRECT(ADDRESS(B65,2,1,1,"all_city_parameter_inputs")))),"",IF(ISBLANK(INDIRECT(ADDRESS(B65,2,1,1,"all_city_parameter_inputs"))),"",INDIRECT(ADDRESS(B65,2,1,1,"all_city_parameter_inputs"))))</f>
        <v>mean</v>
      </c>
      <c r="H65" s="14" t="str" cm="1">
        <f t="array" aca="1" ref="H65" ca="1">IF(ISBLANK(INDIRECT(ADDRESS(B65,A65,1,1,"all_city_parameter_inputs"))), "--",INDIRECT(ADDRESS(B65,A65,1,1,"all_city_parameter_inputs")))</f>
        <v>--</v>
      </c>
      <c r="I65" s="14" t="str">
        <f ca="1">IF(OR(G65="alpha",G65="beta",G65="sd",G65="mean"),"--",VLOOKUP(C65,Default!$B$5:$H$114,7,FALSE))</f>
        <v>--</v>
      </c>
      <c r="J65" s="4" t="str">
        <f ca="1">VLOOKUP(F65,Lookup!$C$5:$D$110,2, FALSE)</f>
        <v>Travel values</v>
      </c>
      <c r="K65" s="4" t="str">
        <f ca="1">VLOOKUP(C65,Default!$B$4:$E$114,4, FALSE)</f>
        <v>scalar for car/taxi distance, i.e. all car and taxi trips get scaled by this scalar</v>
      </c>
      <c r="L65" s="18" t="str" cm="1">
        <f t="array" aca="1" ref="L65" ca="1">IF(ISNA(VLOOKUP($D65,Grouped_Sources!$C:$C,1,FALSE)),"", INDIRECT(VLOOKUP($D65,Grouped_Sources!$C:$I,5,FALSE)))</f>
        <v/>
      </c>
      <c r="M65" s="18" t="str" cm="1">
        <f t="array" aca="1" ref="M65" ca="1">IF(ISNA(VLOOKUP($D65,Grouped_Sources!$C:$C,1,FALSE)),"", INDIRECT(VLOOKUP($D65,Grouped_Sources!$C:$I,6,FALSE)))</f>
        <v/>
      </c>
      <c r="N65" s="18" t="str" cm="1">
        <f t="array" aca="1" ref="N65" ca="1">IF(ISNA(VLOOKUP($D65,Grouped_Sources!$C:$C,1,FALSE)),"", INDIRECT(VLOOKUP($D65,Grouped_Sources!$C:$I,7,FALSE)))</f>
        <v/>
      </c>
    </row>
    <row r="66" spans="1:14">
      <c r="A66" s="5">
        <v>3</v>
      </c>
      <c r="B66" s="5">
        <v>64</v>
      </c>
      <c r="C66" s="5" t="str">
        <f t="shared" ca="1" si="1"/>
        <v>distance_scalar_car_taxi</v>
      </c>
      <c r="D66" s="5" t="str">
        <f t="shared" ca="1" si="3"/>
        <v>distance_scalar_car_taxi_南美洲</v>
      </c>
      <c r="E66" s="4" t="str" cm="1">
        <f t="array" aca="1" ref="E66" ca="1">INDIRECT(ADDRESS(1,A66,1,1,"all_city_parameter_inputs"))</f>
        <v>南美洲</v>
      </c>
      <c r="F66" s="6" t="str" cm="1">
        <f t="array" aca="1" ref="F66" ca="1">IF(AND(ISBLANK(INDIRECT(ADDRESS(B66,2,1,1,"all_city_parameter_inputs"))), ISBLANK(INDIRECT(ADDRESS(B66,1,1,1,"all_city_parameter_inputs")))), "", IF(ISBLANK(INDIRECT(ADDRESS(B66,1,1,1,"all_city_parameter_inputs"))), All_city_list!F65,INDIRECT(ADDRESS(B66,1,1,1,"all_city_parameter_inputs"))))</f>
        <v>distance_scalar_car_taxi</v>
      </c>
      <c r="G66" s="4" t="str" cm="1">
        <f t="array" aca="1" ref="G66" ca="1">IF(AND(ISBLANK(INDIRECT(ADDRESS(B66,3,1,1,"all_city_parameter_inputs"))),ISBLANK(INDIRECT(ADDRESS(B66,2,1,1,"all_city_parameter_inputs")))),"",IF(ISBLANK(INDIRECT(ADDRESS(B66,2,1,1,"all_city_parameter_inputs"))),"",INDIRECT(ADDRESS(B66,2,1,1,"all_city_parameter_inputs"))))</f>
        <v>sd</v>
      </c>
      <c r="H66" s="14" t="str" cm="1">
        <f t="array" aca="1" ref="H66" ca="1">IF(ISBLANK(INDIRECT(ADDRESS(B66,A66,1,1,"all_city_parameter_inputs"))), "--",INDIRECT(ADDRESS(B66,A66,1,1,"all_city_parameter_inputs")))</f>
        <v>--</v>
      </c>
      <c r="I66" s="14" t="str">
        <f ca="1">IF(OR(G66="alpha",G66="beta",G66="sd",G66="mean"),"--",VLOOKUP(C66,Default!$B$5:$H$114,7,FALSE))</f>
        <v>--</v>
      </c>
      <c r="J66" s="4" t="str">
        <f ca="1">VLOOKUP(F66,Lookup!$C$5:$D$110,2, FALSE)</f>
        <v>Travel values</v>
      </c>
      <c r="K66" s="4" t="str">
        <f ca="1">VLOOKUP(C66,Default!$B$4:$E$114,4, FALSE)</f>
        <v>scalar for car/taxi distance, i.e. all car and taxi trips get scaled by this scalar</v>
      </c>
      <c r="L66" s="34" t="s">
        <v>169</v>
      </c>
      <c r="M66" s="18"/>
      <c r="N66" s="18"/>
    </row>
    <row r="67" spans="1:14">
      <c r="A67" s="5">
        <v>3</v>
      </c>
      <c r="B67" s="5">
        <v>65</v>
      </c>
      <c r="C67" s="5" t="str">
        <f t="shared" ca="1" si="1"/>
        <v>distance_scalar_motorcycle</v>
      </c>
      <c r="D67" s="5" t="str">
        <f t="shared" ca="1" si="3"/>
        <v>distance_scalar_motorcycle_南美洲</v>
      </c>
      <c r="E67" s="4" t="str" cm="1">
        <f t="array" aca="1" ref="E67" ca="1">INDIRECT(ADDRESS(1,A67,1,1,"all_city_parameter_inputs"))</f>
        <v>南美洲</v>
      </c>
      <c r="F67" s="6" t="str" cm="1">
        <f t="array" aca="1" ref="F67" ca="1">IF(AND(ISBLANK(INDIRECT(ADDRESS(B67,2,1,1,"all_city_parameter_inputs"))), ISBLANK(INDIRECT(ADDRESS(B67,1,1,1,"all_city_parameter_inputs")))), "", IF(ISBLANK(INDIRECT(ADDRESS(B67,1,1,1,"all_city_parameter_inputs"))), All_city_list!F66,INDIRECT(ADDRESS(B67,1,1,1,"all_city_parameter_inputs"))))</f>
        <v>distance_scalar_motorcycle</v>
      </c>
      <c r="G67" s="4" t="str" cm="1">
        <f t="array" aca="1" ref="G67" ca="1">IF(AND(ISBLANK(INDIRECT(ADDRESS(B67,3,1,1,"all_city_parameter_inputs"))),ISBLANK(INDIRECT(ADDRESS(B67,2,1,1,"all_city_parameter_inputs")))),"",IF(ISBLANK(INDIRECT(ADDRESS(B67,2,1,1,"all_city_parameter_inputs"))),"",INDIRECT(ADDRESS(B67,2,1,1,"all_city_parameter_inputs"))))</f>
        <v>constant</v>
      </c>
      <c r="H67" s="14" cm="1">
        <f t="array" aca="1" ref="H67" ca="1">IF(ISBLANK(INDIRECT(ADDRESS(B67,A67,1,1,"all_city_parameter_inputs"))), "--",INDIRECT(ADDRESS(B67,A67,1,1,"all_city_parameter_inputs")))</f>
        <v>1</v>
      </c>
      <c r="I67" s="14">
        <f ca="1">IF(OR(G67="alpha",G67="beta",G67="sd",G67="mean"),"--",VLOOKUP(C67,Default!$B$5:$H$114,7,FALSE))</f>
        <v>1</v>
      </c>
      <c r="J67" s="4" t="str">
        <f ca="1">VLOOKUP(F67,Lookup!$C$5:$D$110,2, FALSE)</f>
        <v>Travel values</v>
      </c>
      <c r="K67" s="4" t="str">
        <f ca="1">VLOOKUP(C67,Default!$B$4:$E$114,4, FALSE)</f>
        <v>scalar for motorcycle distance, i.e. all motorbike trips are scaled by this scalar</v>
      </c>
      <c r="L67" s="18" t="str" cm="1">
        <f t="array" aca="1" ref="L67" ca="1">IF(ISNA(VLOOKUP($D67,Grouped_Sources!$C:$C,1,FALSE)),"", INDIRECT(VLOOKUP($D67,Grouped_Sources!$C:$I,5,FALSE)))</f>
        <v/>
      </c>
      <c r="M67" s="18" t="str" cm="1">
        <f t="array" aca="1" ref="M67" ca="1">IF(ISNA(VLOOKUP($D67,Grouped_Sources!$C:$C,1,FALSE)),"", INDIRECT(VLOOKUP($D67,Grouped_Sources!$C:$I,6,FALSE)))</f>
        <v/>
      </c>
      <c r="N67" s="18" t="str" cm="1">
        <f t="array" aca="1" ref="N67" ca="1">IF(ISNA(VLOOKUP($D67,Grouped_Sources!$C:$C,1,FALSE)),"", INDIRECT(VLOOKUP($D67,Grouped_Sources!$C:$I,7,FALSE)))</f>
        <v/>
      </c>
    </row>
    <row r="68" spans="1:14">
      <c r="A68" s="5">
        <v>3</v>
      </c>
      <c r="B68" s="5">
        <v>66</v>
      </c>
      <c r="C68" s="5" t="str">
        <f t="shared" ca="1" si="1"/>
        <v>distance_scalar_motorcycle</v>
      </c>
      <c r="D68" s="5" t="str">
        <f t="shared" ca="1" si="3"/>
        <v>distance_scalar_motorcycle_南美洲</v>
      </c>
      <c r="E68" s="4" t="str" cm="1">
        <f t="array" aca="1" ref="E68" ca="1">INDIRECT(ADDRESS(1,A68,1,1,"all_city_parameter_inputs"))</f>
        <v>南美洲</v>
      </c>
      <c r="F68" s="6" t="str" cm="1">
        <f t="array" aca="1" ref="F68" ca="1">IF(AND(ISBLANK(INDIRECT(ADDRESS(B68,2,1,1,"all_city_parameter_inputs"))), ISBLANK(INDIRECT(ADDRESS(B68,1,1,1,"all_city_parameter_inputs")))), "", IF(ISBLANK(INDIRECT(ADDRESS(B68,1,1,1,"all_city_parameter_inputs"))), All_city_list!F67,INDIRECT(ADDRESS(B68,1,1,1,"all_city_parameter_inputs"))))</f>
        <v>distance_scalar_motorcycle</v>
      </c>
      <c r="G68" s="4" t="str" cm="1">
        <f t="array" aca="1" ref="G68" ca="1">IF(AND(ISBLANK(INDIRECT(ADDRESS(B68,3,1,1,"all_city_parameter_inputs"))),ISBLANK(INDIRECT(ADDRESS(B68,2,1,1,"all_city_parameter_inputs")))),"",IF(ISBLANK(INDIRECT(ADDRESS(B68,2,1,1,"all_city_parameter_inputs"))),"",INDIRECT(ADDRESS(B68,2,1,1,"all_city_parameter_inputs"))))</f>
        <v>mean</v>
      </c>
      <c r="H68" s="14" t="str" cm="1">
        <f t="array" aca="1" ref="H68" ca="1">IF(ISBLANK(INDIRECT(ADDRESS(B68,A68,1,1,"all_city_parameter_inputs"))), "--",INDIRECT(ADDRESS(B68,A68,1,1,"all_city_parameter_inputs")))</f>
        <v>--</v>
      </c>
      <c r="I68" s="14" t="str">
        <f ca="1">IF(OR(G68="alpha",G68="beta",G68="sd",G68="mean"),"--",VLOOKUP(C68,Default!$B$5:$H$114,7,FALSE))</f>
        <v>--</v>
      </c>
      <c r="J68" s="4" t="str">
        <f ca="1">VLOOKUP(F68,Lookup!$C$5:$D$110,2, FALSE)</f>
        <v>Travel values</v>
      </c>
      <c r="K68" s="4" t="str">
        <f ca="1">VLOOKUP(C68,Default!$B$4:$E$114,4, FALSE)</f>
        <v>scalar for motorcycle distance, i.e. all motorbike trips are scaled by this scalar</v>
      </c>
      <c r="L68" s="18" t="str" cm="1">
        <f t="array" aca="1" ref="L68" ca="1">IF(ISNA(VLOOKUP($D68,Grouped_Sources!$C:$C,1,FALSE)),"", INDIRECT(VLOOKUP($D68,Grouped_Sources!$C:$I,5,FALSE)))</f>
        <v/>
      </c>
      <c r="M68" s="18" t="str" cm="1">
        <f t="array" aca="1" ref="M68" ca="1">IF(ISNA(VLOOKUP($D68,Grouped_Sources!$C:$C,1,FALSE)),"", INDIRECT(VLOOKUP($D68,Grouped_Sources!$C:$I,6,FALSE)))</f>
        <v/>
      </c>
      <c r="N68" s="18" t="str" cm="1">
        <f t="array" aca="1" ref="N68" ca="1">IF(ISNA(VLOOKUP($D68,Grouped_Sources!$C:$C,1,FALSE)),"", INDIRECT(VLOOKUP($D68,Grouped_Sources!$C:$I,7,FALSE)))</f>
        <v/>
      </c>
    </row>
    <row r="69" spans="1:14">
      <c r="A69" s="5">
        <v>3</v>
      </c>
      <c r="B69" s="5">
        <v>67</v>
      </c>
      <c r="C69" s="5" t="str">
        <f t="shared" ref="C69:C101" ca="1" si="4">IF(G69 = "",F69,IF(OR(G69="alpha",G69="beta",G69="constant",G69="sd",G69="mean",G69="sample"),F69,F69&amp;" "&amp;G69))</f>
        <v>distance_scalar_motorcycle</v>
      </c>
      <c r="D69" s="5" t="str">
        <f t="shared" ca="1" si="3"/>
        <v>distance_scalar_motorcycle_南美洲</v>
      </c>
      <c r="E69" s="4" t="str" cm="1">
        <f t="array" aca="1" ref="E69" ca="1">INDIRECT(ADDRESS(1,A69,1,1,"all_city_parameter_inputs"))</f>
        <v>南美洲</v>
      </c>
      <c r="F69" s="6" t="str" cm="1">
        <f t="array" aca="1" ref="F69" ca="1">IF(AND(ISBLANK(INDIRECT(ADDRESS(B69,2,1,1,"all_city_parameter_inputs"))), ISBLANK(INDIRECT(ADDRESS(B69,1,1,1,"all_city_parameter_inputs")))), "", IF(ISBLANK(INDIRECT(ADDRESS(B69,1,1,1,"all_city_parameter_inputs"))), All_city_list!F68,INDIRECT(ADDRESS(B69,1,1,1,"all_city_parameter_inputs"))))</f>
        <v>distance_scalar_motorcycle</v>
      </c>
      <c r="G69" s="4" t="str" cm="1">
        <f t="array" aca="1" ref="G69" ca="1">IF(AND(ISBLANK(INDIRECT(ADDRESS(B69,3,1,1,"all_city_parameter_inputs"))),ISBLANK(INDIRECT(ADDRESS(B69,2,1,1,"all_city_parameter_inputs")))),"",IF(ISBLANK(INDIRECT(ADDRESS(B69,2,1,1,"all_city_parameter_inputs"))),"",INDIRECT(ADDRESS(B69,2,1,1,"all_city_parameter_inputs"))))</f>
        <v>sd</v>
      </c>
      <c r="H69" s="14" t="str" cm="1">
        <f t="array" aca="1" ref="H69" ca="1">IF(ISBLANK(INDIRECT(ADDRESS(B69,A69,1,1,"all_city_parameter_inputs"))), "--",INDIRECT(ADDRESS(B69,A69,1,1,"all_city_parameter_inputs")))</f>
        <v>--</v>
      </c>
      <c r="I69" s="14" t="str">
        <f ca="1">IF(OR(G69="alpha",G69="beta",G69="sd",G69="mean"),"--",VLOOKUP(C69,Default!$B$5:$H$114,7,FALSE))</f>
        <v>--</v>
      </c>
      <c r="J69" s="4" t="str">
        <f ca="1">VLOOKUP(F69,Lookup!$C$5:$D$110,2, FALSE)</f>
        <v>Travel values</v>
      </c>
      <c r="K69" s="4" t="str">
        <f ca="1">VLOOKUP(C69,Default!$B$4:$E$114,4, FALSE)</f>
        <v>scalar for motorcycle distance, i.e. all motorbike trips are scaled by this scalar</v>
      </c>
      <c r="L69" s="34" t="s">
        <v>169</v>
      </c>
      <c r="M69" s="18"/>
      <c r="N69" s="18"/>
    </row>
    <row r="70" spans="1:14">
      <c r="A70" s="5">
        <v>3</v>
      </c>
      <c r="B70" s="5">
        <v>68</v>
      </c>
      <c r="C70" s="5" t="str">
        <f t="shared" ca="1" si="4"/>
        <v>distance_scalar_pt</v>
      </c>
      <c r="D70" s="5" t="str">
        <f t="shared" ca="1" si="3"/>
        <v>distance_scalar_pt_南美洲</v>
      </c>
      <c r="E70" s="4" t="str" cm="1">
        <f t="array" aca="1" ref="E70" ca="1">INDIRECT(ADDRESS(1,A70,1,1,"all_city_parameter_inputs"))</f>
        <v>南美洲</v>
      </c>
      <c r="F70" s="6" t="str" cm="1">
        <f t="array" aca="1" ref="F70" ca="1">IF(AND(ISBLANK(INDIRECT(ADDRESS(B70,2,1,1,"all_city_parameter_inputs"))), ISBLANK(INDIRECT(ADDRESS(B70,1,1,1,"all_city_parameter_inputs")))), "", IF(ISBLANK(INDIRECT(ADDRESS(B70,1,1,1,"all_city_parameter_inputs"))), All_city_list!F69,INDIRECT(ADDRESS(B70,1,1,1,"all_city_parameter_inputs"))))</f>
        <v>distance_scalar_pt</v>
      </c>
      <c r="G70" s="4" t="str" cm="1">
        <f t="array" aca="1" ref="G70" ca="1">IF(AND(ISBLANK(INDIRECT(ADDRESS(B70,3,1,1,"all_city_parameter_inputs"))),ISBLANK(INDIRECT(ADDRESS(B70,2,1,1,"all_city_parameter_inputs")))),"",IF(ISBLANK(INDIRECT(ADDRESS(B70,2,1,1,"all_city_parameter_inputs"))),"",INDIRECT(ADDRESS(B70,2,1,1,"all_city_parameter_inputs"))))</f>
        <v>constant</v>
      </c>
      <c r="H70" s="14" cm="1">
        <f t="array" aca="1" ref="H70" ca="1">IF(ISBLANK(INDIRECT(ADDRESS(B70,A70,1,1,"all_city_parameter_inputs"))), "--",INDIRECT(ADDRESS(B70,A70,1,1,"all_city_parameter_inputs")))</f>
        <v>1</v>
      </c>
      <c r="I70" s="14">
        <f ca="1">IF(OR(G70="alpha",G70="beta",G70="sd",G70="mean"),"--",VLOOKUP(C70,Default!$B$5:$H$114,7,FALSE))</f>
        <v>1</v>
      </c>
      <c r="J70" s="4" t="str">
        <f ca="1">VLOOKUP(F70,Lookup!$C$5:$D$110,2, FALSE)</f>
        <v>Travel values</v>
      </c>
      <c r="K70" s="4" t="str">
        <f ca="1">VLOOKUP(C70,Default!$B$4:$E$114,4, FALSE)</f>
        <v>scalar for PT distance, i.e. all public transport journey (incl bus driver if added) are scaled by this scalar</v>
      </c>
      <c r="L70" s="18" t="str" cm="1">
        <f t="array" aca="1" ref="L70" ca="1">IF(ISNA(VLOOKUP($D70,Grouped_Sources!$C:$C,1,FALSE)),"", INDIRECT(VLOOKUP($D70,Grouped_Sources!$C:$I,5,FALSE)))</f>
        <v/>
      </c>
      <c r="M70" s="18" t="str" cm="1">
        <f t="array" aca="1" ref="M70" ca="1">IF(ISNA(VLOOKUP($D70,Grouped_Sources!$C:$C,1,FALSE)),"", INDIRECT(VLOOKUP($D70,Grouped_Sources!$C:$I,6,FALSE)))</f>
        <v/>
      </c>
      <c r="N70" s="18" t="str" cm="1">
        <f t="array" aca="1" ref="N70" ca="1">IF(ISNA(VLOOKUP($D70,Grouped_Sources!$C:$C,1,FALSE)),"", INDIRECT(VLOOKUP($D70,Grouped_Sources!$C:$I,7,FALSE)))</f>
        <v/>
      </c>
    </row>
    <row r="71" spans="1:14">
      <c r="A71" s="5">
        <v>3</v>
      </c>
      <c r="B71" s="5">
        <v>69</v>
      </c>
      <c r="C71" s="5" t="str">
        <f t="shared" ca="1" si="4"/>
        <v>distance_scalar_pt</v>
      </c>
      <c r="D71" s="5" t="str">
        <f t="shared" ca="1" si="3"/>
        <v>distance_scalar_pt_南美洲</v>
      </c>
      <c r="E71" s="4" t="str" cm="1">
        <f t="array" aca="1" ref="E71" ca="1">INDIRECT(ADDRESS(1,A71,1,1,"all_city_parameter_inputs"))</f>
        <v>南美洲</v>
      </c>
      <c r="F71" s="6" t="str" cm="1">
        <f t="array" aca="1" ref="F71" ca="1">IF(AND(ISBLANK(INDIRECT(ADDRESS(B71,2,1,1,"all_city_parameter_inputs"))), ISBLANK(INDIRECT(ADDRESS(B71,1,1,1,"all_city_parameter_inputs")))), "", IF(ISBLANK(INDIRECT(ADDRESS(B71,1,1,1,"all_city_parameter_inputs"))), All_city_list!F70,INDIRECT(ADDRESS(B71,1,1,1,"all_city_parameter_inputs"))))</f>
        <v>distance_scalar_pt</v>
      </c>
      <c r="G71" s="4" t="str" cm="1">
        <f t="array" aca="1" ref="G71" ca="1">IF(AND(ISBLANK(INDIRECT(ADDRESS(B71,3,1,1,"all_city_parameter_inputs"))),ISBLANK(INDIRECT(ADDRESS(B71,2,1,1,"all_city_parameter_inputs")))),"",IF(ISBLANK(INDIRECT(ADDRESS(B71,2,1,1,"all_city_parameter_inputs"))),"",INDIRECT(ADDRESS(B71,2,1,1,"all_city_parameter_inputs"))))</f>
        <v>mean</v>
      </c>
      <c r="H71" s="14" t="str" cm="1">
        <f t="array" aca="1" ref="H71" ca="1">IF(ISBLANK(INDIRECT(ADDRESS(B71,A71,1,1,"all_city_parameter_inputs"))), "--",INDIRECT(ADDRESS(B71,A71,1,1,"all_city_parameter_inputs")))</f>
        <v>--</v>
      </c>
      <c r="I71" s="14" t="str">
        <f ca="1">IF(OR(G71="alpha",G71="beta",G71="sd",G71="mean"),"--",VLOOKUP(C71,Default!$B$5:$H$114,7,FALSE))</f>
        <v>--</v>
      </c>
      <c r="J71" s="4" t="str">
        <f ca="1">VLOOKUP(F71,Lookup!$C$5:$D$110,2, FALSE)</f>
        <v>Travel values</v>
      </c>
      <c r="K71" s="4" t="str">
        <f ca="1">VLOOKUP(C71,Default!$B$4:$E$114,4, FALSE)</f>
        <v>scalar for PT distance, i.e. all public transport journey (incl bus driver if added) are scaled by this scalar</v>
      </c>
      <c r="L71" s="18" t="str" cm="1">
        <f t="array" aca="1" ref="L71" ca="1">IF(ISNA(VLOOKUP($D71,Grouped_Sources!$C:$C,1,FALSE)),"", INDIRECT(VLOOKUP($D71,Grouped_Sources!$C:$I,5,FALSE)))</f>
        <v/>
      </c>
      <c r="M71" s="18" t="str" cm="1">
        <f t="array" aca="1" ref="M71" ca="1">IF(ISNA(VLOOKUP($D71,Grouped_Sources!$C:$C,1,FALSE)),"", INDIRECT(VLOOKUP($D71,Grouped_Sources!$C:$I,6,FALSE)))</f>
        <v/>
      </c>
      <c r="N71" s="18" t="str" cm="1">
        <f t="array" aca="1" ref="N71" ca="1">IF(ISNA(VLOOKUP($D71,Grouped_Sources!$C:$C,1,FALSE)),"", INDIRECT(VLOOKUP($D71,Grouped_Sources!$C:$I,7,FALSE)))</f>
        <v/>
      </c>
    </row>
    <row r="72" spans="1:14">
      <c r="A72" s="5">
        <v>3</v>
      </c>
      <c r="B72" s="5">
        <v>70</v>
      </c>
      <c r="C72" s="5" t="str">
        <f t="shared" ca="1" si="4"/>
        <v>distance_scalar_pt</v>
      </c>
      <c r="D72" s="5" t="str">
        <f t="shared" ca="1" si="3"/>
        <v>distance_scalar_pt_南美洲</v>
      </c>
      <c r="E72" s="4" t="str" cm="1">
        <f t="array" aca="1" ref="E72" ca="1">INDIRECT(ADDRESS(1,A72,1,1,"all_city_parameter_inputs"))</f>
        <v>南美洲</v>
      </c>
      <c r="F72" s="6" t="str" cm="1">
        <f t="array" aca="1" ref="F72" ca="1">IF(AND(ISBLANK(INDIRECT(ADDRESS(B72,2,1,1,"all_city_parameter_inputs"))), ISBLANK(INDIRECT(ADDRESS(B72,1,1,1,"all_city_parameter_inputs")))), "", IF(ISBLANK(INDIRECT(ADDRESS(B72,1,1,1,"all_city_parameter_inputs"))), All_city_list!F71,INDIRECT(ADDRESS(B72,1,1,1,"all_city_parameter_inputs"))))</f>
        <v>distance_scalar_pt</v>
      </c>
      <c r="G72" s="4" t="str" cm="1">
        <f t="array" aca="1" ref="G72" ca="1">IF(AND(ISBLANK(INDIRECT(ADDRESS(B72,3,1,1,"all_city_parameter_inputs"))),ISBLANK(INDIRECT(ADDRESS(B72,2,1,1,"all_city_parameter_inputs")))),"",IF(ISBLANK(INDIRECT(ADDRESS(B72,2,1,1,"all_city_parameter_inputs"))),"",INDIRECT(ADDRESS(B72,2,1,1,"all_city_parameter_inputs"))))</f>
        <v>sd</v>
      </c>
      <c r="H72" s="14" t="str" cm="1">
        <f t="array" aca="1" ref="H72" ca="1">IF(ISBLANK(INDIRECT(ADDRESS(B72,A72,1,1,"all_city_parameter_inputs"))), "--",INDIRECT(ADDRESS(B72,A72,1,1,"all_city_parameter_inputs")))</f>
        <v>--</v>
      </c>
      <c r="I72" s="14" t="str">
        <f ca="1">IF(OR(G72="alpha",G72="beta",G72="sd",G72="mean"),"--",VLOOKUP(C72,Default!$B$5:$H$114,7,FALSE))</f>
        <v>--</v>
      </c>
      <c r="J72" s="4" t="str">
        <f ca="1">VLOOKUP(F72,Lookup!$C$5:$D$110,2, FALSE)</f>
        <v>Travel values</v>
      </c>
      <c r="K72" s="4" t="str">
        <f ca="1">VLOOKUP(C72,Default!$B$4:$E$114,4, FALSE)</f>
        <v>scalar for PT distance, i.e. all public transport journey (incl bus driver if added) are scaled by this scalar</v>
      </c>
      <c r="L72" s="34" t="s">
        <v>169</v>
      </c>
      <c r="M72" s="18"/>
      <c r="N72" s="18"/>
    </row>
    <row r="73" spans="1:14">
      <c r="A73" s="5">
        <v>3</v>
      </c>
      <c r="B73" s="5">
        <v>71</v>
      </c>
      <c r="C73" s="5" t="str">
        <f t="shared" ca="1" si="4"/>
        <v>distance_scalar_walking</v>
      </c>
      <c r="D73" s="5" t="str">
        <f t="shared" ca="1" si="3"/>
        <v>distance_scalar_walking_南美洲</v>
      </c>
      <c r="E73" s="4" t="str" cm="1">
        <f t="array" aca="1" ref="E73" ca="1">INDIRECT(ADDRESS(1,A73,1,1,"all_city_parameter_inputs"))</f>
        <v>南美洲</v>
      </c>
      <c r="F73" s="6" t="str" cm="1">
        <f t="array" aca="1" ref="F73" ca="1">IF(AND(ISBLANK(INDIRECT(ADDRESS(B73,2,1,1,"all_city_parameter_inputs"))), ISBLANK(INDIRECT(ADDRESS(B73,1,1,1,"all_city_parameter_inputs")))), "", IF(ISBLANK(INDIRECT(ADDRESS(B73,1,1,1,"all_city_parameter_inputs"))), All_city_list!F72,INDIRECT(ADDRESS(B73,1,1,1,"all_city_parameter_inputs"))))</f>
        <v>distance_scalar_walking</v>
      </c>
      <c r="G73" s="4" t="str" cm="1">
        <f t="array" aca="1" ref="G73" ca="1">IF(AND(ISBLANK(INDIRECT(ADDRESS(B73,3,1,1,"all_city_parameter_inputs"))),ISBLANK(INDIRECT(ADDRESS(B73,2,1,1,"all_city_parameter_inputs")))),"",IF(ISBLANK(INDIRECT(ADDRESS(B73,2,1,1,"all_city_parameter_inputs"))),"",INDIRECT(ADDRESS(B73,2,1,1,"all_city_parameter_inputs"))))</f>
        <v>constant</v>
      </c>
      <c r="H73" s="14" cm="1">
        <f t="array" aca="1" ref="H73" ca="1">IF(ISBLANK(INDIRECT(ADDRESS(B73,A73,1,1,"all_city_parameter_inputs"))), "--",INDIRECT(ADDRESS(B73,A73,1,1,"all_city_parameter_inputs")))</f>
        <v>1</v>
      </c>
      <c r="I73" s="14">
        <f ca="1">IF(OR(G73="alpha",G73="beta",G73="sd",G73="mean"),"--",VLOOKUP(C73,Default!$B$5:$H$114,7,FALSE))</f>
        <v>1</v>
      </c>
      <c r="J73" s="4" t="str">
        <f ca="1">VLOOKUP(F73,Lookup!$C$5:$D$110,2, FALSE)</f>
        <v>Travel values</v>
      </c>
      <c r="K73" s="4" t="str">
        <f ca="1">VLOOKUP(C73,Default!$B$4:$E$114,4, FALSE)</f>
        <v>scalar for walking distance, i.e. all walking trips are scaled by this scalar</v>
      </c>
      <c r="L73" s="18" t="str" cm="1">
        <f t="array" aca="1" ref="L73" ca="1">IF(ISNA(VLOOKUP($D73,Grouped_Sources!$C:$C,1,FALSE)),"", INDIRECT(VLOOKUP($D73,Grouped_Sources!$C:$I,5,FALSE)))</f>
        <v/>
      </c>
      <c r="M73" s="18" t="str" cm="1">
        <f t="array" aca="1" ref="M73" ca="1">IF(ISNA(VLOOKUP($D73,Grouped_Sources!$C:$C,1,FALSE)),"", INDIRECT(VLOOKUP($D73,Grouped_Sources!$C:$I,6,FALSE)))</f>
        <v/>
      </c>
      <c r="N73" s="18" t="str" cm="1">
        <f t="array" aca="1" ref="N73" ca="1">IF(ISNA(VLOOKUP($D73,Grouped_Sources!$C:$C,1,FALSE)),"", INDIRECT(VLOOKUP($D73,Grouped_Sources!$C:$I,7,FALSE)))</f>
        <v/>
      </c>
    </row>
    <row r="74" spans="1:14">
      <c r="A74" s="5">
        <v>3</v>
      </c>
      <c r="B74" s="5">
        <v>72</v>
      </c>
      <c r="C74" s="5" t="str">
        <f t="shared" ca="1" si="4"/>
        <v>distance_scalar_walking</v>
      </c>
      <c r="D74" s="5" t="str">
        <f t="shared" ca="1" si="3"/>
        <v>distance_scalar_walking_南美洲</v>
      </c>
      <c r="E74" s="4" t="str" cm="1">
        <f t="array" aca="1" ref="E74" ca="1">INDIRECT(ADDRESS(1,A74,1,1,"all_city_parameter_inputs"))</f>
        <v>南美洲</v>
      </c>
      <c r="F74" s="6" t="str" cm="1">
        <f t="array" aca="1" ref="F74" ca="1">IF(AND(ISBLANK(INDIRECT(ADDRESS(B74,2,1,1,"all_city_parameter_inputs"))), ISBLANK(INDIRECT(ADDRESS(B74,1,1,1,"all_city_parameter_inputs")))), "", IF(ISBLANK(INDIRECT(ADDRESS(B74,1,1,1,"all_city_parameter_inputs"))), All_city_list!F73,INDIRECT(ADDRESS(B74,1,1,1,"all_city_parameter_inputs"))))</f>
        <v>distance_scalar_walking</v>
      </c>
      <c r="G74" s="4" t="str" cm="1">
        <f t="array" aca="1" ref="G74" ca="1">IF(AND(ISBLANK(INDIRECT(ADDRESS(B74,3,1,1,"all_city_parameter_inputs"))),ISBLANK(INDIRECT(ADDRESS(B74,2,1,1,"all_city_parameter_inputs")))),"",IF(ISBLANK(INDIRECT(ADDRESS(B74,2,1,1,"all_city_parameter_inputs"))),"",INDIRECT(ADDRESS(B74,2,1,1,"all_city_parameter_inputs"))))</f>
        <v>mean</v>
      </c>
      <c r="H74" s="14" t="str" cm="1">
        <f t="array" aca="1" ref="H74" ca="1">IF(ISBLANK(INDIRECT(ADDRESS(B74,A74,1,1,"all_city_parameter_inputs"))), "--",INDIRECT(ADDRESS(B74,A74,1,1,"all_city_parameter_inputs")))</f>
        <v>--</v>
      </c>
      <c r="I74" s="14" t="str">
        <f ca="1">IF(OR(G74="alpha",G74="beta",G74="sd",G74="mean"),"--",VLOOKUP(C74,Default!$B$5:$H$114,7,FALSE))</f>
        <v>--</v>
      </c>
      <c r="J74" s="4" t="str">
        <f ca="1">VLOOKUP(F74,Lookup!$C$5:$D$110,2, FALSE)</f>
        <v>Travel values</v>
      </c>
      <c r="K74" s="4" t="str">
        <f ca="1">VLOOKUP(C74,Default!$B$4:$E$114,4, FALSE)</f>
        <v>scalar for walking distance, i.e. all walking trips are scaled by this scalar</v>
      </c>
      <c r="L74" s="18" t="str" cm="1">
        <f t="array" aca="1" ref="L74" ca="1">IF(ISNA(VLOOKUP($D74,Grouped_Sources!$C:$C,1,FALSE)),"", INDIRECT(VLOOKUP($D74,Grouped_Sources!$C:$I,5,FALSE)))</f>
        <v/>
      </c>
      <c r="M74" s="18" t="str" cm="1">
        <f t="array" aca="1" ref="M74" ca="1">IF(ISNA(VLOOKUP($D74,Grouped_Sources!$C:$C,1,FALSE)),"", INDIRECT(VLOOKUP($D74,Grouped_Sources!$C:$I,6,FALSE)))</f>
        <v/>
      </c>
      <c r="N74" s="18" t="str" cm="1">
        <f t="array" aca="1" ref="N74" ca="1">IF(ISNA(VLOOKUP($D74,Grouped_Sources!$C:$C,1,FALSE)),"", INDIRECT(VLOOKUP($D74,Grouped_Sources!$C:$I,7,FALSE)))</f>
        <v/>
      </c>
    </row>
    <row r="75" spans="1:14">
      <c r="A75" s="5">
        <v>3</v>
      </c>
      <c r="B75" s="5">
        <v>73</v>
      </c>
      <c r="C75" s="5" t="str">
        <f t="shared" ca="1" si="4"/>
        <v>distance_scalar_walking</v>
      </c>
      <c r="D75" s="5" t="str">
        <f t="shared" ca="1" si="3"/>
        <v>distance_scalar_walking_南美洲</v>
      </c>
      <c r="E75" s="4" t="str" cm="1">
        <f t="array" aca="1" ref="E75" ca="1">INDIRECT(ADDRESS(1,A75,1,1,"all_city_parameter_inputs"))</f>
        <v>南美洲</v>
      </c>
      <c r="F75" s="6" t="str" cm="1">
        <f t="array" aca="1" ref="F75" ca="1">IF(AND(ISBLANK(INDIRECT(ADDRESS(B75,2,1,1,"all_city_parameter_inputs"))), ISBLANK(INDIRECT(ADDRESS(B75,1,1,1,"all_city_parameter_inputs")))), "", IF(ISBLANK(INDIRECT(ADDRESS(B75,1,1,1,"all_city_parameter_inputs"))), All_city_list!F74,INDIRECT(ADDRESS(B75,1,1,1,"all_city_parameter_inputs"))))</f>
        <v>distance_scalar_walking</v>
      </c>
      <c r="G75" s="4" t="str" cm="1">
        <f t="array" aca="1" ref="G75" ca="1">IF(AND(ISBLANK(INDIRECT(ADDRESS(B75,3,1,1,"all_city_parameter_inputs"))),ISBLANK(INDIRECT(ADDRESS(B75,2,1,1,"all_city_parameter_inputs")))),"",IF(ISBLANK(INDIRECT(ADDRESS(B75,2,1,1,"all_city_parameter_inputs"))),"",INDIRECT(ADDRESS(B75,2,1,1,"all_city_parameter_inputs"))))</f>
        <v>sd</v>
      </c>
      <c r="H75" s="14" t="str" cm="1">
        <f t="array" aca="1" ref="H75" ca="1">IF(ISBLANK(INDIRECT(ADDRESS(B75,A75,1,1,"all_city_parameter_inputs"))), "--",INDIRECT(ADDRESS(B75,A75,1,1,"all_city_parameter_inputs")))</f>
        <v>--</v>
      </c>
      <c r="I75" s="14" t="str">
        <f ca="1">IF(OR(G75="alpha",G75="beta",G75="sd",G75="mean"),"--",VLOOKUP(C75,Default!$B$5:$H$114,7,FALSE))</f>
        <v>--</v>
      </c>
      <c r="J75" s="4" t="str">
        <f ca="1">VLOOKUP(F75,Lookup!$C$5:$D$110,2, FALSE)</f>
        <v>Travel values</v>
      </c>
      <c r="K75" s="4" t="str">
        <f ca="1">VLOOKUP(C75,Default!$B$4:$E$114,4, FALSE)</f>
        <v>scalar for walking distance, i.e. all walking trips are scaled by this scalar</v>
      </c>
      <c r="L75" s="34" t="s">
        <v>169</v>
      </c>
      <c r="M75" s="18"/>
      <c r="N75" s="18"/>
    </row>
    <row r="76" spans="1:14">
      <c r="A76" s="5">
        <v>3</v>
      </c>
      <c r="B76" s="5">
        <v>74</v>
      </c>
      <c r="C76" s="5" t="str">
        <f t="shared" ca="1" si="4"/>
        <v>distance_scalar_cycling</v>
      </c>
      <c r="D76" s="5" t="str">
        <f t="shared" ca="1" si="3"/>
        <v>distance_scalar_cycling_南美洲</v>
      </c>
      <c r="E76" s="4" t="str" cm="1">
        <f t="array" aca="1" ref="E76" ca="1">INDIRECT(ADDRESS(1,A76,1,1,"all_city_parameter_inputs"))</f>
        <v>南美洲</v>
      </c>
      <c r="F76" s="6" t="str" cm="1">
        <f t="array" aca="1" ref="F76" ca="1">IF(AND(ISBLANK(INDIRECT(ADDRESS(B76,2,1,1,"all_city_parameter_inputs"))), ISBLANK(INDIRECT(ADDRESS(B76,1,1,1,"all_city_parameter_inputs")))), "", IF(ISBLANK(INDIRECT(ADDRESS(B76,1,1,1,"all_city_parameter_inputs"))), All_city_list!F75,INDIRECT(ADDRESS(B76,1,1,1,"all_city_parameter_inputs"))))</f>
        <v>distance_scalar_cycling</v>
      </c>
      <c r="G76" s="4" t="str" cm="1">
        <f t="array" aca="1" ref="G76" ca="1">IF(AND(ISBLANK(INDIRECT(ADDRESS(B76,3,1,1,"all_city_parameter_inputs"))),ISBLANK(INDIRECT(ADDRESS(B76,2,1,1,"all_city_parameter_inputs")))),"",IF(ISBLANK(INDIRECT(ADDRESS(B76,2,1,1,"all_city_parameter_inputs"))),"",INDIRECT(ADDRESS(B76,2,1,1,"all_city_parameter_inputs"))))</f>
        <v>constant</v>
      </c>
      <c r="H76" s="14" cm="1">
        <f t="array" aca="1" ref="H76" ca="1">IF(ISBLANK(INDIRECT(ADDRESS(B76,A76,1,1,"all_city_parameter_inputs"))), "--",INDIRECT(ADDRESS(B76,A76,1,1,"all_city_parameter_inputs")))</f>
        <v>1</v>
      </c>
      <c r="I76" s="14">
        <f ca="1">IF(OR(G76="alpha",G76="beta",G76="sd",G76="mean"),"--",VLOOKUP(C76,Default!$B$5:$H$114,7,FALSE))</f>
        <v>1</v>
      </c>
      <c r="J76" s="4" t="str">
        <f ca="1">VLOOKUP(F76,Lookup!$C$5:$D$110,2, FALSE)</f>
        <v>Travel values</v>
      </c>
      <c r="K76" s="4" t="str">
        <f ca="1">VLOOKUP(C76,Default!$B$4:$E$114,4, FALSE)</f>
        <v>scalar for cycling distance, i.e. all cycling trips are scaled by this scalar</v>
      </c>
      <c r="L76" s="18" t="str" cm="1">
        <f t="array" aca="1" ref="L76" ca="1">IF(ISNA(VLOOKUP($D76,Grouped_Sources!$C:$C,1,FALSE)),"", INDIRECT(VLOOKUP($D76,Grouped_Sources!$C:$I,5,FALSE)))</f>
        <v/>
      </c>
      <c r="M76" s="18" t="str" cm="1">
        <f t="array" aca="1" ref="M76" ca="1">IF(ISNA(VLOOKUP($D76,Grouped_Sources!$C:$C,1,FALSE)),"", INDIRECT(VLOOKUP($D76,Grouped_Sources!$C:$I,6,FALSE)))</f>
        <v/>
      </c>
      <c r="N76" s="18" t="str" cm="1">
        <f t="array" aca="1" ref="N76" ca="1">IF(ISNA(VLOOKUP($D76,Grouped_Sources!$C:$C,1,FALSE)),"", INDIRECT(VLOOKUP($D76,Grouped_Sources!$C:$I,7,FALSE)))</f>
        <v/>
      </c>
    </row>
    <row r="77" spans="1:14">
      <c r="A77" s="5">
        <v>3</v>
      </c>
      <c r="B77" s="5">
        <v>75</v>
      </c>
      <c r="C77" s="5" t="str">
        <f t="shared" ca="1" si="4"/>
        <v>distance_scalar_cycling</v>
      </c>
      <c r="D77" s="5" t="str">
        <f t="shared" ca="1" si="3"/>
        <v>distance_scalar_cycling_南美洲</v>
      </c>
      <c r="E77" s="4" t="str" cm="1">
        <f t="array" aca="1" ref="E77" ca="1">INDIRECT(ADDRESS(1,A77,1,1,"all_city_parameter_inputs"))</f>
        <v>南美洲</v>
      </c>
      <c r="F77" s="6" t="str" cm="1">
        <f t="array" aca="1" ref="F77" ca="1">IF(AND(ISBLANK(INDIRECT(ADDRESS(B77,2,1,1,"all_city_parameter_inputs"))), ISBLANK(INDIRECT(ADDRESS(B77,1,1,1,"all_city_parameter_inputs")))), "", IF(ISBLANK(INDIRECT(ADDRESS(B77,1,1,1,"all_city_parameter_inputs"))), All_city_list!F76,INDIRECT(ADDRESS(B77,1,1,1,"all_city_parameter_inputs"))))</f>
        <v>distance_scalar_cycling</v>
      </c>
      <c r="G77" s="4" t="str" cm="1">
        <f t="array" aca="1" ref="G77" ca="1">IF(AND(ISBLANK(INDIRECT(ADDRESS(B77,3,1,1,"all_city_parameter_inputs"))),ISBLANK(INDIRECT(ADDRESS(B77,2,1,1,"all_city_parameter_inputs")))),"",IF(ISBLANK(INDIRECT(ADDRESS(B77,2,1,1,"all_city_parameter_inputs"))),"",INDIRECT(ADDRESS(B77,2,1,1,"all_city_parameter_inputs"))))</f>
        <v>mean</v>
      </c>
      <c r="H77" s="14" t="str" cm="1">
        <f t="array" aca="1" ref="H77" ca="1">IF(ISBLANK(INDIRECT(ADDRESS(B77,A77,1,1,"all_city_parameter_inputs"))), "--",INDIRECT(ADDRESS(B77,A77,1,1,"all_city_parameter_inputs")))</f>
        <v>--</v>
      </c>
      <c r="I77" s="14" t="str">
        <f ca="1">IF(OR(G77="alpha",G77="beta",G77="sd",G77="mean"),"--",VLOOKUP(C77,Default!$B$5:$H$114,7,FALSE))</f>
        <v>--</v>
      </c>
      <c r="J77" s="4" t="str">
        <f ca="1">VLOOKUP(F77,Lookup!$C$5:$D$110,2, FALSE)</f>
        <v>Travel values</v>
      </c>
      <c r="K77" s="4" t="str">
        <f ca="1">VLOOKUP(C77,Default!$B$4:$E$114,4, FALSE)</f>
        <v>scalar for cycling distance, i.e. all cycling trips are scaled by this scalar</v>
      </c>
      <c r="L77" s="18" t="str" cm="1">
        <f t="array" aca="1" ref="L77" ca="1">IF(ISNA(VLOOKUP($D77,Grouped_Sources!$C:$C,1,FALSE)),"", INDIRECT(VLOOKUP($D77,Grouped_Sources!$C:$I,5,FALSE)))</f>
        <v/>
      </c>
      <c r="M77" s="18" t="str" cm="1">
        <f t="array" aca="1" ref="M77" ca="1">IF(ISNA(VLOOKUP($D77,Grouped_Sources!$C:$C,1,FALSE)),"", INDIRECT(VLOOKUP($D77,Grouped_Sources!$C:$I,6,FALSE)))</f>
        <v/>
      </c>
      <c r="N77" s="18" t="str" cm="1">
        <f t="array" aca="1" ref="N77" ca="1">IF(ISNA(VLOOKUP($D77,Grouped_Sources!$C:$C,1,FALSE)),"", INDIRECT(VLOOKUP($D77,Grouped_Sources!$C:$I,7,FALSE)))</f>
        <v/>
      </c>
    </row>
    <row r="78" spans="1:14">
      <c r="A78" s="5">
        <v>3</v>
      </c>
      <c r="B78" s="5">
        <v>76</v>
      </c>
      <c r="C78" s="5" t="str">
        <f t="shared" ca="1" si="4"/>
        <v>distance_scalar_cycling</v>
      </c>
      <c r="D78" s="5" t="str">
        <f t="shared" ca="1" si="3"/>
        <v>distance_scalar_cycling_南美洲</v>
      </c>
      <c r="E78" s="4" t="str" cm="1">
        <f t="array" aca="1" ref="E78" ca="1">INDIRECT(ADDRESS(1,A78,1,1,"all_city_parameter_inputs"))</f>
        <v>南美洲</v>
      </c>
      <c r="F78" s="6" t="str" cm="1">
        <f t="array" aca="1" ref="F78" ca="1">IF(AND(ISBLANK(INDIRECT(ADDRESS(B78,2,1,1,"all_city_parameter_inputs"))), ISBLANK(INDIRECT(ADDRESS(B78,1,1,1,"all_city_parameter_inputs")))), "", IF(ISBLANK(INDIRECT(ADDRESS(B78,1,1,1,"all_city_parameter_inputs"))), All_city_list!F77,INDIRECT(ADDRESS(B78,1,1,1,"all_city_parameter_inputs"))))</f>
        <v>distance_scalar_cycling</v>
      </c>
      <c r="G78" s="4" t="str" cm="1">
        <f t="array" aca="1" ref="G78" ca="1">IF(AND(ISBLANK(INDIRECT(ADDRESS(B78,3,1,1,"all_city_parameter_inputs"))),ISBLANK(INDIRECT(ADDRESS(B78,2,1,1,"all_city_parameter_inputs")))),"",IF(ISBLANK(INDIRECT(ADDRESS(B78,2,1,1,"all_city_parameter_inputs"))),"",INDIRECT(ADDRESS(B78,2,1,1,"all_city_parameter_inputs"))))</f>
        <v>sd</v>
      </c>
      <c r="H78" s="14" t="str" cm="1">
        <f t="array" aca="1" ref="H78" ca="1">IF(ISBLANK(INDIRECT(ADDRESS(B78,A78,1,1,"all_city_parameter_inputs"))), "--",INDIRECT(ADDRESS(B78,A78,1,1,"all_city_parameter_inputs")))</f>
        <v>--</v>
      </c>
      <c r="I78" s="14" t="str">
        <f ca="1">IF(OR(G78="alpha",G78="beta",G78="sd",G78="mean"),"--",VLOOKUP(C78,Default!$B$5:$H$114,7,FALSE))</f>
        <v>--</v>
      </c>
      <c r="J78" s="4" t="str">
        <f ca="1">VLOOKUP(F78,Lookup!$C$5:$D$110,2, FALSE)</f>
        <v>Travel values</v>
      </c>
      <c r="K78" s="4" t="str">
        <f ca="1">VLOOKUP(C78,Default!$B$4:$E$114,4, FALSE)</f>
        <v>scalar for cycling distance, i.e. all cycling trips are scaled by this scalar</v>
      </c>
      <c r="L78" s="54" t="s">
        <v>144</v>
      </c>
      <c r="M78" s="34" t="s">
        <v>145</v>
      </c>
      <c r="N78" s="18"/>
    </row>
    <row r="79" spans="1:14">
      <c r="A79" s="5">
        <v>3</v>
      </c>
      <c r="B79" s="5">
        <v>77</v>
      </c>
      <c r="C79" s="5" t="str">
        <f t="shared" ca="1" si="4"/>
        <v>CO2_emission_inventories motorcycle</v>
      </c>
      <c r="D79" s="5" t="str">
        <f t="shared" ca="1" si="3"/>
        <v>CO2_emission_inventories_南美洲</v>
      </c>
      <c r="E79" s="4" t="str" cm="1">
        <f t="array" aca="1" ref="E79" ca="1">INDIRECT(ADDRESS(1,A79,1,1,"all_city_parameter_inputs"))</f>
        <v>南美洲</v>
      </c>
      <c r="F79" s="6" t="str" cm="1">
        <f t="array" aca="1" ref="F79" ca="1">IF(AND(ISBLANK(INDIRECT(ADDRESS(B79,2,1,1,"all_city_parameter_inputs"))), ISBLANK(INDIRECT(ADDRESS(B79,1,1,1,"all_city_parameter_inputs")))), "", IF(ISBLANK(INDIRECT(ADDRESS(B79,1,1,1,"all_city_parameter_inputs"))), All_city_list!F78,INDIRECT(ADDRESS(B79,1,1,1,"all_city_parameter_inputs"))))</f>
        <v>CO2_emission_inventories</v>
      </c>
      <c r="G79" s="4" t="str" cm="1">
        <f t="array" aca="1" ref="G79" ca="1">IF(AND(ISBLANK(INDIRECT(ADDRESS(B79,3,1,1,"all_city_parameter_inputs"))),ISBLANK(INDIRECT(ADDRESS(B79,2,1,1,"all_city_parameter_inputs")))),"",IF(ISBLANK(INDIRECT(ADDRESS(B79,2,1,1,"all_city_parameter_inputs"))),"",INDIRECT(ADDRESS(B79,2,1,1,"all_city_parameter_inputs"))))</f>
        <v>motorcycle</v>
      </c>
      <c r="H79" s="14" cm="1">
        <f t="array" aca="1" ref="H79" ca="1">IF(ISBLANK(INDIRECT(ADDRESS(B79,A79,1,1,"all_city_parameter_inputs"))), "--",INDIRECT(ADDRESS(B79,A79,1,1,"all_city_parameter_inputs")))</f>
        <v>3340.8173200000001</v>
      </c>
      <c r="I79" s="14">
        <f ca="1">IF(OR(G79="alpha",G79="beta",G79="sd",G79="mean"),"--",VLOOKUP(C79,Default!$B$5:$H$114,7,FALSE))</f>
        <v>30033.571810000001</v>
      </c>
      <c r="J79" s="4" t="str">
        <f ca="1">VLOOKUP(F79,Lookup!$C$5:$D$110,2, FALSE)</f>
        <v>Pollution values</v>
      </c>
      <c r="K79" s="4" t="str">
        <f ca="1">VLOOKUP(C79,Default!$B$4:$E$114,4, FALSE)</f>
        <v>- used to estimate the CO2 for scenarios (function "scenario_co2_calculations").
- used to create the VEHICLE_INVENTORY, with speeds, PM and CO2 emissions (function "set_vehicle_inventory").</v>
      </c>
      <c r="L79" s="18" t="str" cm="1">
        <f t="array" aca="1" ref="L79" ca="1">IF(ISNA(VLOOKUP($D79,Grouped_Sources!$C:$C,1,FALSE)),"", INDIRECT(VLOOKUP($D79,Grouped_Sources!$C:$I,5,FALSE)))</f>
        <v/>
      </c>
      <c r="M79" s="18" t="str" cm="1">
        <f t="array" aca="1" ref="M79" ca="1">IF(ISNA(VLOOKUP($D79,Grouped_Sources!$C:$C,1,FALSE)),"", INDIRECT(VLOOKUP($D79,Grouped_Sources!$C:$I,6,FALSE)))</f>
        <v/>
      </c>
      <c r="N79" s="18" t="str" cm="1">
        <f t="array" aca="1" ref="N79" ca="1">IF(ISNA(VLOOKUP($D79,Grouped_Sources!$C:$C,1,FALSE)),"", INDIRECT(VLOOKUP($D79,Grouped_Sources!$C:$I,7,FALSE)))</f>
        <v/>
      </c>
    </row>
    <row r="80" spans="1:14">
      <c r="A80" s="5">
        <v>3</v>
      </c>
      <c r="B80" s="5">
        <v>78</v>
      </c>
      <c r="C80" s="5" t="str">
        <f t="shared" ca="1" si="4"/>
        <v>CO2_emission_inventories car</v>
      </c>
      <c r="D80" s="5" t="str">
        <f t="shared" ca="1" si="3"/>
        <v>CO2_emission_inventories_南美洲</v>
      </c>
      <c r="E80" s="4" t="str" cm="1">
        <f t="array" aca="1" ref="E80" ca="1">INDIRECT(ADDRESS(1,A80,1,1,"all_city_parameter_inputs"))</f>
        <v>南美洲</v>
      </c>
      <c r="F80" s="6" t="str" cm="1">
        <f t="array" aca="1" ref="F80" ca="1">IF(AND(ISBLANK(INDIRECT(ADDRESS(B80,2,1,1,"all_city_parameter_inputs"))), ISBLANK(INDIRECT(ADDRESS(B80,1,1,1,"all_city_parameter_inputs")))), "", IF(ISBLANK(INDIRECT(ADDRESS(B80,1,1,1,"all_city_parameter_inputs"))), All_city_list!F79,INDIRECT(ADDRESS(B80,1,1,1,"all_city_parameter_inputs"))))</f>
        <v>CO2_emission_inventories</v>
      </c>
      <c r="G80" s="4" t="str" cm="1">
        <f t="array" aca="1" ref="G80" ca="1">IF(AND(ISBLANK(INDIRECT(ADDRESS(B80,3,1,1,"all_city_parameter_inputs"))),ISBLANK(INDIRECT(ADDRESS(B80,2,1,1,"all_city_parameter_inputs")))),"",IF(ISBLANK(INDIRECT(ADDRESS(B80,2,1,1,"all_city_parameter_inputs"))),"",INDIRECT(ADDRESS(B80,2,1,1,"all_city_parameter_inputs"))))</f>
        <v>car</v>
      </c>
      <c r="H80" s="14" cm="1">
        <f t="array" aca="1" ref="H80" ca="1">IF(ISBLANK(INDIRECT(ADDRESS(B80,A80,1,1,"all_city_parameter_inputs"))), "--",INDIRECT(ADDRESS(B80,A80,1,1,"all_city_parameter_inputs")))</f>
        <v>278221.03999999998</v>
      </c>
      <c r="I80" s="14">
        <f ca="1">IF(OR(G80="alpha",G80="beta",G80="sd",G80="mean"),"--",VLOOKUP(C80,Default!$B$5:$H$114,7,FALSE))</f>
        <v>1033377.341</v>
      </c>
      <c r="J80" s="4" t="str">
        <f ca="1">VLOOKUP(F80,Lookup!$C$5:$D$110,2, FALSE)</f>
        <v>Pollution values</v>
      </c>
      <c r="K80" s="4">
        <f ca="1">VLOOKUP(C80,Default!$B$4:$E$114,4, FALSE)</f>
        <v>0</v>
      </c>
      <c r="L80" s="18" t="str" cm="1">
        <f t="array" aca="1" ref="L80" ca="1">IF(ISNA(VLOOKUP($D80,Grouped_Sources!$C:$C,1,FALSE)),"", INDIRECT(VLOOKUP($D80,Grouped_Sources!$C:$I,5,FALSE)))</f>
        <v/>
      </c>
      <c r="M80" s="18" t="str" cm="1">
        <f t="array" aca="1" ref="M80" ca="1">IF(ISNA(VLOOKUP($D80,Grouped_Sources!$C:$C,1,FALSE)),"", INDIRECT(VLOOKUP($D80,Grouped_Sources!$C:$I,6,FALSE)))</f>
        <v/>
      </c>
      <c r="N80" s="18" t="str" cm="1">
        <f t="array" aca="1" ref="N80" ca="1">IF(ISNA(VLOOKUP($D80,Grouped_Sources!$C:$C,1,FALSE)),"", INDIRECT(VLOOKUP($D80,Grouped_Sources!$C:$I,7,FALSE)))</f>
        <v/>
      </c>
    </row>
    <row r="81" spans="1:14">
      <c r="A81" s="5">
        <v>3</v>
      </c>
      <c r="B81" s="5">
        <v>79</v>
      </c>
      <c r="C81" s="5" t="str">
        <f t="shared" ca="1" si="4"/>
        <v>CO2_emission_inventories bus_driver</v>
      </c>
      <c r="D81" s="5" t="str">
        <f t="shared" ca="1" si="3"/>
        <v>CO2_emission_inventories_南美洲</v>
      </c>
      <c r="E81" s="4" t="str" cm="1">
        <f t="array" aca="1" ref="E81" ca="1">INDIRECT(ADDRESS(1,A81,1,1,"all_city_parameter_inputs"))</f>
        <v>南美洲</v>
      </c>
      <c r="F81" s="6" t="str" cm="1">
        <f t="array" aca="1" ref="F81" ca="1">IF(AND(ISBLANK(INDIRECT(ADDRESS(B81,2,1,1,"all_city_parameter_inputs"))), ISBLANK(INDIRECT(ADDRESS(B81,1,1,1,"all_city_parameter_inputs")))), "", IF(ISBLANK(INDIRECT(ADDRESS(B81,1,1,1,"all_city_parameter_inputs"))), All_city_list!F80,INDIRECT(ADDRESS(B81,1,1,1,"all_city_parameter_inputs"))))</f>
        <v>CO2_emission_inventories</v>
      </c>
      <c r="G81" s="4" t="str" cm="1">
        <f t="array" aca="1" ref="G81" ca="1">IF(AND(ISBLANK(INDIRECT(ADDRESS(B81,3,1,1,"all_city_parameter_inputs"))),ISBLANK(INDIRECT(ADDRESS(B81,2,1,1,"all_city_parameter_inputs")))),"",IF(ISBLANK(INDIRECT(ADDRESS(B81,2,1,1,"all_city_parameter_inputs"))),"",INDIRECT(ADDRESS(B81,2,1,1,"all_city_parameter_inputs"))))</f>
        <v>bus_driver</v>
      </c>
      <c r="H81" s="14" cm="1">
        <f t="array" aca="1" ref="H81" ca="1">IF(ISBLANK(INDIRECT(ADDRESS(B81,A81,1,1,"all_city_parameter_inputs"))), "--",INDIRECT(ADDRESS(B81,A81,1,1,"all_city_parameter_inputs")))</f>
        <v>163823.92000000001</v>
      </c>
      <c r="I81" s="14">
        <f ca="1">IF(OR(G81="alpha",G81="beta",G81="sd",G81="mean"),"--",VLOOKUP(C81,Default!$B$5:$H$114,7,FALSE))</f>
        <v>100429.7216</v>
      </c>
      <c r="J81" s="4" t="str">
        <f ca="1">VLOOKUP(F81,Lookup!$C$5:$D$110,2, FALSE)</f>
        <v>Pollution values</v>
      </c>
      <c r="K81" s="4">
        <f ca="1">VLOOKUP(C81,Default!$B$4:$E$114,4, FALSE)</f>
        <v>0</v>
      </c>
      <c r="L81" s="18" t="str" cm="1">
        <f t="array" aca="1" ref="L81" ca="1">IF(ISNA(VLOOKUP($D81,Grouped_Sources!$C:$C,1,FALSE)),"", INDIRECT(VLOOKUP($D81,Grouped_Sources!$C:$I,5,FALSE)))</f>
        <v/>
      </c>
      <c r="M81" s="18" t="str" cm="1">
        <f t="array" aca="1" ref="M81" ca="1">IF(ISNA(VLOOKUP($D81,Grouped_Sources!$C:$C,1,FALSE)),"", INDIRECT(VLOOKUP($D81,Grouped_Sources!$C:$I,6,FALSE)))</f>
        <v/>
      </c>
      <c r="N81" s="18" t="str" cm="1">
        <f t="array" aca="1" ref="N81" ca="1">IF(ISNA(VLOOKUP($D81,Grouped_Sources!$C:$C,1,FALSE)),"", INDIRECT(VLOOKUP($D81,Grouped_Sources!$C:$I,7,FALSE)))</f>
        <v/>
      </c>
    </row>
    <row r="82" spans="1:14">
      <c r="A82" s="5">
        <v>3</v>
      </c>
      <c r="B82" s="5">
        <v>80</v>
      </c>
      <c r="C82" s="5" t="str">
        <f t="shared" ca="1" si="4"/>
        <v>CO2_emission_inventories heavy_truck</v>
      </c>
      <c r="D82" s="5" t="str">
        <f t="shared" ref="D82:D90" ca="1" si="5">F82&amp;"_"&amp;E82</f>
        <v>CO2_emission_inventories_南美洲</v>
      </c>
      <c r="E82" s="4" t="str" cm="1">
        <f t="array" aca="1" ref="E82" ca="1">INDIRECT(ADDRESS(1,A82,1,1,"all_city_parameter_inputs"))</f>
        <v>南美洲</v>
      </c>
      <c r="F82" s="6" t="str" cm="1">
        <f t="array" aca="1" ref="F82" ca="1">IF(AND(ISBLANK(INDIRECT(ADDRESS(B82,2,1,1,"all_city_parameter_inputs"))), ISBLANK(INDIRECT(ADDRESS(B82,1,1,1,"all_city_parameter_inputs")))), "", IF(ISBLANK(INDIRECT(ADDRESS(B82,1,1,1,"all_city_parameter_inputs"))), All_city_list!F81,INDIRECT(ADDRESS(B82,1,1,1,"all_city_parameter_inputs"))))</f>
        <v>CO2_emission_inventories</v>
      </c>
      <c r="G82" s="4" t="str" cm="1">
        <f t="array" aca="1" ref="G82" ca="1">IF(AND(ISBLANK(INDIRECT(ADDRESS(B82,3,1,1,"all_city_parameter_inputs"))),ISBLANK(INDIRECT(ADDRESS(B82,2,1,1,"all_city_parameter_inputs")))),"",IF(ISBLANK(INDIRECT(ADDRESS(B82,2,1,1,"all_city_parameter_inputs"))),"",INDIRECT(ADDRESS(B82,2,1,1,"all_city_parameter_inputs"))))</f>
        <v>heavy_truck</v>
      </c>
      <c r="H82" s="14" cm="1">
        <f t="array" aca="1" ref="H82" ca="1">IF(ISBLANK(INDIRECT(ADDRESS(B82,A82,1,1,"all_city_parameter_inputs"))), "--",INDIRECT(ADDRESS(B82,A82,1,1,"all_city_parameter_inputs")))</f>
        <v>1033752.25</v>
      </c>
      <c r="I82" s="14">
        <f ca="1">IF(OR(G82="alpha",G82="beta",G82="sd",G82="mean"),"--",VLOOKUP(C82,Default!$B$5:$H$114,7,FALSE))</f>
        <v>259655.32449999999</v>
      </c>
      <c r="J82" s="4" t="str">
        <f ca="1">VLOOKUP(F82,Lookup!$C$5:$D$110,2, FALSE)</f>
        <v>Pollution values</v>
      </c>
      <c r="K82" s="4">
        <f ca="1">VLOOKUP(C82,Default!$B$4:$E$114,4, FALSE)</f>
        <v>0</v>
      </c>
      <c r="L82" s="18" t="str" cm="1">
        <f t="array" aca="1" ref="L82" ca="1">IF(ISNA(VLOOKUP($D82,Grouped_Sources!$C:$C,1,FALSE)),"", INDIRECT(VLOOKUP($D82,Grouped_Sources!$C:$I,5,FALSE)))</f>
        <v/>
      </c>
      <c r="M82" s="18" t="str" cm="1">
        <f t="array" aca="1" ref="M82" ca="1">IF(ISNA(VLOOKUP($D82,Grouped_Sources!$C:$C,1,FALSE)),"", INDIRECT(VLOOKUP($D82,Grouped_Sources!$C:$I,6,FALSE)))</f>
        <v/>
      </c>
      <c r="N82" s="18" t="str" cm="1">
        <f t="array" aca="1" ref="N82" ca="1">IF(ISNA(VLOOKUP($D82,Grouped_Sources!$C:$C,1,FALSE)),"", INDIRECT(VLOOKUP($D82,Grouped_Sources!$C:$I,7,FALSE)))</f>
        <v/>
      </c>
    </row>
    <row r="83" spans="1:14">
      <c r="A83" s="5">
        <v>3</v>
      </c>
      <c r="B83" s="5">
        <v>81</v>
      </c>
      <c r="C83" s="5" t="str">
        <f t="shared" ca="1" si="4"/>
        <v>CO2_emission_inventories truck</v>
      </c>
      <c r="D83" s="5" t="str">
        <f t="shared" ca="1" si="5"/>
        <v>CO2_emission_inventories_南美洲</v>
      </c>
      <c r="E83" s="4" t="str" cm="1">
        <f t="array" aca="1" ref="E83" ca="1">INDIRECT(ADDRESS(1,A83,1,1,"all_city_parameter_inputs"))</f>
        <v>南美洲</v>
      </c>
      <c r="F83" s="6" t="str" cm="1">
        <f t="array" aca="1" ref="F83" ca="1">IF(AND(ISBLANK(INDIRECT(ADDRESS(B83,2,1,1,"all_city_parameter_inputs"))), ISBLANK(INDIRECT(ADDRESS(B83,1,1,1,"all_city_parameter_inputs")))), "", IF(ISBLANK(INDIRECT(ADDRESS(B83,1,1,1,"all_city_parameter_inputs"))), All_city_list!F82,INDIRECT(ADDRESS(B83,1,1,1,"all_city_parameter_inputs"))))</f>
        <v>CO2_emission_inventories</v>
      </c>
      <c r="G83" s="4" t="str" cm="1">
        <f t="array" aca="1" ref="G83" ca="1">IF(AND(ISBLANK(INDIRECT(ADDRESS(B83,3,1,1,"all_city_parameter_inputs"))),ISBLANK(INDIRECT(ADDRESS(B83,2,1,1,"all_city_parameter_inputs")))),"",IF(ISBLANK(INDIRECT(ADDRESS(B83,2,1,1,"all_city_parameter_inputs"))),"",INDIRECT(ADDRESS(B83,2,1,1,"all_city_parameter_inputs"))))</f>
        <v>truck</v>
      </c>
      <c r="H83" s="14" cm="1">
        <f t="array" aca="1" ref="H83" ca="1">IF(ISBLANK(INDIRECT(ADDRESS(B83,A83,1,1,"all_city_parameter_inputs"))), "--",INDIRECT(ADDRESS(B83,A83,1,1,"all_city_parameter_inputs")))</f>
        <v>371604.37</v>
      </c>
      <c r="I83" s="14">
        <f ca="1">IF(OR(G83="alpha",G83="beta",G83="sd",G83="mean"),"--",VLOOKUP(C83,Default!$B$5:$H$114,7,FALSE))</f>
        <v>163516.11319999999</v>
      </c>
      <c r="J83" s="4" t="str">
        <f ca="1">VLOOKUP(F83,Lookup!$C$5:$D$110,2, FALSE)</f>
        <v>Pollution values</v>
      </c>
      <c r="K83" s="4">
        <f ca="1">VLOOKUP(C83,Default!$B$4:$E$114,4, FALSE)</f>
        <v>0</v>
      </c>
      <c r="L83" s="18" t="str" cm="1">
        <f t="array" aca="1" ref="L83" ca="1">IF(ISNA(VLOOKUP($D83,Grouped_Sources!$C:$C,1,FALSE)),"", INDIRECT(VLOOKUP($D83,Grouped_Sources!$C:$I,5,FALSE)))</f>
        <v/>
      </c>
      <c r="M83" s="18" t="str" cm="1">
        <f t="array" aca="1" ref="M83" ca="1">IF(ISNA(VLOOKUP($D83,Grouped_Sources!$C:$C,1,FALSE)),"", INDIRECT(VLOOKUP($D83,Grouped_Sources!$C:$I,6,FALSE)))</f>
        <v/>
      </c>
      <c r="N83" s="18" t="str" cm="1">
        <f t="array" aca="1" ref="N83" ca="1">IF(ISNA(VLOOKUP($D83,Grouped_Sources!$C:$C,1,FALSE)),"", INDIRECT(VLOOKUP($D83,Grouped_Sources!$C:$I,7,FALSE)))</f>
        <v/>
      </c>
    </row>
    <row r="84" spans="1:14">
      <c r="A84" s="5">
        <v>3</v>
      </c>
      <c r="B84" s="5">
        <v>82</v>
      </c>
      <c r="C84" s="5" t="str">
        <f t="shared" ca="1" si="4"/>
        <v>CO2_emission_inventories van</v>
      </c>
      <c r="D84" s="5" t="str">
        <f t="shared" ca="1" si="5"/>
        <v>CO2_emission_inventories_南美洲</v>
      </c>
      <c r="E84" s="4" t="str" cm="1">
        <f t="array" aca="1" ref="E84" ca="1">INDIRECT(ADDRESS(1,A84,1,1,"all_city_parameter_inputs"))</f>
        <v>南美洲</v>
      </c>
      <c r="F84" s="6" t="str" cm="1">
        <f t="array" aca="1" ref="F84" ca="1">IF(AND(ISBLANK(INDIRECT(ADDRESS(B84,2,1,1,"all_city_parameter_inputs"))), ISBLANK(INDIRECT(ADDRESS(B84,1,1,1,"all_city_parameter_inputs")))), "", IF(ISBLANK(INDIRECT(ADDRESS(B84,1,1,1,"all_city_parameter_inputs"))), All_city_list!F83,INDIRECT(ADDRESS(B84,1,1,1,"all_city_parameter_inputs"))))</f>
        <v>CO2_emission_inventories</v>
      </c>
      <c r="G84" s="4" t="str" cm="1">
        <f t="array" aca="1" ref="G84" ca="1">IF(AND(ISBLANK(INDIRECT(ADDRESS(B84,3,1,1,"all_city_parameter_inputs"))),ISBLANK(INDIRECT(ADDRESS(B84,2,1,1,"all_city_parameter_inputs")))),"",IF(ISBLANK(INDIRECT(ADDRESS(B84,2,1,1,"all_city_parameter_inputs"))),"",INDIRECT(ADDRESS(B84,2,1,1,"all_city_parameter_inputs"))))</f>
        <v>van</v>
      </c>
      <c r="H84" s="14" t="str" cm="1">
        <f t="array" aca="1" ref="H84" ca="1">IF(ISBLANK(INDIRECT(ADDRESS(B84,A84,1,1,"all_city_parameter_inputs"))), "--",INDIRECT(ADDRESS(B84,A84,1,1,"all_city_parameter_inputs")))</f>
        <v>--</v>
      </c>
      <c r="I84" s="14">
        <f ca="1">IF(OR(G84="alpha",G84="beta",G84="sd",G84="mean"),"--",VLOOKUP(C84,Default!$B$5:$H$114,7,FALSE))</f>
        <v>0</v>
      </c>
      <c r="J84" s="4" t="str">
        <f ca="1">VLOOKUP(F84,Lookup!$C$5:$D$110,2, FALSE)</f>
        <v>Pollution values</v>
      </c>
      <c r="K84" s="4">
        <f ca="1">VLOOKUP(C84,Default!$B$4:$E$114,4, FALSE)</f>
        <v>0</v>
      </c>
      <c r="L84" s="18" t="str" cm="1">
        <f t="array" aca="1" ref="L84" ca="1">IF(ISNA(VLOOKUP($D84,Grouped_Sources!$C:$C,1,FALSE)),"", INDIRECT(VLOOKUP($D84,Grouped_Sources!$C:$I,5,FALSE)))</f>
        <v/>
      </c>
      <c r="M84" s="18" t="str" cm="1">
        <f t="array" aca="1" ref="M84" ca="1">IF(ISNA(VLOOKUP($D84,Grouped_Sources!$C:$C,1,FALSE)),"", INDIRECT(VLOOKUP($D84,Grouped_Sources!$C:$I,6,FALSE)))</f>
        <v/>
      </c>
      <c r="N84" s="18" t="str" cm="1">
        <f t="array" aca="1" ref="N84" ca="1">IF(ISNA(VLOOKUP($D84,Grouped_Sources!$C:$C,1,FALSE)),"", INDIRECT(VLOOKUP($D84,Grouped_Sources!$C:$I,7,FALSE)))</f>
        <v/>
      </c>
    </row>
    <row r="85" spans="1:14">
      <c r="A85" s="5">
        <v>3</v>
      </c>
      <c r="B85" s="5">
        <v>83</v>
      </c>
      <c r="C85" s="5" t="str">
        <f t="shared" ca="1" si="4"/>
        <v>CO2_emission_inventories other</v>
      </c>
      <c r="D85" s="5" t="str">
        <f t="shared" ca="1" si="5"/>
        <v>CO2_emission_inventories_南美洲</v>
      </c>
      <c r="E85" s="4" t="str" cm="1">
        <f t="array" aca="1" ref="E85" ca="1">INDIRECT(ADDRESS(1,A85,1,1,"all_city_parameter_inputs"))</f>
        <v>南美洲</v>
      </c>
      <c r="F85" s="6" t="str" cm="1">
        <f t="array" aca="1" ref="F85" ca="1">IF(AND(ISBLANK(INDIRECT(ADDRESS(B85,2,1,1,"all_city_parameter_inputs"))), ISBLANK(INDIRECT(ADDRESS(B85,1,1,1,"all_city_parameter_inputs")))), "", IF(ISBLANK(INDIRECT(ADDRESS(B85,1,1,1,"all_city_parameter_inputs"))), All_city_list!F84,INDIRECT(ADDRESS(B85,1,1,1,"all_city_parameter_inputs"))))</f>
        <v>CO2_emission_inventories</v>
      </c>
      <c r="G85" s="4" t="str" cm="1">
        <f t="array" aca="1" ref="G85" ca="1">IF(AND(ISBLANK(INDIRECT(ADDRESS(B85,3,1,1,"all_city_parameter_inputs"))),ISBLANK(INDIRECT(ADDRESS(B85,2,1,1,"all_city_parameter_inputs")))),"",IF(ISBLANK(INDIRECT(ADDRESS(B85,2,1,1,"all_city_parameter_inputs"))),"",INDIRECT(ADDRESS(B85,2,1,1,"all_city_parameter_inputs"))))</f>
        <v>other</v>
      </c>
      <c r="H85" s="14" t="str" cm="1">
        <f t="array" aca="1" ref="H85" ca="1">IF(ISBLANK(INDIRECT(ADDRESS(B85,A85,1,1,"all_city_parameter_inputs"))), "--",INDIRECT(ADDRESS(B85,A85,1,1,"all_city_parameter_inputs")))</f>
        <v>--</v>
      </c>
      <c r="I85" s="14">
        <f ca="1">IF(OR(G85="alpha",G85="beta",G85="sd",G85="mean"),"--",VLOOKUP(C85,Default!$B$5:$H$114,7,FALSE))</f>
        <v>1906.893448</v>
      </c>
      <c r="J85" s="4" t="str">
        <f ca="1">VLOOKUP(F85,Lookup!$C$5:$D$110,2, FALSE)</f>
        <v>Pollution values</v>
      </c>
      <c r="K85" s="4">
        <f ca="1">VLOOKUP(C85,Default!$B$4:$E$114,4, FALSE)</f>
        <v>0</v>
      </c>
      <c r="L85" s="18" t="str" cm="1">
        <f t="array" aca="1" ref="L85" ca="1">IF(ISNA(VLOOKUP($D85,Grouped_Sources!$C:$C,1,FALSE)),"", INDIRECT(VLOOKUP($D85,Grouped_Sources!$C:$I,5,FALSE)))</f>
        <v/>
      </c>
      <c r="M85" s="18" t="str" cm="1">
        <f t="array" aca="1" ref="M85" ca="1">IF(ISNA(VLOOKUP($D85,Grouped_Sources!$C:$C,1,FALSE)),"", INDIRECT(VLOOKUP($D85,Grouped_Sources!$C:$I,6,FALSE)))</f>
        <v/>
      </c>
      <c r="N85" s="18" t="str" cm="1">
        <f t="array" aca="1" ref="N85" ca="1">IF(ISNA(VLOOKUP($D85,Grouped_Sources!$C:$C,1,FALSE)),"", INDIRECT(VLOOKUP($D85,Grouped_Sources!$C:$I,7,FALSE)))</f>
        <v/>
      </c>
    </row>
    <row r="86" spans="1:14">
      <c r="A86" s="5">
        <v>3</v>
      </c>
      <c r="B86" s="5">
        <v>84</v>
      </c>
      <c r="C86" s="5" t="str">
        <f t="shared" ca="1" si="4"/>
        <v>CO2_emission_inventories taxi</v>
      </c>
      <c r="D86" s="5" t="str">
        <f t="shared" ca="1" si="5"/>
        <v>CO2_emission_inventories_南美洲</v>
      </c>
      <c r="E86" s="4" t="str" cm="1">
        <f t="array" aca="1" ref="E86" ca="1">INDIRECT(ADDRESS(1,A86,1,1,"all_city_parameter_inputs"))</f>
        <v>南美洲</v>
      </c>
      <c r="F86" s="6" t="str" cm="1">
        <f t="array" aca="1" ref="F86" ca="1">IF(AND(ISBLANK(INDIRECT(ADDRESS(B86,2,1,1,"all_city_parameter_inputs"))), ISBLANK(INDIRECT(ADDRESS(B86,1,1,1,"all_city_parameter_inputs")))), "", IF(ISBLANK(INDIRECT(ADDRESS(B86,1,1,1,"all_city_parameter_inputs"))), All_city_list!F85,INDIRECT(ADDRESS(B86,1,1,1,"all_city_parameter_inputs"))))</f>
        <v>CO2_emission_inventories</v>
      </c>
      <c r="G86" s="4" t="str" cm="1">
        <f t="array" aca="1" ref="G86" ca="1">IF(AND(ISBLANK(INDIRECT(ADDRESS(B86,3,1,1,"all_city_parameter_inputs"))),ISBLANK(INDIRECT(ADDRESS(B86,2,1,1,"all_city_parameter_inputs")))),"",IF(ISBLANK(INDIRECT(ADDRESS(B86,2,1,1,"all_city_parameter_inputs"))),"",INDIRECT(ADDRESS(B86,2,1,1,"all_city_parameter_inputs"))))</f>
        <v>taxi</v>
      </c>
      <c r="H86" s="14" t="str" cm="1">
        <f t="array" aca="1" ref="H86" ca="1">IF(ISBLANK(INDIRECT(ADDRESS(B86,A86,1,1,"all_city_parameter_inputs"))), "--",INDIRECT(ADDRESS(B86,A86,1,1,"all_city_parameter_inputs")))</f>
        <v>--</v>
      </c>
      <c r="I86" s="14">
        <f ca="1">IF(OR(G86="alpha",G86="beta",G86="sd",G86="mean"),"--",VLOOKUP(C86,Default!$B$5:$H$114,7,FALSE))</f>
        <v>0</v>
      </c>
      <c r="J86" s="4" t="str">
        <f ca="1">VLOOKUP(F86,Lookup!$C$5:$D$110,2, FALSE)</f>
        <v>Pollution values</v>
      </c>
      <c r="K86" s="4">
        <f ca="1">VLOOKUP(C86,Default!$B$4:$E$114,4, FALSE)</f>
        <v>0</v>
      </c>
      <c r="L86" s="18" t="str" cm="1">
        <f t="array" aca="1" ref="L86" ca="1">IF(ISNA(VLOOKUP($D86,Grouped_Sources!$C:$C,1,FALSE)),"", INDIRECT(VLOOKUP($D86,Grouped_Sources!$C:$I,5,FALSE)))</f>
        <v/>
      </c>
      <c r="M86" s="18" t="str" cm="1">
        <f t="array" aca="1" ref="M86" ca="1">IF(ISNA(VLOOKUP($D86,Grouped_Sources!$C:$C,1,FALSE)),"", INDIRECT(VLOOKUP($D86,Grouped_Sources!$C:$I,6,FALSE)))</f>
        <v/>
      </c>
      <c r="N86" s="18" t="str" cm="1">
        <f t="array" aca="1" ref="N86" ca="1">IF(ISNA(VLOOKUP($D86,Grouped_Sources!$C:$C,1,FALSE)),"", INDIRECT(VLOOKUP($D86,Grouped_Sources!$C:$I,7,FALSE)))</f>
        <v/>
      </c>
    </row>
    <row r="87" spans="1:14">
      <c r="A87" s="5">
        <v>3</v>
      </c>
      <c r="B87" s="5">
        <v>85</v>
      </c>
      <c r="C87" s="5" t="str">
        <f t="shared" ca="1" si="4"/>
        <v>CO2_emission_inventories auto_rickshaw</v>
      </c>
      <c r="D87" s="5" t="str">
        <f t="shared" ca="1" si="5"/>
        <v>CO2_emission_inventories_南美洲</v>
      </c>
      <c r="E87" s="4" t="str" cm="1">
        <f t="array" aca="1" ref="E87" ca="1">INDIRECT(ADDRESS(1,A87,1,1,"all_city_parameter_inputs"))</f>
        <v>南美洲</v>
      </c>
      <c r="F87" s="6" t="str" cm="1">
        <f t="array" aca="1" ref="F87" ca="1">IF(AND(ISBLANK(INDIRECT(ADDRESS(B87,2,1,1,"all_city_parameter_inputs"))), ISBLANK(INDIRECT(ADDRESS(B87,1,1,1,"all_city_parameter_inputs")))), "", IF(ISBLANK(INDIRECT(ADDRESS(B87,1,1,1,"all_city_parameter_inputs"))), All_city_list!F86,INDIRECT(ADDRESS(B87,1,1,1,"all_city_parameter_inputs"))))</f>
        <v>CO2_emission_inventories</v>
      </c>
      <c r="G87" s="4" t="str" cm="1">
        <f t="array" aca="1" ref="G87" ca="1">IF(AND(ISBLANK(INDIRECT(ADDRESS(B87,3,1,1,"all_city_parameter_inputs"))),ISBLANK(INDIRECT(ADDRESS(B87,2,1,1,"all_city_parameter_inputs")))),"",IF(ISBLANK(INDIRECT(ADDRESS(B87,2,1,1,"all_city_parameter_inputs"))),"",INDIRECT(ADDRESS(B87,2,1,1,"all_city_parameter_inputs"))))</f>
        <v>auto_rickshaw</v>
      </c>
      <c r="H87" s="14" t="str" cm="1">
        <f t="array" aca="1" ref="H87" ca="1">IF(ISBLANK(INDIRECT(ADDRESS(B87,A87,1,1,"all_city_parameter_inputs"))), "--",INDIRECT(ADDRESS(B87,A87,1,1,"all_city_parameter_inputs")))</f>
        <v>--</v>
      </c>
      <c r="I87" s="14">
        <f ca="1">IF(OR(G87="alpha",G87="beta",G87="sd",G87="mean"),"--",VLOOKUP(C87,Default!$B$5:$H$114,7,FALSE))</f>
        <v>0</v>
      </c>
      <c r="J87" s="4" t="str">
        <f ca="1">VLOOKUP(F87,Lookup!$C$5:$D$110,2, FALSE)</f>
        <v>Pollution values</v>
      </c>
      <c r="K87" s="4">
        <f ca="1">VLOOKUP(C87,Default!$B$4:$E$114,4, FALSE)</f>
        <v>0</v>
      </c>
      <c r="L87" s="34" t="s">
        <v>163</v>
      </c>
      <c r="M87" s="18"/>
      <c r="N87" s="18"/>
    </row>
    <row r="88" spans="1:14">
      <c r="A88" s="5">
        <v>3</v>
      </c>
      <c r="B88" s="5">
        <v>86</v>
      </c>
      <c r="C88" s="5" t="str">
        <f t="shared" ca="1" si="4"/>
        <v>CO2_emission_confidence</v>
      </c>
      <c r="D88" s="5" t="str">
        <f t="shared" ca="1" si="5"/>
        <v>CO2_emission_confidence_南美洲</v>
      </c>
      <c r="E88" s="4" t="str" cm="1">
        <f t="array" aca="1" ref="E88" ca="1">INDIRECT(ADDRESS(1,A88,1,1,"all_city_parameter_inputs"))</f>
        <v>南美洲</v>
      </c>
      <c r="F88" s="6" t="str" cm="1">
        <f t="array" aca="1" ref="F88" ca="1">IF(AND(ISBLANK(INDIRECT(ADDRESS(B88,2,1,1,"all_city_parameter_inputs"))), ISBLANK(INDIRECT(ADDRESS(B88,1,1,1,"all_city_parameter_inputs")))), "", IF(ISBLANK(INDIRECT(ADDRESS(B88,1,1,1,"all_city_parameter_inputs"))), All_city_list!F87,INDIRECT(ADDRESS(B88,1,1,1,"all_city_parameter_inputs"))))</f>
        <v>CO2_emission_confidence</v>
      </c>
      <c r="G88" s="4" t="str" cm="1">
        <f t="array" aca="1" ref="G88" ca="1">IF(AND(ISBLANK(INDIRECT(ADDRESS(B88,3,1,1,"all_city_parameter_inputs"))),ISBLANK(INDIRECT(ADDRESS(B88,2,1,1,"all_city_parameter_inputs")))),"",IF(ISBLANK(INDIRECT(ADDRESS(B88,2,1,1,"all_city_parameter_inputs"))),"",INDIRECT(ADDRESS(B88,2,1,1,"all_city_parameter_inputs"))))</f>
        <v>sample</v>
      </c>
      <c r="H88" s="14" t="str" cm="1">
        <f t="array" aca="1" ref="H88" ca="1">IF(ISBLANK(INDIRECT(ADDRESS(B88,A88,1,1,"all_city_parameter_inputs"))), "--",INDIRECT(ADDRESS(B88,A88,1,1,"all_city_parameter_inputs")))</f>
        <v>--</v>
      </c>
      <c r="I88" s="14">
        <f ca="1">IF(OR(G88="alpha",G88="beta",G88="sd",G88="mean"),"--",VLOOKUP(C88,Default!$B$5:$H$114,7,FALSE))</f>
        <v>1</v>
      </c>
      <c r="J88" s="4" t="str">
        <f ca="1">VLOOKUP(F88,Lookup!$C$5:$D$110,2, FALSE)</f>
        <v>Pollution values</v>
      </c>
      <c r="K88" s="4" t="str">
        <f ca="1">VLOOKUP(C88,Default!$B$4:$E$114,4, FALSE)</f>
        <v>how confident we are about the CO2 emissions inventory (equivalent to PM_EMISSION_INVENTORY_CONFIDENCE)</v>
      </c>
      <c r="L88" s="34" t="s">
        <v>170</v>
      </c>
      <c r="M88" s="18" t="s">
        <v>171</v>
      </c>
      <c r="N88" s="18"/>
    </row>
    <row r="89" spans="1:14">
      <c r="A89" s="5">
        <v>3</v>
      </c>
      <c r="B89" s="5">
        <v>87</v>
      </c>
      <c r="C89" s="5" t="str">
        <f t="shared" ca="1" si="4"/>
        <v>car_occupancy_ratio</v>
      </c>
      <c r="D89" s="5" t="str">
        <f t="shared" ca="1" si="5"/>
        <v>car_occupancy_ratio_南美洲</v>
      </c>
      <c r="E89" s="4" t="str" cm="1">
        <f t="array" aca="1" ref="E89" ca="1">INDIRECT(ADDRESS(1,A89,1,1,"all_city_parameter_inputs"))</f>
        <v>南美洲</v>
      </c>
      <c r="F89" s="6" t="str" cm="1">
        <f t="array" aca="1" ref="F89" ca="1">IF(AND(ISBLANK(INDIRECT(ADDRESS(B89,2,1,1,"all_city_parameter_inputs"))), ISBLANK(INDIRECT(ADDRESS(B89,1,1,1,"all_city_parameter_inputs")))), "", IF(ISBLANK(INDIRECT(ADDRESS(B89,1,1,1,"all_city_parameter_inputs"))), All_city_list!F88,INDIRECT(ADDRESS(B89,1,1,1,"all_city_parameter_inputs"))))</f>
        <v>car_occupancy_ratio</v>
      </c>
      <c r="G89" s="4" t="str" cm="1">
        <f t="array" aca="1" ref="G89" ca="1">IF(AND(ISBLANK(INDIRECT(ADDRESS(B89,3,1,1,"all_city_parameter_inputs"))),ISBLANK(INDIRECT(ADDRESS(B89,2,1,1,"all_city_parameter_inputs")))),"",IF(ISBLANK(INDIRECT(ADDRESS(B89,2,1,1,"all_city_parameter_inputs"))),"",INDIRECT(ADDRESS(B89,2,1,1,"all_city_parameter_inputs"))))</f>
        <v>constant</v>
      </c>
      <c r="H89" s="14" cm="1">
        <f t="array" aca="1" ref="H89" ca="1">IF(ISBLANK(INDIRECT(ADDRESS(B89,A89,1,1,"all_city_parameter_inputs"))), "--",INDIRECT(ADDRESS(B89,A89,1,1,"all_city_parameter_inputs")))</f>
        <v>0.625</v>
      </c>
      <c r="I89" s="14">
        <f ca="1">IF(OR(G89="alpha",G89="beta",G89="sd",G89="mean"),"--",VLOOKUP(C89,Default!$B$5:$H$114,7,FALSE))</f>
        <v>0.625</v>
      </c>
      <c r="J89" s="4" t="str">
        <f ca="1">VLOOKUP(F89,Lookup!$C$5:$D$110,2, FALSE)</f>
        <v>Travel values</v>
      </c>
      <c r="K89" s="4" t="str">
        <f ca="1">VLOOKUP(C89,Default!$B$4:$E$114,4, FALSE)</f>
        <v>ratio of cars to passengers (incl driver)</v>
      </c>
      <c r="L89" s="18" t="str" cm="1">
        <f t="array" aca="1" ref="L89" ca="1">IF(ISNA(VLOOKUP($D89,Grouped_Sources!$C:$C,1,FALSE)),"", INDIRECT(VLOOKUP($D89,Grouped_Sources!$C:$I,5,FALSE)))</f>
        <v/>
      </c>
      <c r="M89" s="18" t="str" cm="1">
        <f t="array" aca="1" ref="M89" ca="1">IF(ISNA(VLOOKUP($D89,Grouped_Sources!$C:$C,1,FALSE)),"", INDIRECT(VLOOKUP($D89,Grouped_Sources!$C:$I,6,FALSE)))</f>
        <v/>
      </c>
      <c r="N89" s="18" t="str" cm="1">
        <f t="array" aca="1" ref="N89" ca="1">IF(ISNA(VLOOKUP($D89,Grouped_Sources!$C:$C,1,FALSE)),"", INDIRECT(VLOOKUP($D89,Grouped_Sources!$C:$I,7,FALSE)))</f>
        <v/>
      </c>
    </row>
    <row r="90" spans="1:14">
      <c r="A90" s="5">
        <v>3</v>
      </c>
      <c r="B90" s="5">
        <v>88</v>
      </c>
      <c r="C90" s="5" t="str">
        <f t="shared" ca="1" si="4"/>
        <v>car_occupancy_ratio</v>
      </c>
      <c r="D90" s="5" t="str">
        <f t="shared" ca="1" si="5"/>
        <v>car_occupancy_ratio_南美洲</v>
      </c>
      <c r="E90" s="4" t="str" cm="1">
        <f t="array" aca="1" ref="E90" ca="1">INDIRECT(ADDRESS(1,A90,1,1,"all_city_parameter_inputs"))</f>
        <v>南美洲</v>
      </c>
      <c r="F90" s="6" t="str" cm="1">
        <f t="array" aca="1" ref="F90" ca="1">IF(AND(ISBLANK(INDIRECT(ADDRESS(B90,2,1,1,"all_city_parameter_inputs"))), ISBLANK(INDIRECT(ADDRESS(B90,1,1,1,"all_city_parameter_inputs")))), "", IF(ISBLANK(INDIRECT(ADDRESS(B90,1,1,1,"all_city_parameter_inputs"))), All_city_list!F89,INDIRECT(ADDRESS(B90,1,1,1,"all_city_parameter_inputs"))))</f>
        <v>car_occupancy_ratio</v>
      </c>
      <c r="G90" s="4" t="str" cm="1">
        <f t="array" aca="1" ref="G90" ca="1">IF(AND(ISBLANK(INDIRECT(ADDRESS(B90,3,1,1,"all_city_parameter_inputs"))),ISBLANK(INDIRECT(ADDRESS(B90,2,1,1,"all_city_parameter_inputs")))),"",IF(ISBLANK(INDIRECT(ADDRESS(B90,2,1,1,"all_city_parameter_inputs"))),"",INDIRECT(ADDRESS(B90,2,1,1,"all_city_parameter_inputs"))))</f>
        <v>alpha</v>
      </c>
      <c r="H90" s="14" t="str" cm="1">
        <f t="array" aca="1" ref="H90" ca="1">IF(ISBLANK(INDIRECT(ADDRESS(B90,A90,1,1,"all_city_parameter_inputs"))), "--",INDIRECT(ADDRESS(B90,A90,1,1,"all_city_parameter_inputs")))</f>
        <v>--</v>
      </c>
      <c r="I90" s="14" t="str">
        <f ca="1">IF(OR(G90="alpha",G90="beta",G90="sd",G90="mean"),"--",VLOOKUP(C90,Default!$B$5:$H$114,7,FALSE))</f>
        <v>--</v>
      </c>
      <c r="J90" s="4" t="str">
        <f ca="1">VLOOKUP(F90,Lookup!$C$5:$D$110,2, FALSE)</f>
        <v>Travel values</v>
      </c>
      <c r="K90" s="4" t="str">
        <f ca="1">VLOOKUP(C90,Default!$B$4:$E$114,4, FALSE)</f>
        <v>ratio of cars to passengers (incl driver)</v>
      </c>
      <c r="L90" s="18" t="str" cm="1">
        <f t="array" aca="1" ref="L90" ca="1">IF(ISNA(VLOOKUP($D90,Grouped_Sources!$C:$C,1,FALSE)),"", INDIRECT(VLOOKUP($D90,Grouped_Sources!$C:$I,5,FALSE)))</f>
        <v/>
      </c>
      <c r="M90" s="18" t="str" cm="1">
        <f t="array" aca="1" ref="M90" ca="1">IF(ISNA(VLOOKUP($D90,Grouped_Sources!$C:$C,1,FALSE)),"", INDIRECT(VLOOKUP($D90,Grouped_Sources!$C:$I,6,FALSE)))</f>
        <v/>
      </c>
      <c r="N90" s="18" t="str" cm="1">
        <f t="array" aca="1" ref="N90" ca="1">IF(ISNA(VLOOKUP($D90,Grouped_Sources!$C:$C,1,FALSE)),"", INDIRECT(VLOOKUP($D90,Grouped_Sources!$C:$I,7,FALSE)))</f>
        <v/>
      </c>
    </row>
    <row r="91" spans="1:14">
      <c r="A91" s="5">
        <v>3</v>
      </c>
      <c r="B91" s="5">
        <v>89</v>
      </c>
      <c r="C91" s="5" t="str">
        <f t="shared" ca="1" si="4"/>
        <v>car_occupancy_ratio</v>
      </c>
      <c r="D91" s="5" t="str">
        <f t="shared" ref="D91:D93" ca="1" si="6">F91&amp;"_"&amp;E91</f>
        <v>car_occupancy_ratio_南美洲</v>
      </c>
      <c r="E91" s="4" t="str" cm="1">
        <f t="array" aca="1" ref="E91" ca="1">INDIRECT(ADDRESS(1,A91,1,1,"all_city_parameter_inputs"))</f>
        <v>南美洲</v>
      </c>
      <c r="F91" s="6" t="str" cm="1">
        <f t="array" aca="1" ref="F91" ca="1">IF(AND(ISBLANK(INDIRECT(ADDRESS(B91,2,1,1,"all_city_parameter_inputs"))), ISBLANK(INDIRECT(ADDRESS(B91,1,1,1,"all_city_parameter_inputs")))), "", IF(ISBLANK(INDIRECT(ADDRESS(B91,1,1,1,"all_city_parameter_inputs"))), All_city_list!F90,INDIRECT(ADDRESS(B91,1,1,1,"all_city_parameter_inputs"))))</f>
        <v>car_occupancy_ratio</v>
      </c>
      <c r="G91" s="4" t="str" cm="1">
        <f t="array" aca="1" ref="G91" ca="1">IF(AND(ISBLANK(INDIRECT(ADDRESS(B91,3,1,1,"all_city_parameter_inputs"))),ISBLANK(INDIRECT(ADDRESS(B91,2,1,1,"all_city_parameter_inputs")))),"",IF(ISBLANK(INDIRECT(ADDRESS(B91,2,1,1,"all_city_parameter_inputs"))),"",INDIRECT(ADDRESS(B91,2,1,1,"all_city_parameter_inputs"))))</f>
        <v>beta</v>
      </c>
      <c r="H91" s="14" t="str" cm="1">
        <f t="array" aca="1" ref="H91" ca="1">IF(ISBLANK(INDIRECT(ADDRESS(B91,A91,1,1,"all_city_parameter_inputs"))), "--",INDIRECT(ADDRESS(B91,A91,1,1,"all_city_parameter_inputs")))</f>
        <v>--</v>
      </c>
      <c r="I91" s="14" t="str">
        <f ca="1">IF(OR(G91="alpha",G91="beta",G91="sd",G91="mean"),"--",VLOOKUP(C91,Default!$B$5:$H$114,7,FALSE))</f>
        <v>--</v>
      </c>
      <c r="J91" s="4" t="str">
        <f ca="1">VLOOKUP(F91,Lookup!$C$5:$D$110,2, FALSE)</f>
        <v>Travel values</v>
      </c>
      <c r="K91" s="4" t="str">
        <f ca="1">VLOOKUP(C91,Default!$B$4:$E$114,4, FALSE)</f>
        <v>ratio of cars to passengers (incl driver)</v>
      </c>
      <c r="L91" s="18" t="str" cm="1">
        <f t="array" aca="1" ref="L91" ca="1">IF(ISNA(VLOOKUP(D91,Grouped_Sources!$C:$C,1,FALSE)),"", INDIRECT(VLOOKUP(D91,Grouped_Sources!$C:$G,5,FALSE)))</f>
        <v/>
      </c>
      <c r="M91" s="18"/>
      <c r="N91" s="18"/>
    </row>
    <row r="92" spans="1:14">
      <c r="A92" s="5">
        <v>3</v>
      </c>
      <c r="B92" s="5">
        <v>90</v>
      </c>
      <c r="C92" s="5" t="str">
        <f t="shared" ca="1" si="4"/>
        <v>country</v>
      </c>
      <c r="D92" s="5" t="str">
        <f t="shared" ca="1" si="6"/>
        <v>country_南美洲</v>
      </c>
      <c r="E92" s="4" t="str" cm="1">
        <f t="array" aca="1" ref="E92" ca="1">INDIRECT(ADDRESS(1,A92,1,1,"all_city_parameter_inputs"))</f>
        <v>南美洲</v>
      </c>
      <c r="F92" s="6" t="str" cm="1">
        <f t="array" aca="1" ref="F92" ca="1">IF(AND(ISBLANK(INDIRECT(ADDRESS(B92,2,1,1,"all_city_parameter_inputs"))), ISBLANK(INDIRECT(ADDRESS(B92,1,1,1,"all_city_parameter_inputs")))), "", IF(ISBLANK(INDIRECT(ADDRESS(B92,1,1,1,"all_city_parameter_inputs"))), All_city_list!F91,INDIRECT(ADDRESS(B92,1,1,1,"all_city_parameter_inputs"))))</f>
        <v>country</v>
      </c>
      <c r="G92" s="4" t="str" cm="1">
        <f t="array" aca="1" ref="G92" ca="1">IF(AND(ISBLANK(INDIRECT(ADDRESS(B92,3,1,1,"all_city_parameter_inputs"))),ISBLANK(INDIRECT(ADDRESS(B92,2,1,1,"all_city_parameter_inputs")))),"",IF(ISBLANK(INDIRECT(ADDRESS(B92,2,1,1,"all_city_parameter_inputs"))),"",INDIRECT(ADDRESS(B92,2,1,1,"all_city_parameter_inputs"))))</f>
        <v/>
      </c>
      <c r="H92" s="14" t="str" cm="1">
        <f t="array" aca="1" ref="H92" ca="1">IF(ISBLANK(INDIRECT(ADDRESS(B92,A92,1,1,"all_city_parameter_inputs"))), "--",INDIRECT(ADDRESS(B92,A92,1,1,"all_city_parameter_inputs")))</f>
        <v>Colombia</v>
      </c>
      <c r="I92" s="14" t="str">
        <f ca="1">IF(OR(G92="alpha",G92="beta",G92="sd",G92="mean"),"--",VLOOKUP(C92,Default!$B$5:$H$114,7,FALSE))</f>
        <v>Bogota</v>
      </c>
      <c r="J92" s="4" t="str">
        <f ca="1">VLOOKUP(F92,Lookup!$C$5:$D$110,2, FALSE)</f>
        <v>Miscellaneous</v>
      </c>
      <c r="K92" s="4" t="str">
        <f ca="1">VLOOKUP(C92,Default!$B$4:$E$114,4, FALSE)</f>
        <v>country where city lies in</v>
      </c>
      <c r="L92" s="18" t="str" cm="1">
        <f t="array" aca="1" ref="L92" ca="1">IF(ISNA(VLOOKUP(D92,Grouped_Sources!$C:$C,1,FALSE)),"", INDIRECT(VLOOKUP(D92,Grouped_Sources!$C:$G,5,FALSE)))</f>
        <v/>
      </c>
      <c r="M92" s="18"/>
      <c r="N92" s="18"/>
    </row>
    <row r="93" spans="1:14">
      <c r="A93" s="5">
        <v>3</v>
      </c>
      <c r="B93" s="5">
        <v>91</v>
      </c>
      <c r="C93" s="5" t="str">
        <f t="shared" ca="1" si="4"/>
        <v>continent</v>
      </c>
      <c r="D93" s="5" t="str">
        <f t="shared" ca="1" si="6"/>
        <v>continent_南美洲</v>
      </c>
      <c r="E93" s="4" t="str" cm="1">
        <f t="array" aca="1" ref="E93" ca="1">INDIRECT(ADDRESS(1,A93,1,1,"all_city_parameter_inputs"))</f>
        <v>南美洲</v>
      </c>
      <c r="F93" s="6" t="str" cm="1">
        <f t="array" aca="1" ref="F93" ca="1">IF(AND(ISBLANK(INDIRECT(ADDRESS(B93,2,1,1,"all_city_parameter_inputs"))), ISBLANK(INDIRECT(ADDRESS(B93,1,1,1,"all_city_parameter_inputs")))), "", IF(ISBLANK(INDIRECT(ADDRESS(B93,1,1,1,"all_city_parameter_inputs"))), All_city_list!F92,INDIRECT(ADDRESS(B93,1,1,1,"all_city_parameter_inputs"))))</f>
        <v>continent</v>
      </c>
      <c r="G93" s="4" t="str" cm="1">
        <f t="array" aca="1" ref="G93" ca="1">IF(AND(ISBLANK(INDIRECT(ADDRESS(B93,3,1,1,"all_city_parameter_inputs"))),ISBLANK(INDIRECT(ADDRESS(B93,2,1,1,"all_city_parameter_inputs")))),"",IF(ISBLANK(INDIRECT(ADDRESS(B93,2,1,1,"all_city_parameter_inputs"))),"",INDIRECT(ADDRESS(B93,2,1,1,"all_city_parameter_inputs"))))</f>
        <v/>
      </c>
      <c r="H93" s="14" t="str" cm="1">
        <f t="array" aca="1" ref="H93" ca="1">IF(ISBLANK(INDIRECT(ADDRESS(B93,A93,1,1,"all_city_parameter_inputs"))), "--",INDIRECT(ADDRESS(B93,A93,1,1,"all_city_parameter_inputs")))</f>
        <v>Latin_America</v>
      </c>
      <c r="I93" s="14" t="str">
        <f ca="1">IF(OR(G93="alpha",G93="beta",G93="sd",G93="mean"),"--",VLOOKUP(C93,Default!$B$5:$H$114,7,FALSE))</f>
        <v>Latin_America</v>
      </c>
      <c r="J93" s="4" t="str">
        <f ca="1">VLOOKUP(F93,Lookup!$C$5:$D$110,2, FALSE)</f>
        <v>Miscellaneous</v>
      </c>
      <c r="K93" s="4" t="str">
        <f ca="1">VLOOKUP(C93,Default!$B$4:$E$114,4, FALSE)</f>
        <v>continent</v>
      </c>
      <c r="L93" s="35" t="s">
        <v>172</v>
      </c>
      <c r="M93" s="18" t="s">
        <v>173</v>
      </c>
      <c r="N93" s="18"/>
    </row>
    <row r="94" spans="1:14">
      <c r="A94" s="5">
        <v>3</v>
      </c>
      <c r="B94" s="5">
        <v>92</v>
      </c>
      <c r="C94" s="5" t="str">
        <f t="shared" ca="1" si="4"/>
        <v>bus_driver_prop_male</v>
      </c>
      <c r="D94" s="5" t="str">
        <f t="shared" ref="D94:D101" ca="1" si="7">F94&amp;"_"&amp;E94</f>
        <v>bus_driver_prop_male_南美洲</v>
      </c>
      <c r="E94" s="4" t="str" cm="1">
        <f t="array" aca="1" ref="E94" ca="1">INDIRECT(ADDRESS(1,A94,1,1,"all_city_parameter_inputs"))</f>
        <v>南美洲</v>
      </c>
      <c r="F94" s="6" t="str" cm="1">
        <f t="array" aca="1" ref="F94" ca="1">IF(AND(ISBLANK(INDIRECT(ADDRESS(B94,2,1,1,"all_city_parameter_inputs"))), ISBLANK(INDIRECT(ADDRESS(B94,1,1,1,"all_city_parameter_inputs")))), "", IF(ISBLANK(INDIRECT(ADDRESS(B94,1,1,1,"all_city_parameter_inputs"))), All_city_list!F93,INDIRECT(ADDRESS(B94,1,1,1,"all_city_parameter_inputs"))))</f>
        <v>bus_driver_prop_male</v>
      </c>
      <c r="G94" s="4" t="str" cm="1">
        <f t="array" aca="1" ref="G94" ca="1">IF(AND(ISBLANK(INDIRECT(ADDRESS(B94,3,1,1,"all_city_parameter_inputs"))),ISBLANK(INDIRECT(ADDRESS(B94,2,1,1,"all_city_parameter_inputs")))),"",IF(ISBLANK(INDIRECT(ADDRESS(B94,2,1,1,"all_city_parameter_inputs"))),"",INDIRECT(ADDRESS(B94,2,1,1,"all_city_parameter_inputs"))))</f>
        <v/>
      </c>
      <c r="H94" s="14" cm="1">
        <f t="array" aca="1" ref="H94" ca="1">IF(ISBLANK(INDIRECT(ADDRESS(B94,A94,1,1,"all_city_parameter_inputs"))), "--",INDIRECT(ADDRESS(B94,A94,1,1,"all_city_parameter_inputs")))</f>
        <v>0.98</v>
      </c>
      <c r="I94" s="14">
        <f ca="1">IF(OR(G94="alpha",G94="beta",G94="sd",G94="mean"),"--",VLOOKUP(C94,Default!$B$5:$H$114,7,FALSE))</f>
        <v>0.98</v>
      </c>
      <c r="J94" s="4" t="str">
        <f ca="1">VLOOKUP(F94,Lookup!$C$5:$D$110,2, FALSE)</f>
        <v>Travel values</v>
      </c>
      <c r="K94" s="4" t="str">
        <f ca="1">VLOOKUP(C94,Default!$B$4:$E$114,4, FALSE)</f>
        <v>proportion of bus drivers that are male</v>
      </c>
      <c r="L94" s="35" t="s">
        <v>174</v>
      </c>
      <c r="M94" s="18" t="s">
        <v>175</v>
      </c>
      <c r="N94" s="18"/>
    </row>
    <row r="95" spans="1:14">
      <c r="A95" s="5">
        <v>3</v>
      </c>
      <c r="B95" s="5">
        <v>93</v>
      </c>
      <c r="C95" s="5" t="str">
        <f t="shared" ca="1" si="4"/>
        <v>bus_driver_male_agerange</v>
      </c>
      <c r="D95" s="5" t="str">
        <f t="shared" ca="1" si="7"/>
        <v>bus_driver_male_agerange_南美洲</v>
      </c>
      <c r="E95" s="4" t="str" cm="1">
        <f t="array" aca="1" ref="E95" ca="1">INDIRECT(ADDRESS(1,A95,1,1,"all_city_parameter_inputs"))</f>
        <v>南美洲</v>
      </c>
      <c r="F95" s="6" t="str" cm="1">
        <f t="array" aca="1" ref="F95" ca="1">IF(AND(ISBLANK(INDIRECT(ADDRESS(B95,2,1,1,"all_city_parameter_inputs"))), ISBLANK(INDIRECT(ADDRESS(B95,1,1,1,"all_city_parameter_inputs")))), "", IF(ISBLANK(INDIRECT(ADDRESS(B95,1,1,1,"all_city_parameter_inputs"))), All_city_list!F94,INDIRECT(ADDRESS(B95,1,1,1,"all_city_parameter_inputs"))))</f>
        <v>bus_driver_male_agerange</v>
      </c>
      <c r="G95" s="4" t="str" cm="1">
        <f t="array" aca="1" ref="G95" ca="1">IF(AND(ISBLANK(INDIRECT(ADDRESS(B95,3,1,1,"all_city_parameter_inputs"))),ISBLANK(INDIRECT(ADDRESS(B95,2,1,1,"all_city_parameter_inputs")))),"",IF(ISBLANK(INDIRECT(ADDRESS(B95,2,1,1,"all_city_parameter_inputs"))),"",INDIRECT(ADDRESS(B95,2,1,1,"all_city_parameter_inputs"))))</f>
        <v/>
      </c>
      <c r="H95" s="14" t="str" cm="1">
        <f t="array" aca="1" ref="H95" ca="1">IF(ISBLANK(INDIRECT(ADDRESS(B95,A95,1,1,"all_city_parameter_inputs"))), "--",INDIRECT(ADDRESS(B95,A95,1,1,"all_city_parameter_inputs")))</f>
        <v>19, 62</v>
      </c>
      <c r="I95" s="14" t="str">
        <f ca="1">IF(OR(G95="alpha",G95="beta",G95="sd",G95="mean"),"--",VLOOKUP(C95,Default!$B$5:$H$114,7,FALSE))</f>
        <v>19, 65</v>
      </c>
      <c r="J95" s="4" t="str">
        <f ca="1">VLOOKUP(F95,Lookup!$C$5:$D$110,2, FALSE)</f>
        <v>Travel values</v>
      </c>
      <c r="K95" s="4" t="str">
        <f ca="1">VLOOKUP(C95,Default!$B$4:$E$114,4, FALSE)</f>
        <v>age range of male bus drivers</v>
      </c>
      <c r="L95" s="35" t="s">
        <v>176</v>
      </c>
      <c r="M95" s="18" t="s">
        <v>175</v>
      </c>
      <c r="N95" s="18"/>
    </row>
    <row r="96" spans="1:14">
      <c r="A96" s="5">
        <v>3</v>
      </c>
      <c r="B96" s="5">
        <v>94</v>
      </c>
      <c r="C96" s="5" t="str">
        <f t="shared" ca="1" si="4"/>
        <v>bus_driver_female_agerange</v>
      </c>
      <c r="D96" s="5" t="str">
        <f t="shared" ca="1" si="7"/>
        <v>bus_driver_female_agerange_南美洲</v>
      </c>
      <c r="E96" s="4" t="str" cm="1">
        <f t="array" aca="1" ref="E96" ca="1">INDIRECT(ADDRESS(1,A96,1,1,"all_city_parameter_inputs"))</f>
        <v>南美洲</v>
      </c>
      <c r="F96" s="6" t="str" cm="1">
        <f t="array" aca="1" ref="F96" ca="1">IF(AND(ISBLANK(INDIRECT(ADDRESS(B96,2,1,1,"all_city_parameter_inputs"))), ISBLANK(INDIRECT(ADDRESS(B96,1,1,1,"all_city_parameter_inputs")))), "", IF(ISBLANK(INDIRECT(ADDRESS(B96,1,1,1,"all_city_parameter_inputs"))), All_city_list!F95,INDIRECT(ADDRESS(B96,1,1,1,"all_city_parameter_inputs"))))</f>
        <v>bus_driver_female_agerange</v>
      </c>
      <c r="G96" s="4" t="str" cm="1">
        <f t="array" aca="1" ref="G96" ca="1">IF(AND(ISBLANK(INDIRECT(ADDRESS(B96,3,1,1,"all_city_parameter_inputs"))),ISBLANK(INDIRECT(ADDRESS(B96,2,1,1,"all_city_parameter_inputs")))),"",IF(ISBLANK(INDIRECT(ADDRESS(B96,2,1,1,"all_city_parameter_inputs"))),"",INDIRECT(ADDRESS(B96,2,1,1,"all_city_parameter_inputs"))))</f>
        <v/>
      </c>
      <c r="H96" s="14" t="str" cm="1">
        <f t="array" aca="1" ref="H96" ca="1">IF(ISBLANK(INDIRECT(ADDRESS(B96,A96,1,1,"all_city_parameter_inputs"))), "--",INDIRECT(ADDRESS(B96,A96,1,1,"all_city_parameter_inputs")))</f>
        <v>19, 57</v>
      </c>
      <c r="I96" s="14" t="str">
        <f ca="1">IF(OR(G96="alpha",G96="beta",G96="sd",G96="mean"),"--",VLOOKUP(C96,Default!$B$5:$H$114,7,FALSE))</f>
        <v>19, 65</v>
      </c>
      <c r="J96" s="4" t="str">
        <f ca="1">VLOOKUP(F96,Lookup!$C$5:$D$110,2, FALSE)</f>
        <v>Travel values</v>
      </c>
      <c r="K96" s="4" t="str">
        <f ca="1">VLOOKUP(C96,Default!$B$4:$E$114,4, FALSE)</f>
        <v>age range of female bus drivers</v>
      </c>
      <c r="L96" s="34" t="s">
        <v>177</v>
      </c>
      <c r="M96" s="18"/>
      <c r="N96" s="18"/>
    </row>
    <row r="97" spans="1:14">
      <c r="A97" s="5">
        <v>3</v>
      </c>
      <c r="B97" s="5">
        <v>95</v>
      </c>
      <c r="C97" s="5" t="str">
        <f t="shared" ca="1" si="4"/>
        <v>truck_driver_prop_male</v>
      </c>
      <c r="D97" s="5" t="str">
        <f t="shared" ca="1" si="7"/>
        <v>truck_driver_prop_male_南美洲</v>
      </c>
      <c r="E97" s="4" t="str" cm="1">
        <f t="array" aca="1" ref="E97" ca="1">INDIRECT(ADDRESS(1,A97,1,1,"all_city_parameter_inputs"))</f>
        <v>南美洲</v>
      </c>
      <c r="F97" s="6" t="str" cm="1">
        <f t="array" aca="1" ref="F97" ca="1">IF(AND(ISBLANK(INDIRECT(ADDRESS(B97,2,1,1,"all_city_parameter_inputs"))), ISBLANK(INDIRECT(ADDRESS(B97,1,1,1,"all_city_parameter_inputs")))), "", IF(ISBLANK(INDIRECT(ADDRESS(B97,1,1,1,"all_city_parameter_inputs"))), All_city_list!F96,INDIRECT(ADDRESS(B97,1,1,1,"all_city_parameter_inputs"))))</f>
        <v>truck_driver_prop_male</v>
      </c>
      <c r="G97" s="4" t="str" cm="1">
        <f t="array" aca="1" ref="G97" ca="1">IF(AND(ISBLANK(INDIRECT(ADDRESS(B97,3,1,1,"all_city_parameter_inputs"))),ISBLANK(INDIRECT(ADDRESS(B97,2,1,1,"all_city_parameter_inputs")))),"",IF(ISBLANK(INDIRECT(ADDRESS(B97,2,1,1,"all_city_parameter_inputs"))),"",INDIRECT(ADDRESS(B97,2,1,1,"all_city_parameter_inputs"))))</f>
        <v/>
      </c>
      <c r="H97" s="14" cm="1">
        <f t="array" aca="1" ref="H97" ca="1">IF(ISBLANK(INDIRECT(ADDRESS(B97,A97,1,1,"all_city_parameter_inputs"))), "--",INDIRECT(ADDRESS(B97,A97,1,1,"all_city_parameter_inputs")))</f>
        <v>0.98</v>
      </c>
      <c r="I97" s="14">
        <f ca="1">IF(OR(G97="alpha",G97="beta",G97="sd",G97="mean"),"--",VLOOKUP(C97,Default!$B$5:$H$114,7,FALSE))</f>
        <v>0.98</v>
      </c>
      <c r="J97" s="4" t="str">
        <f ca="1">VLOOKUP(F97,Lookup!$C$5:$D$110,2, FALSE)</f>
        <v>Travel values</v>
      </c>
      <c r="K97" s="4" t="str">
        <f ca="1">VLOOKUP(C97,Default!$B$4:$E$114,4, FALSE)</f>
        <v>proportion of male truck drivers</v>
      </c>
      <c r="L97" s="35" t="s">
        <v>178</v>
      </c>
      <c r="M97" s="18" t="s">
        <v>179</v>
      </c>
      <c r="N97" s="18"/>
    </row>
    <row r="98" spans="1:14">
      <c r="A98" s="5">
        <v>3</v>
      </c>
      <c r="B98" s="5">
        <v>96</v>
      </c>
      <c r="C98" s="5" t="str">
        <f t="shared" ca="1" si="4"/>
        <v>truck_driver_male_agerange</v>
      </c>
      <c r="D98" s="5" t="str">
        <f t="shared" ca="1" si="7"/>
        <v>truck_driver_male_agerange_南美洲</v>
      </c>
      <c r="E98" s="4" t="str" cm="1">
        <f t="array" aca="1" ref="E98" ca="1">INDIRECT(ADDRESS(1,A98,1,1,"all_city_parameter_inputs"))</f>
        <v>南美洲</v>
      </c>
      <c r="F98" s="6" t="str" cm="1">
        <f t="array" aca="1" ref="F98" ca="1">IF(AND(ISBLANK(INDIRECT(ADDRESS(B98,2,1,1,"all_city_parameter_inputs"))), ISBLANK(INDIRECT(ADDRESS(B98,1,1,1,"all_city_parameter_inputs")))), "", IF(ISBLANK(INDIRECT(ADDRESS(B98,1,1,1,"all_city_parameter_inputs"))), All_city_list!F97,INDIRECT(ADDRESS(B98,1,1,1,"all_city_parameter_inputs"))))</f>
        <v>truck_driver_male_agerange</v>
      </c>
      <c r="G98" s="4" t="str" cm="1">
        <f t="array" aca="1" ref="G98" ca="1">IF(AND(ISBLANK(INDIRECT(ADDRESS(B98,3,1,1,"all_city_parameter_inputs"))),ISBLANK(INDIRECT(ADDRESS(B98,2,1,1,"all_city_parameter_inputs")))),"",IF(ISBLANK(INDIRECT(ADDRESS(B98,2,1,1,"all_city_parameter_inputs"))),"",INDIRECT(ADDRESS(B98,2,1,1,"all_city_parameter_inputs"))))</f>
        <v/>
      </c>
      <c r="H98" s="14" t="str" cm="1">
        <f t="array" aca="1" ref="H98" ca="1">IF(ISBLANK(INDIRECT(ADDRESS(B98,A98,1,1,"all_city_parameter_inputs"))), "--",INDIRECT(ADDRESS(B98,A98,1,1,"all_city_parameter_inputs")))</f>
        <v>18, 62</v>
      </c>
      <c r="I98" s="14" t="str">
        <f ca="1">IF(OR(G98="alpha",G98="beta",G98="sd",G98="mean"),"--",VLOOKUP(C98,Default!$B$5:$H$114,7,FALSE))</f>
        <v>18, 65</v>
      </c>
      <c r="J98" s="4" t="str">
        <f ca="1">VLOOKUP(F98,Lookup!$C$5:$D$110,2, FALSE)</f>
        <v>Travel values</v>
      </c>
      <c r="K98" s="4" t="str">
        <f ca="1">VLOOKUP(C98,Default!$B$4:$E$114,4, FALSE)</f>
        <v>age range of male truck drivers</v>
      </c>
      <c r="L98" s="35" t="s">
        <v>180</v>
      </c>
      <c r="M98" s="18" t="s">
        <v>179</v>
      </c>
      <c r="N98" s="18"/>
    </row>
    <row r="99" spans="1:14">
      <c r="A99" s="5">
        <v>3</v>
      </c>
      <c r="B99" s="5">
        <v>97</v>
      </c>
      <c r="C99" s="5" t="str">
        <f t="shared" ca="1" si="4"/>
        <v>truck_driver_female_agerange</v>
      </c>
      <c r="D99" s="5" t="str">
        <f t="shared" ca="1" si="7"/>
        <v>truck_driver_female_agerange_南美洲</v>
      </c>
      <c r="E99" s="4" t="str" cm="1">
        <f t="array" aca="1" ref="E99" ca="1">INDIRECT(ADDRESS(1,A99,1,1,"all_city_parameter_inputs"))</f>
        <v>南美洲</v>
      </c>
      <c r="F99" s="6" t="str" cm="1">
        <f t="array" aca="1" ref="F99" ca="1">IF(AND(ISBLANK(INDIRECT(ADDRESS(B99,2,1,1,"all_city_parameter_inputs"))), ISBLANK(INDIRECT(ADDRESS(B99,1,1,1,"all_city_parameter_inputs")))), "", IF(ISBLANK(INDIRECT(ADDRESS(B99,1,1,1,"all_city_parameter_inputs"))), All_city_list!F98,INDIRECT(ADDRESS(B99,1,1,1,"all_city_parameter_inputs"))))</f>
        <v>truck_driver_female_agerange</v>
      </c>
      <c r="G99" s="4" t="str" cm="1">
        <f t="array" aca="1" ref="G99" ca="1">IF(AND(ISBLANK(INDIRECT(ADDRESS(B99,3,1,1,"all_city_parameter_inputs"))),ISBLANK(INDIRECT(ADDRESS(B99,2,1,1,"all_city_parameter_inputs")))),"",IF(ISBLANK(INDIRECT(ADDRESS(B99,2,1,1,"all_city_parameter_inputs"))),"",INDIRECT(ADDRESS(B99,2,1,1,"all_city_parameter_inputs"))))</f>
        <v/>
      </c>
      <c r="H99" s="14" t="str" cm="1">
        <f t="array" aca="1" ref="H99" ca="1">IF(ISBLANK(INDIRECT(ADDRESS(B99,A99,1,1,"all_city_parameter_inputs"))), "--",INDIRECT(ADDRESS(B99,A99,1,1,"all_city_parameter_inputs")))</f>
        <v>18, 57</v>
      </c>
      <c r="I99" s="14" t="str">
        <f ca="1">IF(OR(G99="alpha",G99="beta",G99="sd",G99="mean"),"--",VLOOKUP(C99,Default!$B$5:$H$114,7,FALSE))</f>
        <v>18, 65</v>
      </c>
      <c r="J99" s="4" t="str">
        <f ca="1">VLOOKUP(F99,Lookup!$C$5:$D$110,2, FALSE)</f>
        <v>Travel values</v>
      </c>
      <c r="K99" s="4" t="str">
        <f ca="1">VLOOKUP(C99,Default!$B$4:$E$114,4, FALSE)</f>
        <v>age range of female truck drivers</v>
      </c>
      <c r="L99" s="67" t="s">
        <v>181</v>
      </c>
      <c r="M99" s="18" t="s">
        <v>162</v>
      </c>
      <c r="N99" s="18"/>
    </row>
    <row r="100" spans="1:14">
      <c r="A100" s="5">
        <v>3</v>
      </c>
      <c r="B100" s="5">
        <v>98</v>
      </c>
      <c r="C100" s="5" t="str">
        <f t="shared" ca="1" si="4"/>
        <v>commerical_mbike_prop_male</v>
      </c>
      <c r="D100" s="5" t="str">
        <f t="shared" ca="1" si="7"/>
        <v>commerical_mbike_prop_male_南美洲</v>
      </c>
      <c r="E100" s="4" t="str" cm="1">
        <f t="array" aca="1" ref="E100" ca="1">INDIRECT(ADDRESS(1,A100,1,1,"all_city_parameter_inputs"))</f>
        <v>南美洲</v>
      </c>
      <c r="F100" s="6" t="str" cm="1">
        <f t="array" aca="1" ref="F100" ca="1">IF(AND(ISBLANK(INDIRECT(ADDRESS(B100,2,1,1,"all_city_parameter_inputs"))), ISBLANK(INDIRECT(ADDRESS(B100,1,1,1,"all_city_parameter_inputs")))), "", IF(ISBLANK(INDIRECT(ADDRESS(B100,1,1,1,"all_city_parameter_inputs"))), All_city_list!F99,INDIRECT(ADDRESS(B100,1,1,1,"all_city_parameter_inputs"))))</f>
        <v>commerical_mbike_prop_male</v>
      </c>
      <c r="G100" s="4" t="str" cm="1">
        <f t="array" aca="1" ref="G100" ca="1">IF(AND(ISBLANK(INDIRECT(ADDRESS(B100,3,1,1,"all_city_parameter_inputs"))),ISBLANK(INDIRECT(ADDRESS(B100,2,1,1,"all_city_parameter_inputs")))),"",IF(ISBLANK(INDIRECT(ADDRESS(B100,2,1,1,"all_city_parameter_inputs"))),"",INDIRECT(ADDRESS(B100,2,1,1,"all_city_parameter_inputs"))))</f>
        <v/>
      </c>
      <c r="H100" s="14" cm="1">
        <f t="array" aca="1" ref="H100" ca="1">IF(ISBLANK(INDIRECT(ADDRESS(B100,A100,1,1,"all_city_parameter_inputs"))), "--",INDIRECT(ADDRESS(B100,A100,1,1,"all_city_parameter_inputs")))</f>
        <v>0.99</v>
      </c>
      <c r="I100" s="14">
        <f ca="1">IF(OR(G100="alpha",G100="beta",G100="sd",G100="mean"),"--",VLOOKUP(C100,Default!$B$5:$H$114,7,FALSE))</f>
        <v>0.99</v>
      </c>
      <c r="J100" s="4" t="str">
        <f ca="1">VLOOKUP(F100,Lookup!$C$5:$D$110,2, FALSE)</f>
        <v>Travel values</v>
      </c>
      <c r="K100" s="4" t="str">
        <f ca="1">VLOOKUP(C100,Default!$B$4:$E$114,4, FALSE)</f>
        <v>proportion of male commercial motorcycle drivers</v>
      </c>
      <c r="L100" s="67" t="s">
        <v>182</v>
      </c>
      <c r="M100" s="18" t="s">
        <v>183</v>
      </c>
      <c r="N100" s="18"/>
    </row>
    <row r="101" spans="1:14">
      <c r="A101" s="5">
        <v>3</v>
      </c>
      <c r="B101" s="5">
        <v>99</v>
      </c>
      <c r="C101" s="5" t="str">
        <f t="shared" ca="1" si="4"/>
        <v>commerical_mbike_male_agerange</v>
      </c>
      <c r="D101" s="5" t="str">
        <f t="shared" ca="1" si="7"/>
        <v>commerical_mbike_male_agerange_南美洲</v>
      </c>
      <c r="E101" s="4" t="str" cm="1">
        <f t="array" aca="1" ref="E101" ca="1">INDIRECT(ADDRESS(1,A101,1,1,"all_city_parameter_inputs"))</f>
        <v>南美洲</v>
      </c>
      <c r="F101" s="6" t="str" cm="1">
        <f t="array" aca="1" ref="F101" ca="1">IF(AND(ISBLANK(INDIRECT(ADDRESS(B101,2,1,1,"all_city_parameter_inputs"))), ISBLANK(INDIRECT(ADDRESS(B101,1,1,1,"all_city_parameter_inputs")))), "", IF(ISBLANK(INDIRECT(ADDRESS(B101,1,1,1,"all_city_parameter_inputs"))), All_city_list!F100,INDIRECT(ADDRESS(B101,1,1,1,"all_city_parameter_inputs"))))</f>
        <v>commerical_mbike_male_agerange</v>
      </c>
      <c r="G101" s="4" t="str" cm="1">
        <f t="array" aca="1" ref="G101" ca="1">IF(AND(ISBLANK(INDIRECT(ADDRESS(B101,3,1,1,"all_city_parameter_inputs"))),ISBLANK(INDIRECT(ADDRESS(B101,2,1,1,"all_city_parameter_inputs")))),"",IF(ISBLANK(INDIRECT(ADDRESS(B101,2,1,1,"all_city_parameter_inputs"))),"",INDIRECT(ADDRESS(B101,2,1,1,"all_city_parameter_inputs"))))</f>
        <v/>
      </c>
      <c r="H101" s="14" t="str" cm="1">
        <f t="array" aca="1" ref="H101" ca="1">IF(ISBLANK(INDIRECT(ADDRESS(B101,A101,1,1,"all_city_parameter_inputs"))), "--",INDIRECT(ADDRESS(B101,A101,1,1,"all_city_parameter_inputs")))</f>
        <v>18, 62</v>
      </c>
      <c r="I101" s="14" t="str">
        <f ca="1">IF(OR(G101="alpha",G101="beta",G101="sd",G101="mean"),"--",VLOOKUP(C101,Default!$B$5:$H$114,7,FALSE))</f>
        <v>18, 65</v>
      </c>
      <c r="J101" s="4" t="str">
        <f ca="1">VLOOKUP(F101,Lookup!$C$5:$D$110,2, FALSE)</f>
        <v>Travel values</v>
      </c>
      <c r="K101" s="4" t="str">
        <f ca="1">VLOOKUP(C101,Default!$B$4:$E$114,4, FALSE)</f>
        <v>age range of male commercial motorcycle drivers</v>
      </c>
      <c r="L101" s="67" t="s">
        <v>184</v>
      </c>
      <c r="M101" s="18" t="s">
        <v>183</v>
      </c>
      <c r="N101" s="18"/>
    </row>
    <row r="102" spans="1:14">
      <c r="A102" s="5">
        <v>3</v>
      </c>
      <c r="B102" s="5">
        <v>100</v>
      </c>
      <c r="C102" s="5" t="str">
        <f t="shared" ref="C102" ca="1" si="8">IF(G102 = "",F102,IF(OR(G102="alpha",G102="beta",G102="constant",G102="sd",G102="mean",G102="sample"),F102,F102&amp;" "&amp;G102))</f>
        <v>commerical_mbike_female_agerange</v>
      </c>
      <c r="D102" s="5" t="str">
        <f t="shared" ref="D102" ca="1" si="9">F102&amp;"_"&amp;E102</f>
        <v>commerical_mbike_female_agerange_南美洲</v>
      </c>
      <c r="E102" s="4" t="str" cm="1">
        <f t="array" aca="1" ref="E102" ca="1">INDIRECT(ADDRESS(1,A102,1,1,"all_city_parameter_inputs"))</f>
        <v>南美洲</v>
      </c>
      <c r="F102" s="6" t="str" cm="1">
        <f t="array" aca="1" ref="F102" ca="1">IF(AND(ISBLANK(INDIRECT(ADDRESS(B102,2,1,1,"all_city_parameter_inputs"))), ISBLANK(INDIRECT(ADDRESS(B102,1,1,1,"all_city_parameter_inputs")))), "", IF(ISBLANK(INDIRECT(ADDRESS(B102,1,1,1,"all_city_parameter_inputs"))), All_city_list!F101,INDIRECT(ADDRESS(B102,1,1,1,"all_city_parameter_inputs"))))</f>
        <v>commerical_mbike_female_agerange</v>
      </c>
      <c r="G102" s="4" t="str" cm="1">
        <f t="array" aca="1" ref="G102" ca="1">IF(AND(ISBLANK(INDIRECT(ADDRESS(B102,3,1,1,"all_city_parameter_inputs"))),ISBLANK(INDIRECT(ADDRESS(B102,2,1,1,"all_city_parameter_inputs")))),"",IF(ISBLANK(INDIRECT(ADDRESS(B102,2,1,1,"all_city_parameter_inputs"))),"",INDIRECT(ADDRESS(B102,2,1,1,"all_city_parameter_inputs"))))</f>
        <v/>
      </c>
      <c r="H102" s="14" t="str" cm="1">
        <f t="array" aca="1" ref="H102" ca="1">IF(ISBLANK(INDIRECT(ADDRESS(B102,A102,1,1,"all_city_parameter_inputs"))), "--",INDIRECT(ADDRESS(B102,A102,1,1,"all_city_parameter_inputs")))</f>
        <v>18, 57</v>
      </c>
      <c r="I102" s="14" t="str">
        <f ca="1">IF(OR(G102="alpha",G102="beta",G102="sd",G102="mean"),"--",VLOOKUP(C102,Default!$B$5:$H$114,7,FALSE))</f>
        <v>18, 65</v>
      </c>
      <c r="J102" s="4" t="str">
        <f ca="1">VLOOKUP(F102,Lookup!$C$5:$D$110,2, FALSE)</f>
        <v>Travel values</v>
      </c>
      <c r="K102" s="4" t="str">
        <f ca="1">VLOOKUP(C102,Default!$B$4:$E$114,4, FALSE)</f>
        <v>age range of female commercial motorcycle drivers</v>
      </c>
      <c r="L102" s="34" t="s">
        <v>185</v>
      </c>
      <c r="M102" s="18"/>
      <c r="N102" s="18"/>
    </row>
    <row r="103" spans="1:14">
      <c r="A103" s="5">
        <v>3</v>
      </c>
      <c r="B103" s="5">
        <v>101</v>
      </c>
      <c r="C103" s="5" t="str">
        <f t="shared" ref="C103" ca="1" si="10">IF(G103 = "",F103,IF(OR(G103="alpha",G103="beta",G103="constant",G103="sd",G103="mean",G103="sample"),F103,F103&amp;" "&amp;G103))</f>
        <v>day_to_week_scalar</v>
      </c>
      <c r="D103" s="5" t="str">
        <f t="shared" ref="D103" ca="1" si="11">F103&amp;"_"&amp;E103</f>
        <v>day_to_week_scalar_南美洲</v>
      </c>
      <c r="E103" s="4" t="str" cm="1">
        <f t="array" aca="1" ref="E103" ca="1">INDIRECT(ADDRESS(1,A103,1,1,"all_city_parameter_inputs"))</f>
        <v>南美洲</v>
      </c>
      <c r="F103" s="6" t="str" cm="1">
        <f t="array" aca="1" ref="F103" ca="1">IF(AND(ISBLANK(INDIRECT(ADDRESS(B103,2,1,1,"all_city_parameter_inputs"))), ISBLANK(INDIRECT(ADDRESS(B103,1,1,1,"all_city_parameter_inputs")))), "", IF(ISBLANK(INDIRECT(ADDRESS(B103,1,1,1,"all_city_parameter_inputs"))), All_city_list!F102,INDIRECT(ADDRESS(B103,1,1,1,"all_city_parameter_inputs"))))</f>
        <v>day_to_week_scalar</v>
      </c>
      <c r="G103" s="4" t="str" cm="1">
        <f t="array" aca="1" ref="G103" ca="1">IF(AND(ISBLANK(INDIRECT(ADDRESS(B103,3,1,1,"all_city_parameter_inputs"))),ISBLANK(INDIRECT(ADDRESS(B103,2,1,1,"all_city_parameter_inputs")))),"",IF(ISBLANK(INDIRECT(ADDRESS(B103,2,1,1,"all_city_parameter_inputs"))),"",INDIRECT(ADDRESS(B103,2,1,1,"all_city_parameter_inputs"))))</f>
        <v/>
      </c>
      <c r="H103" s="14" cm="1">
        <f t="array" aca="1" ref="H103" ca="1">IF(ISBLANK(INDIRECT(ADDRESS(B103,A103,1,1,"all_city_parameter_inputs"))), "--",INDIRECT(ADDRESS(B103,A103,1,1,"all_city_parameter_inputs")))</f>
        <v>7</v>
      </c>
      <c r="I103" s="14">
        <f ca="1">IF(OR(G103="alpha",G103="beta",G103="sd",G103="mean"),"--",VLOOKUP(C103,Default!$B$5:$H$114,7,FALSE))</f>
        <v>7</v>
      </c>
      <c r="J103" s="4" t="str">
        <f ca="1">VLOOKUP(F103,Lookup!$C$5:$D$110,2, FALSE)</f>
        <v>Travel values</v>
      </c>
      <c r="K103" s="4" t="str">
        <f ca="1">VLOOKUP(C103,Default!$B$4:$E$114,4, FALSE)</f>
        <v>how daily travel scales to a week</v>
      </c>
      <c r="L103" s="34" t="s">
        <v>570</v>
      </c>
      <c r="M103" s="18"/>
      <c r="N103" s="18"/>
    </row>
    <row r="104" spans="1:14">
      <c r="F104" s="7"/>
    </row>
    <row r="105" spans="1:14">
      <c r="F105" s="7"/>
    </row>
    <row r="106" spans="1:14">
      <c r="F106" s="7"/>
    </row>
    <row r="107" spans="1:14">
      <c r="F107" s="7"/>
    </row>
    <row r="108" spans="1:14">
      <c r="F108" s="7"/>
    </row>
    <row r="109" spans="1:14">
      <c r="F109" s="7"/>
    </row>
    <row r="110" spans="1:14">
      <c r="F110" s="7"/>
    </row>
    <row r="111" spans="1:14">
      <c r="F111" s="7"/>
    </row>
    <row r="112" spans="1:14">
      <c r="F112" s="7"/>
    </row>
    <row r="113" spans="6:6">
      <c r="F113" s="7"/>
    </row>
    <row r="114" spans="6:6">
      <c r="F114" s="7"/>
    </row>
    <row r="115" spans="6:6">
      <c r="F115" s="7"/>
    </row>
    <row r="116" spans="6:6">
      <c r="F116" s="7"/>
    </row>
    <row r="117" spans="6:6">
      <c r="F117" s="7"/>
    </row>
    <row r="118" spans="6:6">
      <c r="F118" s="7"/>
    </row>
    <row r="119" spans="6:6">
      <c r="F119" s="7"/>
    </row>
    <row r="120" spans="6:6">
      <c r="F120" s="7"/>
    </row>
    <row r="121" spans="6:6">
      <c r="F121" s="7"/>
    </row>
    <row r="122" spans="6:6">
      <c r="F122" s="7"/>
    </row>
    <row r="123" spans="6:6">
      <c r="F123" s="7"/>
    </row>
    <row r="124" spans="6:6">
      <c r="F124" s="7"/>
    </row>
    <row r="125" spans="6:6">
      <c r="F125" s="7"/>
    </row>
    <row r="126" spans="6:6">
      <c r="F126" s="7"/>
    </row>
    <row r="127" spans="6:6">
      <c r="F127" s="7"/>
    </row>
    <row r="128" spans="6:6">
      <c r="F128" s="7"/>
    </row>
    <row r="129" spans="6:6">
      <c r="F129" s="7"/>
    </row>
    <row r="130" spans="6:6">
      <c r="F130" s="7"/>
    </row>
    <row r="131" spans="6:6">
      <c r="F131" s="7"/>
    </row>
    <row r="132" spans="6:6">
      <c r="F132" s="7"/>
    </row>
    <row r="133" spans="6:6">
      <c r="F133" s="7"/>
    </row>
    <row r="134" spans="6:6">
      <c r="F134" s="7"/>
    </row>
    <row r="135" spans="6:6">
      <c r="F135" s="7"/>
    </row>
    <row r="136" spans="6:6">
      <c r="F136" s="7"/>
    </row>
    <row r="137" spans="6:6">
      <c r="F137" s="7"/>
    </row>
    <row r="138" spans="6:6">
      <c r="F138" s="7"/>
    </row>
    <row r="139" spans="6:6">
      <c r="F139" s="7"/>
    </row>
    <row r="140" spans="6:6">
      <c r="F140" s="7"/>
    </row>
    <row r="141" spans="6:6">
      <c r="F141" s="7"/>
    </row>
    <row r="142" spans="6:6">
      <c r="F142" s="7"/>
    </row>
    <row r="143" spans="6:6">
      <c r="F143" s="7"/>
    </row>
    <row r="144" spans="6:6">
      <c r="F144" s="7"/>
    </row>
    <row r="145" spans="6:6">
      <c r="F145" s="7"/>
    </row>
    <row r="146" spans="6:6">
      <c r="F146" s="7"/>
    </row>
    <row r="147" spans="6:6">
      <c r="F147" s="7"/>
    </row>
    <row r="148" spans="6:6">
      <c r="F148" s="7"/>
    </row>
    <row r="149" spans="6:6">
      <c r="F149" s="7"/>
    </row>
    <row r="150" spans="6:6">
      <c r="F150" s="7"/>
    </row>
    <row r="151" spans="6:6">
      <c r="F151" s="7"/>
    </row>
    <row r="152" spans="6:6">
      <c r="F152" s="7"/>
    </row>
    <row r="153" spans="6:6">
      <c r="F153" s="7"/>
    </row>
    <row r="154" spans="6:6">
      <c r="F154" s="7"/>
    </row>
    <row r="155" spans="6:6">
      <c r="F155" s="7"/>
    </row>
    <row r="156" spans="6:6">
      <c r="F156" s="7"/>
    </row>
    <row r="157" spans="6:6">
      <c r="F157" s="7"/>
    </row>
    <row r="158" spans="6:6">
      <c r="F158" s="7"/>
    </row>
    <row r="159" spans="6:6">
      <c r="F159" s="7"/>
    </row>
    <row r="160" spans="6:6">
      <c r="F160" s="7"/>
    </row>
    <row r="161" spans="6:6">
      <c r="F161" s="7"/>
    </row>
    <row r="162" spans="6:6">
      <c r="F162" s="7"/>
    </row>
    <row r="163" spans="6:6">
      <c r="F163" s="7"/>
    </row>
    <row r="164" spans="6:6">
      <c r="F164" s="7"/>
    </row>
    <row r="165" spans="6:6">
      <c r="F165" s="7"/>
    </row>
    <row r="166" spans="6:6">
      <c r="F166" s="7"/>
    </row>
    <row r="167" spans="6:6">
      <c r="F167" s="7"/>
    </row>
    <row r="168" spans="6:6">
      <c r="F168" s="7"/>
    </row>
    <row r="169" spans="6:6">
      <c r="F169" s="7"/>
    </row>
    <row r="170" spans="6:6">
      <c r="F170" s="7"/>
    </row>
    <row r="171" spans="6:6">
      <c r="F171" s="7"/>
    </row>
    <row r="172" spans="6:6">
      <c r="F172" s="7"/>
    </row>
    <row r="173" spans="6:6">
      <c r="F173" s="7"/>
    </row>
    <row r="174" spans="6:6">
      <c r="F174" s="7"/>
    </row>
    <row r="175" spans="6:6">
      <c r="F175" s="7"/>
    </row>
    <row r="176" spans="6:6">
      <c r="F176" s="7"/>
    </row>
    <row r="177" spans="6:6">
      <c r="F177" s="7"/>
    </row>
    <row r="178" spans="6:6">
      <c r="F178" s="7"/>
    </row>
    <row r="179" spans="6:6">
      <c r="F179" s="7"/>
    </row>
    <row r="180" spans="6:6">
      <c r="F180" s="7"/>
    </row>
    <row r="181" spans="6:6">
      <c r="F181" s="7"/>
    </row>
    <row r="182" spans="6:6">
      <c r="F182" s="7"/>
    </row>
    <row r="183" spans="6:6">
      <c r="F183" s="7"/>
    </row>
    <row r="184" spans="6:6">
      <c r="F184" s="7"/>
    </row>
    <row r="185" spans="6:6">
      <c r="F185" s="7"/>
    </row>
    <row r="186" spans="6:6">
      <c r="F186" s="7"/>
    </row>
    <row r="187" spans="6:6">
      <c r="F187" s="7"/>
    </row>
    <row r="188" spans="6:6">
      <c r="F188" s="7"/>
    </row>
    <row r="189" spans="6:6">
      <c r="F189" s="7"/>
    </row>
    <row r="190" spans="6:6">
      <c r="F190" s="7"/>
    </row>
    <row r="191" spans="6:6">
      <c r="F191" s="7"/>
    </row>
    <row r="192" spans="6:6">
      <c r="F192" s="7"/>
    </row>
    <row r="193" spans="6:6">
      <c r="F193" s="7"/>
    </row>
    <row r="194" spans="6:6">
      <c r="F194" s="7"/>
    </row>
    <row r="195" spans="6:6">
      <c r="F195" s="7"/>
    </row>
    <row r="196" spans="6:6">
      <c r="F196" s="7"/>
    </row>
    <row r="197" spans="6:6">
      <c r="F197" s="7"/>
    </row>
    <row r="198" spans="6:6">
      <c r="F198" s="7"/>
    </row>
    <row r="199" spans="6:6">
      <c r="F199" s="7"/>
    </row>
    <row r="200" spans="6:6">
      <c r="F200" s="7"/>
    </row>
    <row r="201" spans="6:6">
      <c r="F201" s="7"/>
    </row>
    <row r="202" spans="6:6">
      <c r="F202" s="7"/>
    </row>
    <row r="203" spans="6:6">
      <c r="F203" s="7"/>
    </row>
    <row r="204" spans="6:6">
      <c r="F204" s="7"/>
    </row>
    <row r="205" spans="6:6">
      <c r="F205" s="7"/>
    </row>
    <row r="206" spans="6:6">
      <c r="F206" s="7"/>
    </row>
    <row r="207" spans="6:6">
      <c r="F207" s="7"/>
    </row>
    <row r="208" spans="6:6">
      <c r="F208" s="7"/>
    </row>
    <row r="209" spans="6:6">
      <c r="F209" s="7"/>
    </row>
    <row r="210" spans="6:6">
      <c r="F210" s="7"/>
    </row>
    <row r="211" spans="6:6">
      <c r="F211" s="7"/>
    </row>
    <row r="212" spans="6:6">
      <c r="F212" s="7"/>
    </row>
    <row r="213" spans="6:6">
      <c r="F213" s="7"/>
    </row>
    <row r="214" spans="6:6">
      <c r="F214" s="7"/>
    </row>
    <row r="215" spans="6:6">
      <c r="F215" s="7"/>
    </row>
    <row r="216" spans="6:6">
      <c r="F216" s="7"/>
    </row>
    <row r="217" spans="6:6">
      <c r="F217" s="7"/>
    </row>
    <row r="218" spans="6:6">
      <c r="F218" s="7"/>
    </row>
    <row r="219" spans="6:6">
      <c r="F219" s="7"/>
    </row>
    <row r="220" spans="6:6">
      <c r="F220" s="7"/>
    </row>
    <row r="221" spans="6:6">
      <c r="F221" s="7"/>
    </row>
    <row r="222" spans="6:6">
      <c r="F222" s="7"/>
    </row>
    <row r="223" spans="6:6">
      <c r="F223" s="7"/>
    </row>
    <row r="224" spans="6:6">
      <c r="F224" s="7"/>
    </row>
    <row r="225" spans="6:6">
      <c r="F225" s="7"/>
    </row>
    <row r="226" spans="6:6">
      <c r="F226" s="7"/>
    </row>
    <row r="227" spans="6:6">
      <c r="F227" s="7"/>
    </row>
    <row r="228" spans="6:6">
      <c r="F228" s="7"/>
    </row>
    <row r="229" spans="6:6">
      <c r="F229" s="7"/>
    </row>
    <row r="230" spans="6:6">
      <c r="F230" s="7"/>
    </row>
    <row r="231" spans="6:6">
      <c r="F231" s="7"/>
    </row>
    <row r="232" spans="6:6">
      <c r="F232" s="7"/>
    </row>
    <row r="233" spans="6:6">
      <c r="F233" s="7"/>
    </row>
    <row r="234" spans="6:6">
      <c r="F234" s="7"/>
    </row>
    <row r="235" spans="6:6">
      <c r="F235" s="7"/>
    </row>
    <row r="236" spans="6:6">
      <c r="F236" s="7"/>
    </row>
    <row r="237" spans="6:6">
      <c r="F237" s="7"/>
    </row>
    <row r="238" spans="6:6">
      <c r="F238" s="7"/>
    </row>
    <row r="239" spans="6:6">
      <c r="F239" s="7"/>
    </row>
    <row r="240" spans="6:6">
      <c r="F240" s="7"/>
    </row>
    <row r="241" spans="6:6">
      <c r="F241" s="7"/>
    </row>
    <row r="242" spans="6:6">
      <c r="F242" s="7"/>
    </row>
    <row r="243" spans="6:6">
      <c r="F243" s="7"/>
    </row>
    <row r="244" spans="6:6">
      <c r="F244" s="7"/>
    </row>
    <row r="245" spans="6:6">
      <c r="F245" s="7"/>
    </row>
    <row r="246" spans="6:6">
      <c r="F246" s="7"/>
    </row>
    <row r="247" spans="6:6">
      <c r="F247" s="7"/>
    </row>
    <row r="248" spans="6:6">
      <c r="F248" s="7"/>
    </row>
    <row r="249" spans="6:6">
      <c r="F249" s="7"/>
    </row>
    <row r="250" spans="6:6">
      <c r="F250" s="7"/>
    </row>
    <row r="251" spans="6:6">
      <c r="F251" s="7"/>
    </row>
    <row r="252" spans="6:6">
      <c r="F252" s="7"/>
    </row>
    <row r="253" spans="6:6">
      <c r="F253" s="7"/>
    </row>
    <row r="254" spans="6:6">
      <c r="F254" s="7"/>
    </row>
    <row r="255" spans="6:6">
      <c r="F255" s="7"/>
    </row>
    <row r="256" spans="6:6">
      <c r="F256" s="7"/>
    </row>
    <row r="257" spans="6:6">
      <c r="F257" s="7"/>
    </row>
    <row r="258" spans="6:6">
      <c r="F258" s="7"/>
    </row>
    <row r="259" spans="6:6">
      <c r="F259" s="7"/>
    </row>
    <row r="260" spans="6:6">
      <c r="F260" s="7"/>
    </row>
    <row r="261" spans="6:6">
      <c r="F261" s="7"/>
    </row>
    <row r="262" spans="6:6">
      <c r="F262" s="7"/>
    </row>
    <row r="263" spans="6:6">
      <c r="F263" s="7"/>
    </row>
    <row r="264" spans="6:6">
      <c r="F264" s="7"/>
    </row>
    <row r="265" spans="6:6">
      <c r="F265" s="7"/>
    </row>
    <row r="266" spans="6:6">
      <c r="F266" s="7"/>
    </row>
    <row r="267" spans="6:6">
      <c r="F267" s="7"/>
    </row>
    <row r="268" spans="6:6">
      <c r="F268" s="7"/>
    </row>
    <row r="269" spans="6:6">
      <c r="F269" s="7"/>
    </row>
    <row r="270" spans="6:6">
      <c r="F270" s="7"/>
    </row>
    <row r="271" spans="6:6">
      <c r="F271" s="7"/>
    </row>
    <row r="272" spans="6:6">
      <c r="F272" s="7"/>
    </row>
    <row r="273" spans="6:6">
      <c r="F273" s="7"/>
    </row>
    <row r="274" spans="6:6">
      <c r="F274" s="7"/>
    </row>
    <row r="275" spans="6:6">
      <c r="F275" s="7"/>
    </row>
    <row r="276" spans="6:6">
      <c r="F276" s="7"/>
    </row>
    <row r="277" spans="6:6">
      <c r="F277" s="7"/>
    </row>
    <row r="278" spans="6:6">
      <c r="F278" s="7"/>
    </row>
    <row r="279" spans="6:6">
      <c r="F279" s="7"/>
    </row>
    <row r="280" spans="6:6">
      <c r="F280" s="7"/>
    </row>
    <row r="281" spans="6:6">
      <c r="F281" s="7"/>
    </row>
    <row r="282" spans="6:6">
      <c r="F282" s="7"/>
    </row>
    <row r="283" spans="6:6">
      <c r="F283" s="7"/>
    </row>
    <row r="284" spans="6:6">
      <c r="F284" s="7"/>
    </row>
    <row r="285" spans="6:6">
      <c r="F285" s="7"/>
    </row>
    <row r="286" spans="6:6">
      <c r="F286" s="7"/>
    </row>
    <row r="287" spans="6:6">
      <c r="F287" s="7"/>
    </row>
    <row r="288" spans="6:6">
      <c r="F288" s="7"/>
    </row>
    <row r="289" spans="6:6">
      <c r="F289" s="7"/>
    </row>
    <row r="290" spans="6:6">
      <c r="F290" s="7"/>
    </row>
    <row r="291" spans="6:6">
      <c r="F291" s="7"/>
    </row>
    <row r="292" spans="6:6">
      <c r="F292" s="7"/>
    </row>
    <row r="293" spans="6:6">
      <c r="F293" s="7"/>
    </row>
    <row r="294" spans="6:6">
      <c r="F294" s="7"/>
    </row>
    <row r="295" spans="6:6">
      <c r="F295" s="7"/>
    </row>
    <row r="296" spans="6:6">
      <c r="F296" s="7"/>
    </row>
    <row r="297" spans="6:6">
      <c r="F297" s="7"/>
    </row>
    <row r="298" spans="6:6">
      <c r="F298" s="7"/>
    </row>
    <row r="299" spans="6:6">
      <c r="F299" s="7"/>
    </row>
    <row r="300" spans="6:6">
      <c r="F300" s="7"/>
    </row>
    <row r="301" spans="6:6">
      <c r="F301" s="7"/>
    </row>
    <row r="302" spans="6:6">
      <c r="F302" s="7"/>
    </row>
    <row r="303" spans="6:6">
      <c r="F303" s="7"/>
    </row>
    <row r="304" spans="6:6">
      <c r="F304" s="7"/>
    </row>
    <row r="305" spans="6:6">
      <c r="F305" s="7"/>
    </row>
    <row r="306" spans="6:6">
      <c r="F306" s="7"/>
    </row>
    <row r="307" spans="6:6">
      <c r="F307" s="7"/>
    </row>
    <row r="308" spans="6:6">
      <c r="F308" s="7"/>
    </row>
    <row r="309" spans="6:6">
      <c r="F309" s="7"/>
    </row>
    <row r="310" spans="6:6">
      <c r="F310" s="7"/>
    </row>
    <row r="311" spans="6:6">
      <c r="F311" s="7"/>
    </row>
    <row r="312" spans="6:6">
      <c r="F312" s="7"/>
    </row>
    <row r="313" spans="6:6">
      <c r="F313" s="7"/>
    </row>
    <row r="314" spans="6:6">
      <c r="F314" s="7"/>
    </row>
    <row r="315" spans="6:6">
      <c r="F315" s="7"/>
    </row>
    <row r="316" spans="6:6">
      <c r="F316" s="7"/>
    </row>
    <row r="317" spans="6:6">
      <c r="F317" s="7"/>
    </row>
    <row r="318" spans="6:6">
      <c r="F318" s="7"/>
    </row>
    <row r="319" spans="6:6">
      <c r="F319" s="7"/>
    </row>
    <row r="320" spans="6:6">
      <c r="F320" s="7"/>
    </row>
    <row r="321" spans="6:6">
      <c r="F321" s="7"/>
    </row>
    <row r="322" spans="6:6">
      <c r="F322" s="7"/>
    </row>
    <row r="323" spans="6:6">
      <c r="F323" s="7"/>
    </row>
    <row r="324" spans="6:6">
      <c r="F324" s="7"/>
    </row>
    <row r="325" spans="6:6">
      <c r="F325" s="7"/>
    </row>
    <row r="326" spans="6:6">
      <c r="F326" s="7"/>
    </row>
    <row r="327" spans="6:6">
      <c r="F327" s="7"/>
    </row>
    <row r="328" spans="6:6">
      <c r="F328" s="7"/>
    </row>
    <row r="329" spans="6:6">
      <c r="F329" s="7"/>
    </row>
    <row r="330" spans="6:6">
      <c r="F330" s="7"/>
    </row>
    <row r="331" spans="6:6">
      <c r="F331" s="7"/>
    </row>
    <row r="332" spans="6:6">
      <c r="F332" s="7"/>
    </row>
    <row r="333" spans="6:6">
      <c r="F333" s="7"/>
    </row>
    <row r="334" spans="6:6">
      <c r="F334" s="7"/>
    </row>
    <row r="335" spans="6:6">
      <c r="F335" s="7"/>
    </row>
    <row r="336" spans="6:6">
      <c r="F336" s="7"/>
    </row>
    <row r="337" spans="6:6">
      <c r="F337" s="7"/>
    </row>
    <row r="338" spans="6:6">
      <c r="F338" s="7"/>
    </row>
    <row r="339" spans="6:6">
      <c r="F339" s="7"/>
    </row>
    <row r="340" spans="6:6">
      <c r="F340" s="7"/>
    </row>
    <row r="341" spans="6:6">
      <c r="F341" s="7"/>
    </row>
    <row r="342" spans="6:6">
      <c r="F342" s="7"/>
    </row>
    <row r="343" spans="6:6">
      <c r="F343" s="7"/>
    </row>
    <row r="344" spans="6:6">
      <c r="F344" s="7"/>
    </row>
    <row r="345" spans="6:6">
      <c r="F345" s="7"/>
    </row>
    <row r="346" spans="6:6">
      <c r="F346" s="7"/>
    </row>
    <row r="347" spans="6:6">
      <c r="F347" s="7"/>
    </row>
    <row r="348" spans="6:6">
      <c r="F348" s="7"/>
    </row>
    <row r="349" spans="6:6">
      <c r="F349" s="7"/>
    </row>
    <row r="350" spans="6:6">
      <c r="F350" s="7"/>
    </row>
    <row r="351" spans="6:6">
      <c r="F351" s="7"/>
    </row>
    <row r="352" spans="6:6">
      <c r="F352" s="7"/>
    </row>
    <row r="353" spans="6:6">
      <c r="F353" s="7"/>
    </row>
    <row r="354" spans="6:6">
      <c r="F354" s="7"/>
    </row>
    <row r="355" spans="6:6">
      <c r="F355" s="7"/>
    </row>
    <row r="356" spans="6:6">
      <c r="F356" s="7"/>
    </row>
    <row r="357" spans="6:6">
      <c r="F357" s="7"/>
    </row>
    <row r="358" spans="6:6">
      <c r="F358" s="7"/>
    </row>
    <row r="359" spans="6:6">
      <c r="F359" s="7"/>
    </row>
    <row r="360" spans="6:6">
      <c r="F360" s="7"/>
    </row>
    <row r="361" spans="6:6">
      <c r="F361" s="7"/>
    </row>
    <row r="362" spans="6:6">
      <c r="F362" s="7"/>
    </row>
    <row r="363" spans="6:6">
      <c r="F363" s="7"/>
    </row>
    <row r="364" spans="6:6">
      <c r="F364" s="7"/>
    </row>
    <row r="365" spans="6:6">
      <c r="F365" s="7"/>
    </row>
    <row r="366" spans="6:6">
      <c r="F366" s="7"/>
    </row>
    <row r="367" spans="6:6">
      <c r="F367" s="7"/>
    </row>
    <row r="368" spans="6:6">
      <c r="F368" s="7"/>
    </row>
    <row r="369" spans="6:6">
      <c r="F369" s="7"/>
    </row>
    <row r="370" spans="6:6">
      <c r="F370" s="7"/>
    </row>
    <row r="371" spans="6:6">
      <c r="F371" s="7"/>
    </row>
    <row r="372" spans="6:6">
      <c r="F372" s="7"/>
    </row>
    <row r="373" spans="6:6">
      <c r="F373" s="7"/>
    </row>
    <row r="374" spans="6:6">
      <c r="F374" s="7"/>
    </row>
    <row r="375" spans="6:6">
      <c r="F375" s="7"/>
    </row>
    <row r="376" spans="6:6">
      <c r="F376" s="7"/>
    </row>
    <row r="377" spans="6:6">
      <c r="F377" s="7"/>
    </row>
    <row r="378" spans="6:6">
      <c r="F378" s="7"/>
    </row>
    <row r="379" spans="6:6">
      <c r="F379" s="7"/>
    </row>
    <row r="380" spans="6:6">
      <c r="F380" s="7"/>
    </row>
    <row r="381" spans="6:6">
      <c r="F381" s="7"/>
    </row>
    <row r="382" spans="6:6">
      <c r="F382" s="7"/>
    </row>
    <row r="383" spans="6:6">
      <c r="F383" s="7"/>
    </row>
    <row r="384" spans="6:6">
      <c r="F384" s="7"/>
    </row>
    <row r="385" spans="6:6">
      <c r="F385" s="7"/>
    </row>
    <row r="386" spans="6:6">
      <c r="F386" s="7"/>
    </row>
    <row r="387" spans="6:6">
      <c r="F387" s="7"/>
    </row>
    <row r="388" spans="6:6">
      <c r="F388" s="7"/>
    </row>
    <row r="389" spans="6:6">
      <c r="F389" s="7"/>
    </row>
    <row r="390" spans="6:6">
      <c r="F390" s="7"/>
    </row>
    <row r="391" spans="6:6">
      <c r="F391" s="7"/>
    </row>
    <row r="392" spans="6:6">
      <c r="F392" s="7"/>
    </row>
    <row r="393" spans="6:6">
      <c r="F393" s="7"/>
    </row>
    <row r="394" spans="6:6">
      <c r="F394" s="7"/>
    </row>
    <row r="395" spans="6:6">
      <c r="F395" s="7"/>
    </row>
    <row r="396" spans="6:6">
      <c r="F396" s="7"/>
    </row>
    <row r="397" spans="6:6">
      <c r="F397" s="7"/>
    </row>
    <row r="398" spans="6:6">
      <c r="F398" s="7"/>
    </row>
    <row r="399" spans="6:6">
      <c r="F399" s="7"/>
    </row>
    <row r="400" spans="6:6">
      <c r="F400" s="7"/>
    </row>
    <row r="401" spans="6:6">
      <c r="F401" s="7"/>
    </row>
    <row r="402" spans="6:6">
      <c r="F402" s="7"/>
    </row>
    <row r="403" spans="6:6">
      <c r="F403" s="7"/>
    </row>
    <row r="404" spans="6:6">
      <c r="F404" s="7"/>
    </row>
    <row r="405" spans="6:6">
      <c r="F405" s="7"/>
    </row>
    <row r="406" spans="6:6">
      <c r="F406" s="7"/>
    </row>
    <row r="407" spans="6:6">
      <c r="F407" s="7"/>
    </row>
    <row r="408" spans="6:6">
      <c r="F408" s="7"/>
    </row>
    <row r="409" spans="6:6">
      <c r="F409" s="7"/>
    </row>
    <row r="410" spans="6:6">
      <c r="F410" s="7"/>
    </row>
    <row r="411" spans="6:6">
      <c r="F411" s="7"/>
    </row>
    <row r="412" spans="6:6">
      <c r="F412" s="7"/>
    </row>
    <row r="413" spans="6:6">
      <c r="F413" s="7"/>
    </row>
    <row r="414" spans="6:6">
      <c r="F414" s="7"/>
    </row>
    <row r="415" spans="6:6">
      <c r="F415" s="7"/>
    </row>
    <row r="416" spans="6:6">
      <c r="F416" s="7"/>
    </row>
    <row r="417" spans="6:6">
      <c r="F417" s="7"/>
    </row>
    <row r="418" spans="6:6">
      <c r="F418" s="7"/>
    </row>
    <row r="419" spans="6:6">
      <c r="F419" s="7"/>
    </row>
    <row r="420" spans="6:6">
      <c r="F420" s="7"/>
    </row>
    <row r="421" spans="6:6">
      <c r="F421" s="7"/>
    </row>
    <row r="422" spans="6:6">
      <c r="F422" s="7"/>
    </row>
    <row r="423" spans="6:6">
      <c r="F423" s="7"/>
    </row>
    <row r="424" spans="6:6">
      <c r="F424" s="7"/>
    </row>
    <row r="425" spans="6:6">
      <c r="F425" s="7"/>
    </row>
    <row r="426" spans="6:6">
      <c r="F426" s="7"/>
    </row>
    <row r="427" spans="6:6">
      <c r="F427" s="7"/>
    </row>
    <row r="428" spans="6:6">
      <c r="F428" s="7"/>
    </row>
    <row r="429" spans="6:6">
      <c r="F429" s="7"/>
    </row>
    <row r="430" spans="6:6">
      <c r="F430" s="7"/>
    </row>
    <row r="431" spans="6:6">
      <c r="F431" s="7"/>
    </row>
    <row r="432" spans="6:6">
      <c r="F432" s="7"/>
    </row>
    <row r="433" spans="6:6">
      <c r="F433" s="7"/>
    </row>
    <row r="434" spans="6:6">
      <c r="F434" s="7"/>
    </row>
    <row r="435" spans="6:6">
      <c r="F435" s="7"/>
    </row>
    <row r="436" spans="6:6">
      <c r="F436" s="7"/>
    </row>
    <row r="437" spans="6:6">
      <c r="F437" s="7"/>
    </row>
    <row r="438" spans="6:6">
      <c r="F438" s="7"/>
    </row>
    <row r="439" spans="6:6">
      <c r="F439" s="7"/>
    </row>
    <row r="440" spans="6:6">
      <c r="F440" s="7"/>
    </row>
    <row r="441" spans="6:6">
      <c r="F441" s="7"/>
    </row>
    <row r="442" spans="6:6">
      <c r="F442" s="7"/>
    </row>
    <row r="443" spans="6:6">
      <c r="F443" s="7"/>
    </row>
    <row r="444" spans="6:6">
      <c r="F444" s="7"/>
    </row>
    <row r="445" spans="6:6">
      <c r="F445" s="7"/>
    </row>
    <row r="446" spans="6:6">
      <c r="F446" s="7"/>
    </row>
    <row r="447" spans="6:6">
      <c r="F447" s="7"/>
    </row>
    <row r="448" spans="6:6">
      <c r="F448" s="7"/>
    </row>
    <row r="449" spans="6:6">
      <c r="F449" s="7"/>
    </row>
    <row r="450" spans="6:6">
      <c r="F450" s="7"/>
    </row>
    <row r="451" spans="6:6">
      <c r="F451" s="7"/>
    </row>
    <row r="452" spans="6:6">
      <c r="F452" s="7"/>
    </row>
    <row r="453" spans="6:6">
      <c r="F453" s="7"/>
    </row>
    <row r="454" spans="6:6">
      <c r="F454" s="7"/>
    </row>
    <row r="455" spans="6:6">
      <c r="F455" s="7"/>
    </row>
    <row r="456" spans="6:6">
      <c r="F456" s="7"/>
    </row>
    <row r="457" spans="6:6">
      <c r="F457" s="7"/>
    </row>
    <row r="458" spans="6:6">
      <c r="F458" s="7"/>
    </row>
    <row r="459" spans="6:6">
      <c r="F459" s="7"/>
    </row>
    <row r="460" spans="6:6">
      <c r="F460" s="7"/>
    </row>
    <row r="461" spans="6:6">
      <c r="F461" s="7"/>
    </row>
    <row r="462" spans="6:6">
      <c r="F462" s="7"/>
    </row>
    <row r="463" spans="6:6">
      <c r="F463" s="7"/>
    </row>
    <row r="464" spans="6:6">
      <c r="F464" s="7"/>
    </row>
    <row r="465" spans="6:6">
      <c r="F465" s="7"/>
    </row>
    <row r="466" spans="6:6">
      <c r="F466" s="7"/>
    </row>
    <row r="467" spans="6:6">
      <c r="F467" s="7"/>
    </row>
    <row r="468" spans="6:6">
      <c r="F468" s="7"/>
    </row>
    <row r="469" spans="6:6">
      <c r="F469" s="7"/>
    </row>
    <row r="470" spans="6:6">
      <c r="F470" s="7"/>
    </row>
    <row r="471" spans="6:6">
      <c r="F471" s="7"/>
    </row>
    <row r="472" spans="6:6">
      <c r="F472" s="7"/>
    </row>
    <row r="473" spans="6:6">
      <c r="F473" s="7"/>
    </row>
    <row r="474" spans="6:6">
      <c r="F474" s="7"/>
    </row>
    <row r="475" spans="6:6">
      <c r="F475" s="7"/>
    </row>
    <row r="476" spans="6:6">
      <c r="F476" s="7"/>
    </row>
    <row r="477" spans="6:6">
      <c r="F477" s="7"/>
    </row>
    <row r="478" spans="6:6">
      <c r="F478" s="7"/>
    </row>
    <row r="479" spans="6:6">
      <c r="F479" s="7"/>
    </row>
    <row r="480" spans="6:6">
      <c r="F480" s="7"/>
    </row>
    <row r="481" spans="6:6">
      <c r="F481" s="7"/>
    </row>
    <row r="482" spans="6:6">
      <c r="F482" s="7"/>
    </row>
    <row r="483" spans="6:6">
      <c r="F483" s="7"/>
    </row>
    <row r="484" spans="6:6">
      <c r="F484" s="7"/>
    </row>
    <row r="485" spans="6:6">
      <c r="F485" s="7"/>
    </row>
    <row r="486" spans="6:6">
      <c r="F486" s="7"/>
    </row>
    <row r="487" spans="6:6">
      <c r="F487" s="7"/>
    </row>
    <row r="488" spans="6:6">
      <c r="F488" s="7"/>
    </row>
    <row r="489" spans="6:6">
      <c r="F489" s="7"/>
    </row>
    <row r="490" spans="6:6">
      <c r="F490" s="7"/>
    </row>
    <row r="491" spans="6:6">
      <c r="F491" s="7"/>
    </row>
    <row r="492" spans="6:6">
      <c r="F492" s="7"/>
    </row>
    <row r="493" spans="6:6">
      <c r="F493" s="7"/>
    </row>
    <row r="494" spans="6:6">
      <c r="F494" s="7"/>
    </row>
    <row r="495" spans="6:6">
      <c r="F495" s="7"/>
    </row>
    <row r="496" spans="6:6">
      <c r="F496" s="7"/>
    </row>
    <row r="497" spans="6:6">
      <c r="F497" s="7"/>
    </row>
    <row r="498" spans="6:6">
      <c r="F498" s="7"/>
    </row>
    <row r="499" spans="6:6">
      <c r="F499" s="7"/>
    </row>
    <row r="500" spans="6:6">
      <c r="F500" s="7"/>
    </row>
    <row r="501" spans="6:6">
      <c r="F501" s="7"/>
    </row>
    <row r="502" spans="6:6">
      <c r="F502" s="7"/>
    </row>
    <row r="503" spans="6:6">
      <c r="F503" s="7"/>
    </row>
    <row r="504" spans="6:6">
      <c r="F504" s="7"/>
    </row>
    <row r="505" spans="6:6">
      <c r="F505" s="7"/>
    </row>
    <row r="506" spans="6:6">
      <c r="F506" s="7"/>
    </row>
    <row r="507" spans="6:6">
      <c r="F507" s="7"/>
    </row>
    <row r="508" spans="6:6">
      <c r="F508" s="7"/>
    </row>
    <row r="509" spans="6:6">
      <c r="F509" s="7"/>
    </row>
    <row r="510" spans="6:6">
      <c r="F510" s="7"/>
    </row>
    <row r="511" spans="6:6">
      <c r="F511" s="7"/>
    </row>
    <row r="512" spans="6:6">
      <c r="F512" s="7"/>
    </row>
    <row r="513" spans="6:6">
      <c r="F513" s="7"/>
    </row>
    <row r="514" spans="6:6">
      <c r="F514" s="7"/>
    </row>
    <row r="515" spans="6:6">
      <c r="F515" s="7"/>
    </row>
    <row r="516" spans="6:6">
      <c r="F516" s="7"/>
    </row>
    <row r="517" spans="6:6">
      <c r="F517" s="7"/>
    </row>
    <row r="518" spans="6:6">
      <c r="F518" s="7"/>
    </row>
    <row r="519" spans="6:6">
      <c r="F519" s="7"/>
    </row>
    <row r="520" spans="6:6">
      <c r="F520" s="7"/>
    </row>
    <row r="521" spans="6:6">
      <c r="F521" s="7"/>
    </row>
    <row r="522" spans="6:6">
      <c r="F522" s="7"/>
    </row>
    <row r="523" spans="6:6">
      <c r="F523" s="7"/>
    </row>
    <row r="524" spans="6:6">
      <c r="F524" s="7"/>
    </row>
    <row r="525" spans="6:6">
      <c r="F525" s="7"/>
    </row>
    <row r="526" spans="6:6">
      <c r="F526" s="7"/>
    </row>
    <row r="527" spans="6:6">
      <c r="F527" s="7"/>
    </row>
    <row r="528" spans="6:6">
      <c r="F528" s="7"/>
    </row>
    <row r="529" spans="6:6">
      <c r="F529" s="7"/>
    </row>
    <row r="530" spans="6:6">
      <c r="F530" s="7"/>
    </row>
    <row r="531" spans="6:6">
      <c r="F531" s="7"/>
    </row>
    <row r="532" spans="6:6">
      <c r="F532" s="7"/>
    </row>
    <row r="533" spans="6:6">
      <c r="F533" s="7"/>
    </row>
    <row r="534" spans="6:6">
      <c r="F534" s="7"/>
    </row>
    <row r="535" spans="6:6">
      <c r="F535" s="7"/>
    </row>
    <row r="536" spans="6:6">
      <c r="F536" s="7"/>
    </row>
    <row r="537" spans="6:6">
      <c r="F537" s="7"/>
    </row>
    <row r="538" spans="6:6">
      <c r="F538" s="7"/>
    </row>
    <row r="539" spans="6:6">
      <c r="F539" s="7"/>
    </row>
    <row r="540" spans="6:6">
      <c r="F540" s="7"/>
    </row>
    <row r="541" spans="6:6">
      <c r="F541" s="7"/>
    </row>
    <row r="542" spans="6:6">
      <c r="F542" s="7"/>
    </row>
    <row r="543" spans="6:6">
      <c r="F543" s="7"/>
    </row>
    <row r="544" spans="6:6">
      <c r="F544" s="7"/>
    </row>
    <row r="545" spans="6:6">
      <c r="F545" s="7"/>
    </row>
    <row r="546" spans="6:6">
      <c r="F546" s="7"/>
    </row>
    <row r="547" spans="6:6">
      <c r="F547" s="7"/>
    </row>
    <row r="548" spans="6:6">
      <c r="F548" s="7"/>
    </row>
    <row r="549" spans="6:6">
      <c r="F549" s="7"/>
    </row>
    <row r="550" spans="6:6">
      <c r="F550" s="7"/>
    </row>
    <row r="551" spans="6:6">
      <c r="F551" s="7"/>
    </row>
    <row r="552" spans="6:6">
      <c r="F552" s="7"/>
    </row>
    <row r="553" spans="6:6">
      <c r="F553" s="7"/>
    </row>
    <row r="554" spans="6:6">
      <c r="F554" s="7"/>
    </row>
    <row r="555" spans="6:6">
      <c r="F555" s="7"/>
    </row>
    <row r="556" spans="6:6">
      <c r="F556" s="7"/>
    </row>
    <row r="557" spans="6:6">
      <c r="F557" s="7"/>
    </row>
    <row r="558" spans="6:6">
      <c r="F558" s="7"/>
    </row>
    <row r="559" spans="6:6">
      <c r="F559" s="7"/>
    </row>
    <row r="560" spans="6:6">
      <c r="F560" s="7"/>
    </row>
    <row r="561" spans="6:6">
      <c r="F561" s="7"/>
    </row>
    <row r="562" spans="6:6">
      <c r="F562" s="7"/>
    </row>
    <row r="563" spans="6:6">
      <c r="F563" s="7"/>
    </row>
    <row r="564" spans="6:6">
      <c r="F564" s="7"/>
    </row>
    <row r="565" spans="6:6">
      <c r="F565" s="7"/>
    </row>
    <row r="566" spans="6:6">
      <c r="F566" s="7"/>
    </row>
    <row r="567" spans="6:6">
      <c r="F567" s="7"/>
    </row>
    <row r="568" spans="6:6">
      <c r="F568" s="7"/>
    </row>
    <row r="569" spans="6:6">
      <c r="F569" s="7"/>
    </row>
    <row r="570" spans="6:6">
      <c r="F570" s="7"/>
    </row>
    <row r="571" spans="6:6">
      <c r="F571" s="7"/>
    </row>
    <row r="572" spans="6:6">
      <c r="F572" s="7"/>
    </row>
    <row r="573" spans="6:6">
      <c r="F573" s="7"/>
    </row>
    <row r="574" spans="6:6">
      <c r="F574" s="7"/>
    </row>
    <row r="575" spans="6:6">
      <c r="F575" s="7"/>
    </row>
    <row r="576" spans="6:6">
      <c r="F576" s="7"/>
    </row>
    <row r="577" spans="6:6">
      <c r="F577" s="7"/>
    </row>
    <row r="578" spans="6:6">
      <c r="F578" s="7"/>
    </row>
    <row r="579" spans="6:6">
      <c r="F579" s="7"/>
    </row>
    <row r="580" spans="6:6">
      <c r="F580" s="7"/>
    </row>
    <row r="581" spans="6:6">
      <c r="F581" s="7"/>
    </row>
    <row r="582" spans="6:6">
      <c r="F582" s="7"/>
    </row>
    <row r="583" spans="6:6">
      <c r="F583" s="7"/>
    </row>
    <row r="584" spans="6:6">
      <c r="F584" s="7"/>
    </row>
    <row r="585" spans="6:6">
      <c r="F585" s="7"/>
    </row>
    <row r="586" spans="6:6">
      <c r="F586" s="7"/>
    </row>
    <row r="587" spans="6:6">
      <c r="F587" s="7"/>
    </row>
    <row r="588" spans="6:6">
      <c r="F588" s="7"/>
    </row>
    <row r="589" spans="6:6">
      <c r="F589" s="7"/>
    </row>
    <row r="590" spans="6:6">
      <c r="F590" s="7"/>
    </row>
    <row r="591" spans="6:6">
      <c r="F591" s="7"/>
    </row>
    <row r="592" spans="6:6">
      <c r="F592" s="7"/>
    </row>
    <row r="593" spans="6:6">
      <c r="F593" s="7"/>
    </row>
    <row r="594" spans="6:6">
      <c r="F594" s="7"/>
    </row>
    <row r="595" spans="6:6">
      <c r="F595" s="7"/>
    </row>
    <row r="596" spans="6:6">
      <c r="F596" s="7"/>
    </row>
    <row r="597" spans="6:6">
      <c r="F597" s="7"/>
    </row>
    <row r="598" spans="6:6">
      <c r="F598" s="7"/>
    </row>
    <row r="599" spans="6:6">
      <c r="F599" s="7"/>
    </row>
    <row r="600" spans="6:6">
      <c r="F600" s="7"/>
    </row>
    <row r="601" spans="6:6">
      <c r="F601" s="7"/>
    </row>
    <row r="602" spans="6:6">
      <c r="F602" s="7"/>
    </row>
    <row r="603" spans="6:6">
      <c r="F603" s="7"/>
    </row>
    <row r="604" spans="6:6">
      <c r="F604" s="7"/>
    </row>
    <row r="605" spans="6:6">
      <c r="F605" s="7"/>
    </row>
    <row r="606" spans="6:6">
      <c r="F606" s="7"/>
    </row>
    <row r="607" spans="6:6">
      <c r="F607" s="7"/>
    </row>
    <row r="608" spans="6:6">
      <c r="F608" s="7"/>
    </row>
    <row r="609" spans="6:6">
      <c r="F609" s="7"/>
    </row>
    <row r="610" spans="6:6">
      <c r="F610" s="7"/>
    </row>
    <row r="611" spans="6:6">
      <c r="F611" s="7"/>
    </row>
    <row r="612" spans="6:6">
      <c r="F612" s="7"/>
    </row>
    <row r="613" spans="6:6">
      <c r="F613" s="7"/>
    </row>
    <row r="614" spans="6:6">
      <c r="F614" s="7"/>
    </row>
    <row r="615" spans="6:6">
      <c r="F615" s="7"/>
    </row>
    <row r="616" spans="6:6">
      <c r="F616" s="7"/>
    </row>
    <row r="617" spans="6:6">
      <c r="F617" s="7"/>
    </row>
    <row r="618" spans="6:6">
      <c r="F618" s="7"/>
    </row>
    <row r="619" spans="6:6">
      <c r="F619" s="7"/>
    </row>
    <row r="620" spans="6:6">
      <c r="F620" s="7"/>
    </row>
    <row r="621" spans="6:6">
      <c r="F621" s="7"/>
    </row>
    <row r="622" spans="6:6">
      <c r="F622" s="7"/>
    </row>
    <row r="623" spans="6:6">
      <c r="F623" s="7"/>
    </row>
    <row r="624" spans="6:6">
      <c r="F624" s="7"/>
    </row>
    <row r="625" spans="6:6">
      <c r="F625" s="7"/>
    </row>
    <row r="626" spans="6:6">
      <c r="F626" s="7"/>
    </row>
    <row r="627" spans="6:6">
      <c r="F627" s="7"/>
    </row>
    <row r="628" spans="6:6">
      <c r="F628" s="7"/>
    </row>
    <row r="629" spans="6:6">
      <c r="F629" s="7"/>
    </row>
    <row r="630" spans="6:6">
      <c r="F630" s="7"/>
    </row>
    <row r="631" spans="6:6">
      <c r="F631" s="7"/>
    </row>
    <row r="632" spans="6:6">
      <c r="F632" s="7"/>
    </row>
    <row r="633" spans="6:6">
      <c r="F633" s="7"/>
    </row>
    <row r="634" spans="6:6">
      <c r="F634" s="7"/>
    </row>
    <row r="635" spans="6:6">
      <c r="F635" s="7"/>
    </row>
    <row r="636" spans="6:6">
      <c r="F636" s="7"/>
    </row>
    <row r="637" spans="6:6">
      <c r="F637" s="7"/>
    </row>
    <row r="638" spans="6:6">
      <c r="F638" s="7"/>
    </row>
    <row r="639" spans="6:6">
      <c r="F639" s="7"/>
    </row>
    <row r="640" spans="6:6">
      <c r="F640" s="7"/>
    </row>
    <row r="641" spans="6:6">
      <c r="F641" s="7"/>
    </row>
    <row r="642" spans="6:6">
      <c r="F642" s="7"/>
    </row>
    <row r="643" spans="6:6">
      <c r="F643" s="7"/>
    </row>
    <row r="644" spans="6:6">
      <c r="F644" s="7"/>
    </row>
    <row r="645" spans="6:6">
      <c r="F645" s="7"/>
    </row>
    <row r="646" spans="6:6">
      <c r="F646" s="7"/>
    </row>
    <row r="647" spans="6:6">
      <c r="F647" s="7"/>
    </row>
    <row r="648" spans="6:6">
      <c r="F648" s="7"/>
    </row>
    <row r="649" spans="6:6">
      <c r="F649" s="7"/>
    </row>
    <row r="650" spans="6:6">
      <c r="F650" s="7"/>
    </row>
    <row r="651" spans="6:6">
      <c r="F651" s="7"/>
    </row>
    <row r="652" spans="6:6">
      <c r="F652" s="7"/>
    </row>
    <row r="653" spans="6:6">
      <c r="F653" s="7"/>
    </row>
    <row r="654" spans="6:6">
      <c r="F654" s="7"/>
    </row>
    <row r="655" spans="6:6">
      <c r="F655" s="7"/>
    </row>
    <row r="656" spans="6:6">
      <c r="F656" s="7"/>
    </row>
    <row r="657" spans="6:6">
      <c r="F657" s="7"/>
    </row>
    <row r="658" spans="6:6">
      <c r="F658" s="7"/>
    </row>
    <row r="659" spans="6:6">
      <c r="F659" s="7"/>
    </row>
    <row r="660" spans="6:6">
      <c r="F660" s="7"/>
    </row>
    <row r="661" spans="6:6">
      <c r="F661" s="7"/>
    </row>
    <row r="662" spans="6:6">
      <c r="F662" s="7"/>
    </row>
    <row r="663" spans="6:6">
      <c r="F663" s="7"/>
    </row>
    <row r="664" spans="6:6">
      <c r="F664" s="7"/>
    </row>
    <row r="665" spans="6:6">
      <c r="F665" s="7"/>
    </row>
    <row r="666" spans="6:6">
      <c r="F666" s="7"/>
    </row>
    <row r="667" spans="6:6">
      <c r="F667" s="7"/>
    </row>
    <row r="668" spans="6:6">
      <c r="F668" s="7"/>
    </row>
    <row r="669" spans="6:6">
      <c r="F669" s="7"/>
    </row>
    <row r="670" spans="6:6">
      <c r="F670" s="7"/>
    </row>
    <row r="671" spans="6:6">
      <c r="F671" s="7"/>
    </row>
    <row r="672" spans="6:6">
      <c r="F672" s="7"/>
    </row>
    <row r="673" spans="6:6">
      <c r="F673" s="7"/>
    </row>
    <row r="674" spans="6:6">
      <c r="F674" s="7"/>
    </row>
    <row r="675" spans="6:6">
      <c r="F675" s="7"/>
    </row>
    <row r="676" spans="6:6">
      <c r="F676" s="7"/>
    </row>
    <row r="677" spans="6:6">
      <c r="F677" s="7"/>
    </row>
    <row r="678" spans="6:6">
      <c r="F678" s="7"/>
    </row>
    <row r="679" spans="6:6">
      <c r="F679" s="7"/>
    </row>
    <row r="680" spans="6:6">
      <c r="F680" s="7"/>
    </row>
    <row r="681" spans="6:6">
      <c r="F681" s="7"/>
    </row>
    <row r="682" spans="6:6">
      <c r="F682" s="7"/>
    </row>
    <row r="683" spans="6:6">
      <c r="F683" s="7"/>
    </row>
    <row r="684" spans="6:6">
      <c r="F684" s="7"/>
    </row>
    <row r="685" spans="6:6">
      <c r="F685" s="7"/>
    </row>
    <row r="686" spans="6:6">
      <c r="F686" s="7"/>
    </row>
    <row r="687" spans="6:6">
      <c r="F687" s="7"/>
    </row>
    <row r="688" spans="6:6">
      <c r="F688" s="7"/>
    </row>
    <row r="689" spans="6:6">
      <c r="F689" s="7"/>
    </row>
    <row r="690" spans="6:6">
      <c r="F690" s="7"/>
    </row>
    <row r="691" spans="6:6">
      <c r="F691" s="7"/>
    </row>
    <row r="692" spans="6:6">
      <c r="F692" s="7"/>
    </row>
    <row r="693" spans="6:6">
      <c r="F693" s="7"/>
    </row>
    <row r="694" spans="6:6">
      <c r="F694" s="7"/>
    </row>
    <row r="695" spans="6:6">
      <c r="F695" s="7"/>
    </row>
    <row r="696" spans="6:6">
      <c r="F696" s="7"/>
    </row>
    <row r="697" spans="6:6">
      <c r="F697" s="7"/>
    </row>
    <row r="698" spans="6:6">
      <c r="F698" s="7"/>
    </row>
    <row r="699" spans="6:6">
      <c r="F699" s="7"/>
    </row>
    <row r="700" spans="6:6">
      <c r="F700" s="7"/>
    </row>
    <row r="701" spans="6:6">
      <c r="F701" s="7"/>
    </row>
    <row r="702" spans="6:6">
      <c r="F702" s="7"/>
    </row>
    <row r="703" spans="6:6">
      <c r="F703" s="7"/>
    </row>
    <row r="704" spans="6:6">
      <c r="F704" s="7"/>
    </row>
    <row r="705" spans="6:6">
      <c r="F705" s="7"/>
    </row>
    <row r="706" spans="6:6">
      <c r="F706" s="7"/>
    </row>
    <row r="707" spans="6:6">
      <c r="F707" s="7"/>
    </row>
    <row r="708" spans="6:6">
      <c r="F708" s="7"/>
    </row>
    <row r="709" spans="6:6">
      <c r="F709" s="7"/>
    </row>
    <row r="710" spans="6:6">
      <c r="F710" s="7"/>
    </row>
    <row r="711" spans="6:6">
      <c r="F711" s="7"/>
    </row>
    <row r="712" spans="6:6">
      <c r="F712" s="7"/>
    </row>
    <row r="713" spans="6:6">
      <c r="F713" s="7"/>
    </row>
    <row r="714" spans="6:6">
      <c r="F714" s="7"/>
    </row>
    <row r="715" spans="6:6">
      <c r="F715" s="7"/>
    </row>
    <row r="716" spans="6:6">
      <c r="F716" s="7"/>
    </row>
    <row r="717" spans="6:6">
      <c r="F717" s="7"/>
    </row>
    <row r="718" spans="6:6">
      <c r="F718" s="7"/>
    </row>
    <row r="719" spans="6:6">
      <c r="F719" s="7"/>
    </row>
    <row r="720" spans="6:6">
      <c r="F720" s="7"/>
    </row>
    <row r="721" spans="6:6">
      <c r="F721" s="7"/>
    </row>
    <row r="722" spans="6:6">
      <c r="F722" s="7"/>
    </row>
    <row r="723" spans="6:6">
      <c r="F723" s="7"/>
    </row>
    <row r="724" spans="6:6">
      <c r="F724" s="7"/>
    </row>
    <row r="725" spans="6:6">
      <c r="F725" s="7"/>
    </row>
    <row r="726" spans="6:6">
      <c r="F726" s="7"/>
    </row>
    <row r="727" spans="6:6">
      <c r="F727" s="7"/>
    </row>
    <row r="728" spans="6:6">
      <c r="F728" s="7"/>
    </row>
    <row r="729" spans="6:6">
      <c r="F729" s="7"/>
    </row>
    <row r="730" spans="6:6">
      <c r="F730" s="7"/>
    </row>
    <row r="731" spans="6:6">
      <c r="F731" s="7"/>
    </row>
    <row r="732" spans="6:6">
      <c r="F732" s="7"/>
    </row>
    <row r="733" spans="6:6">
      <c r="F733" s="7"/>
    </row>
    <row r="734" spans="6:6">
      <c r="F734" s="7"/>
    </row>
    <row r="735" spans="6:6">
      <c r="F735" s="7"/>
    </row>
    <row r="736" spans="6:6">
      <c r="F736" s="7"/>
    </row>
    <row r="737" spans="6:6">
      <c r="F737" s="7"/>
    </row>
    <row r="738" spans="6:6">
      <c r="F738" s="7"/>
    </row>
    <row r="739" spans="6:6">
      <c r="F739" s="7"/>
    </row>
    <row r="740" spans="6:6">
      <c r="F740" s="7"/>
    </row>
    <row r="741" spans="6:6">
      <c r="F741" s="7"/>
    </row>
    <row r="742" spans="6:6">
      <c r="F742" s="7"/>
    </row>
    <row r="743" spans="6:6">
      <c r="F743" s="7"/>
    </row>
    <row r="744" spans="6:6">
      <c r="F744" s="7"/>
    </row>
    <row r="745" spans="6:6">
      <c r="F745" s="7"/>
    </row>
    <row r="746" spans="6:6">
      <c r="F746" s="7"/>
    </row>
    <row r="747" spans="6:6">
      <c r="F747" s="7"/>
    </row>
    <row r="748" spans="6:6">
      <c r="F748" s="7"/>
    </row>
    <row r="749" spans="6:6">
      <c r="F749" s="7"/>
    </row>
    <row r="750" spans="6:6">
      <c r="F750" s="7"/>
    </row>
    <row r="751" spans="6:6">
      <c r="F751" s="7"/>
    </row>
    <row r="752" spans="6:6">
      <c r="F752" s="7"/>
    </row>
    <row r="753" spans="6:6">
      <c r="F753" s="7"/>
    </row>
    <row r="754" spans="6:6">
      <c r="F754" s="7"/>
    </row>
    <row r="755" spans="6:6">
      <c r="F755" s="7"/>
    </row>
    <row r="756" spans="6:6">
      <c r="F756" s="7"/>
    </row>
    <row r="757" spans="6:6">
      <c r="F757" s="7"/>
    </row>
    <row r="758" spans="6:6">
      <c r="F758" s="7"/>
    </row>
    <row r="759" spans="6:6">
      <c r="F759" s="7"/>
    </row>
    <row r="760" spans="6:6">
      <c r="F760" s="7"/>
    </row>
    <row r="761" spans="6:6">
      <c r="F761" s="7"/>
    </row>
    <row r="762" spans="6:6">
      <c r="F762" s="7"/>
    </row>
    <row r="763" spans="6:6">
      <c r="F763" s="7"/>
    </row>
    <row r="764" spans="6:6">
      <c r="F764" s="7"/>
    </row>
    <row r="765" spans="6:6">
      <c r="F765" s="7"/>
    </row>
    <row r="766" spans="6:6">
      <c r="F766" s="7"/>
    </row>
    <row r="767" spans="6:6">
      <c r="F767" s="7"/>
    </row>
    <row r="768" spans="6:6">
      <c r="F768" s="7"/>
    </row>
    <row r="769" spans="6:6">
      <c r="F769" s="7"/>
    </row>
    <row r="770" spans="6:6">
      <c r="F770" s="7"/>
    </row>
    <row r="771" spans="6:6">
      <c r="F771" s="7"/>
    </row>
    <row r="772" spans="6:6">
      <c r="F772" s="7"/>
    </row>
    <row r="773" spans="6:6">
      <c r="F773" s="7"/>
    </row>
    <row r="774" spans="6:6">
      <c r="F774" s="7"/>
    </row>
    <row r="775" spans="6:6">
      <c r="F775" s="7"/>
    </row>
    <row r="776" spans="6:6">
      <c r="F776" s="7"/>
    </row>
    <row r="777" spans="6:6">
      <c r="F777" s="7"/>
    </row>
    <row r="778" spans="6:6">
      <c r="F778" s="7"/>
    </row>
    <row r="779" spans="6:6">
      <c r="F779" s="7"/>
    </row>
    <row r="780" spans="6:6">
      <c r="F780" s="7"/>
    </row>
    <row r="781" spans="6:6">
      <c r="F781" s="7"/>
    </row>
    <row r="782" spans="6:6">
      <c r="F782" s="7"/>
    </row>
    <row r="783" spans="6:6">
      <c r="F783" s="7"/>
    </row>
    <row r="784" spans="6:6">
      <c r="F784" s="7"/>
    </row>
    <row r="785" spans="6:6">
      <c r="F785" s="7"/>
    </row>
    <row r="786" spans="6:6">
      <c r="F786" s="7"/>
    </row>
    <row r="787" spans="6:6">
      <c r="F787" s="7"/>
    </row>
    <row r="788" spans="6:6">
      <c r="F788" s="7"/>
    </row>
    <row r="789" spans="6:6">
      <c r="F789" s="7"/>
    </row>
    <row r="790" spans="6:6">
      <c r="F790" s="7"/>
    </row>
    <row r="791" spans="6:6">
      <c r="F791" s="7"/>
    </row>
    <row r="792" spans="6:6">
      <c r="F792" s="7"/>
    </row>
    <row r="793" spans="6:6">
      <c r="F793" s="7"/>
    </row>
    <row r="794" spans="6:6">
      <c r="F794" s="7"/>
    </row>
    <row r="795" spans="6:6">
      <c r="F795" s="7"/>
    </row>
    <row r="796" spans="6:6">
      <c r="F796" s="7"/>
    </row>
    <row r="797" spans="6:6">
      <c r="F797" s="7"/>
    </row>
    <row r="798" spans="6:6">
      <c r="F798" s="7"/>
    </row>
    <row r="799" spans="6:6">
      <c r="F799" s="7"/>
    </row>
    <row r="800" spans="6:6">
      <c r="F800" s="7"/>
    </row>
    <row r="801" spans="6:6">
      <c r="F801" s="7"/>
    </row>
    <row r="802" spans="6:6">
      <c r="F802" s="7"/>
    </row>
    <row r="803" spans="6:6">
      <c r="F803" s="7"/>
    </row>
    <row r="804" spans="6:6">
      <c r="F804" s="7"/>
    </row>
    <row r="805" spans="6:6">
      <c r="F805" s="7"/>
    </row>
    <row r="806" spans="6:6">
      <c r="F806" s="7"/>
    </row>
    <row r="807" spans="6:6">
      <c r="F807" s="7"/>
    </row>
    <row r="808" spans="6:6">
      <c r="F808" s="7"/>
    </row>
    <row r="809" spans="6:6">
      <c r="F809" s="7"/>
    </row>
    <row r="810" spans="6:6">
      <c r="F810" s="7"/>
    </row>
    <row r="811" spans="6:6">
      <c r="F811" s="7"/>
    </row>
    <row r="812" spans="6:6">
      <c r="F812" s="7"/>
    </row>
    <row r="813" spans="6:6">
      <c r="F813" s="7"/>
    </row>
    <row r="814" spans="6:6">
      <c r="F814" s="7"/>
    </row>
    <row r="815" spans="6:6">
      <c r="F815" s="7"/>
    </row>
    <row r="816" spans="6:6">
      <c r="F816" s="7"/>
    </row>
    <row r="817" spans="6:6">
      <c r="F817" s="7"/>
    </row>
    <row r="818" spans="6:6">
      <c r="F818" s="7"/>
    </row>
    <row r="819" spans="6:6">
      <c r="F819" s="7"/>
    </row>
    <row r="820" spans="6:6">
      <c r="F820" s="7"/>
    </row>
    <row r="821" spans="6:6">
      <c r="F821" s="7"/>
    </row>
    <row r="822" spans="6:6">
      <c r="F822" s="7"/>
    </row>
    <row r="823" spans="6:6">
      <c r="F823" s="7"/>
    </row>
    <row r="824" spans="6:6">
      <c r="F824" s="7"/>
    </row>
    <row r="825" spans="6:6">
      <c r="F825" s="7"/>
    </row>
    <row r="826" spans="6:6">
      <c r="F826" s="7"/>
    </row>
    <row r="827" spans="6:6">
      <c r="F827" s="7"/>
    </row>
    <row r="828" spans="6:6">
      <c r="F828" s="7"/>
    </row>
    <row r="829" spans="6:6">
      <c r="F829" s="7"/>
    </row>
    <row r="830" spans="6:6">
      <c r="F830" s="7"/>
    </row>
    <row r="831" spans="6:6">
      <c r="F831" s="7"/>
    </row>
    <row r="832" spans="6:6">
      <c r="F832" s="7"/>
    </row>
    <row r="833" spans="6:6">
      <c r="F833" s="7"/>
    </row>
    <row r="834" spans="6:6">
      <c r="F834" s="7"/>
    </row>
    <row r="835" spans="6:6">
      <c r="F835" s="7"/>
    </row>
    <row r="836" spans="6:6">
      <c r="F836" s="7"/>
    </row>
    <row r="837" spans="6:6">
      <c r="F837" s="7"/>
    </row>
    <row r="838" spans="6:6">
      <c r="F838" s="7"/>
    </row>
    <row r="839" spans="6:6">
      <c r="F839" s="7"/>
    </row>
    <row r="840" spans="6:6">
      <c r="F840" s="7"/>
    </row>
    <row r="841" spans="6:6">
      <c r="F841" s="7"/>
    </row>
    <row r="842" spans="6:6">
      <c r="F842" s="7"/>
    </row>
    <row r="843" spans="6:6">
      <c r="F843" s="7"/>
    </row>
    <row r="844" spans="6:6">
      <c r="F844" s="7"/>
    </row>
    <row r="845" spans="6:6">
      <c r="F845" s="7"/>
    </row>
    <row r="846" spans="6:6">
      <c r="F846" s="7"/>
    </row>
    <row r="847" spans="6:6">
      <c r="F847" s="7"/>
    </row>
    <row r="848" spans="6:6">
      <c r="F848" s="7"/>
    </row>
    <row r="849" spans="6:6">
      <c r="F849" s="7"/>
    </row>
    <row r="850" spans="6:6">
      <c r="F850" s="7"/>
    </row>
    <row r="851" spans="6:6">
      <c r="F851" s="7"/>
    </row>
    <row r="852" spans="6:6">
      <c r="F852" s="7"/>
    </row>
    <row r="853" spans="6:6">
      <c r="F853" s="7"/>
    </row>
    <row r="854" spans="6:6">
      <c r="F854" s="7"/>
    </row>
    <row r="855" spans="6:6">
      <c r="F855" s="7"/>
    </row>
    <row r="856" spans="6:6">
      <c r="F856" s="7"/>
    </row>
    <row r="857" spans="6:6">
      <c r="F857" s="7"/>
    </row>
    <row r="858" spans="6:6">
      <c r="F858" s="7"/>
    </row>
    <row r="859" spans="6:6">
      <c r="F859" s="7"/>
    </row>
    <row r="860" spans="6:6">
      <c r="F860" s="7"/>
    </row>
    <row r="861" spans="6:6">
      <c r="F861" s="7"/>
    </row>
    <row r="862" spans="6:6">
      <c r="F862" s="7"/>
    </row>
    <row r="863" spans="6:6">
      <c r="F863" s="7"/>
    </row>
    <row r="864" spans="6:6">
      <c r="F864" s="7"/>
    </row>
    <row r="865" spans="6:6">
      <c r="F865" s="7"/>
    </row>
    <row r="866" spans="6:6">
      <c r="F866" s="7"/>
    </row>
    <row r="867" spans="6:6">
      <c r="F867" s="7"/>
    </row>
    <row r="868" spans="6:6">
      <c r="F868" s="7"/>
    </row>
    <row r="869" spans="6:6">
      <c r="F869" s="7"/>
    </row>
    <row r="870" spans="6:6">
      <c r="F870" s="7"/>
    </row>
    <row r="871" spans="6:6">
      <c r="F871" s="7"/>
    </row>
    <row r="872" spans="6:6">
      <c r="F872" s="7"/>
    </row>
    <row r="873" spans="6:6">
      <c r="F873" s="7"/>
    </row>
    <row r="874" spans="6:6">
      <c r="F874" s="7"/>
    </row>
    <row r="875" spans="6:6">
      <c r="F875" s="7"/>
    </row>
    <row r="876" spans="6:6">
      <c r="F876" s="7"/>
    </row>
    <row r="877" spans="6:6">
      <c r="F877" s="7"/>
    </row>
    <row r="878" spans="6:6">
      <c r="F878" s="7"/>
    </row>
    <row r="879" spans="6:6">
      <c r="F879" s="7"/>
    </row>
    <row r="880" spans="6:6">
      <c r="F880" s="7"/>
    </row>
    <row r="881" spans="6:6">
      <c r="F881" s="7"/>
    </row>
    <row r="882" spans="6:6">
      <c r="F882" s="7"/>
    </row>
    <row r="883" spans="6:6">
      <c r="F883" s="7"/>
    </row>
    <row r="884" spans="6:6">
      <c r="F884" s="7"/>
    </row>
    <row r="885" spans="6:6">
      <c r="F885" s="7"/>
    </row>
    <row r="886" spans="6:6">
      <c r="F886" s="7"/>
    </row>
    <row r="887" spans="6:6">
      <c r="F887" s="7"/>
    </row>
    <row r="888" spans="6:6">
      <c r="F888" s="7"/>
    </row>
    <row r="889" spans="6:6">
      <c r="F889" s="7"/>
    </row>
    <row r="890" spans="6:6">
      <c r="F890" s="7"/>
    </row>
    <row r="891" spans="6:6">
      <c r="F891" s="7"/>
    </row>
    <row r="892" spans="6:6">
      <c r="F892" s="7"/>
    </row>
    <row r="893" spans="6:6">
      <c r="F893" s="7"/>
    </row>
    <row r="894" spans="6:6">
      <c r="F894" s="7"/>
    </row>
    <row r="895" spans="6:6">
      <c r="F895" s="7"/>
    </row>
    <row r="896" spans="6:6">
      <c r="F896" s="7"/>
    </row>
    <row r="897" spans="6:6">
      <c r="F897" s="7"/>
    </row>
    <row r="898" spans="6:6">
      <c r="F898" s="7"/>
    </row>
    <row r="899" spans="6:6">
      <c r="F899" s="7"/>
    </row>
    <row r="900" spans="6:6">
      <c r="F900" s="7"/>
    </row>
    <row r="901" spans="6:6">
      <c r="F901" s="7"/>
    </row>
    <row r="902" spans="6:6">
      <c r="F902" s="7"/>
    </row>
    <row r="903" spans="6:6">
      <c r="F903" s="7"/>
    </row>
    <row r="904" spans="6:6">
      <c r="F904" s="7"/>
    </row>
    <row r="905" spans="6:6">
      <c r="F905" s="7"/>
    </row>
    <row r="906" spans="6:6">
      <c r="F906" s="7"/>
    </row>
    <row r="907" spans="6:6">
      <c r="F907" s="7"/>
    </row>
    <row r="908" spans="6:6">
      <c r="F908" s="7"/>
    </row>
    <row r="909" spans="6:6">
      <c r="F909" s="7"/>
    </row>
    <row r="910" spans="6:6">
      <c r="F910" s="7"/>
    </row>
    <row r="911" spans="6:6">
      <c r="F911" s="7"/>
    </row>
    <row r="912" spans="6:6">
      <c r="F912" s="7"/>
    </row>
    <row r="913" spans="6:6">
      <c r="F913" s="7"/>
    </row>
    <row r="914" spans="6:6">
      <c r="F914" s="7"/>
    </row>
    <row r="915" spans="6:6">
      <c r="F915" s="7"/>
    </row>
    <row r="916" spans="6:6">
      <c r="F916" s="7"/>
    </row>
    <row r="917" spans="6:6">
      <c r="F917" s="7"/>
    </row>
    <row r="918" spans="6:6">
      <c r="F918" s="7"/>
    </row>
    <row r="919" spans="6:6">
      <c r="F919" s="7"/>
    </row>
    <row r="920" spans="6:6">
      <c r="F920" s="7"/>
    </row>
    <row r="921" spans="6:6">
      <c r="F921" s="7"/>
    </row>
    <row r="922" spans="6:6">
      <c r="F922" s="7"/>
    </row>
    <row r="923" spans="6:6">
      <c r="F923" s="7"/>
    </row>
    <row r="924" spans="6:6">
      <c r="F924" s="7"/>
    </row>
    <row r="925" spans="6:6">
      <c r="F925" s="7"/>
    </row>
    <row r="926" spans="6:6">
      <c r="F926" s="7"/>
    </row>
    <row r="927" spans="6:6">
      <c r="F927" s="7"/>
    </row>
    <row r="928" spans="6:6">
      <c r="F928" s="7"/>
    </row>
    <row r="929" spans="6:6">
      <c r="F929" s="7"/>
    </row>
    <row r="930" spans="6:6">
      <c r="F930" s="7"/>
    </row>
    <row r="931" spans="6:6">
      <c r="F931" s="7"/>
    </row>
    <row r="932" spans="6:6">
      <c r="F932" s="7"/>
    </row>
    <row r="933" spans="6:6">
      <c r="F933" s="7"/>
    </row>
    <row r="934" spans="6:6">
      <c r="F934" s="7"/>
    </row>
    <row r="935" spans="6:6">
      <c r="F935" s="7"/>
    </row>
    <row r="936" spans="6:6">
      <c r="F936" s="7"/>
    </row>
    <row r="937" spans="6:6">
      <c r="F937" s="7"/>
    </row>
    <row r="938" spans="6:6">
      <c r="F938" s="7"/>
    </row>
    <row r="939" spans="6:6">
      <c r="F939" s="7"/>
    </row>
    <row r="940" spans="6:6">
      <c r="F940" s="7"/>
    </row>
    <row r="941" spans="6:6">
      <c r="F941" s="7"/>
    </row>
    <row r="942" spans="6:6">
      <c r="F942" s="7"/>
    </row>
    <row r="943" spans="6:6">
      <c r="F943" s="7"/>
    </row>
    <row r="944" spans="6:6">
      <c r="F944" s="7"/>
    </row>
    <row r="945" spans="6:6">
      <c r="F945" s="7"/>
    </row>
    <row r="946" spans="6:6">
      <c r="F946" s="7"/>
    </row>
    <row r="947" spans="6:6">
      <c r="F947" s="7"/>
    </row>
    <row r="948" spans="6:6">
      <c r="F948" s="7"/>
    </row>
    <row r="949" spans="6:6">
      <c r="F949" s="7"/>
    </row>
    <row r="950" spans="6:6">
      <c r="F950" s="7"/>
    </row>
    <row r="951" spans="6:6">
      <c r="F951" s="7"/>
    </row>
    <row r="952" spans="6:6">
      <c r="F952" s="7"/>
    </row>
    <row r="953" spans="6:6">
      <c r="F953" s="7"/>
    </row>
    <row r="954" spans="6:6">
      <c r="F954" s="7"/>
    </row>
    <row r="955" spans="6:6">
      <c r="F955" s="7"/>
    </row>
    <row r="956" spans="6:6">
      <c r="F956" s="7"/>
    </row>
    <row r="957" spans="6:6">
      <c r="F957" s="7"/>
    </row>
    <row r="958" spans="6:6">
      <c r="F958" s="7"/>
    </row>
    <row r="959" spans="6:6">
      <c r="F959" s="7"/>
    </row>
    <row r="960" spans="6:6">
      <c r="F960" s="7"/>
    </row>
    <row r="961" spans="6:6">
      <c r="F961" s="7"/>
    </row>
    <row r="962" spans="6:6">
      <c r="F962" s="7"/>
    </row>
    <row r="963" spans="6:6">
      <c r="F963" s="7"/>
    </row>
    <row r="964" spans="6:6">
      <c r="F964" s="7"/>
    </row>
    <row r="965" spans="6:6">
      <c r="F965" s="7"/>
    </row>
    <row r="966" spans="6:6">
      <c r="F966" s="7"/>
    </row>
    <row r="967" spans="6:6">
      <c r="F967" s="7"/>
    </row>
    <row r="968" spans="6:6">
      <c r="F968" s="7"/>
    </row>
    <row r="969" spans="6:6">
      <c r="F969" s="7"/>
    </row>
    <row r="970" spans="6:6">
      <c r="F970" s="7"/>
    </row>
    <row r="971" spans="6:6">
      <c r="F971" s="7"/>
    </row>
    <row r="972" spans="6:6">
      <c r="F972" s="7"/>
    </row>
    <row r="973" spans="6:6">
      <c r="F973" s="7"/>
    </row>
    <row r="974" spans="6:6">
      <c r="F974" s="7"/>
    </row>
    <row r="975" spans="6:6">
      <c r="F975" s="7"/>
    </row>
    <row r="976" spans="6:6">
      <c r="F976" s="7"/>
    </row>
    <row r="977" spans="6:6">
      <c r="F977" s="7"/>
    </row>
    <row r="978" spans="6:6">
      <c r="F978" s="7"/>
    </row>
    <row r="979" spans="6:6">
      <c r="F979" s="7"/>
    </row>
    <row r="980" spans="6:6">
      <c r="F980" s="7"/>
    </row>
    <row r="981" spans="6:6">
      <c r="F981" s="7"/>
    </row>
    <row r="982" spans="6:6">
      <c r="F982" s="7"/>
    </row>
    <row r="983" spans="6:6">
      <c r="F983" s="7"/>
    </row>
    <row r="984" spans="6:6">
      <c r="F984" s="7"/>
    </row>
    <row r="985" spans="6:6">
      <c r="F985" s="7"/>
    </row>
    <row r="986" spans="6:6">
      <c r="F986" s="7"/>
    </row>
    <row r="987" spans="6:6">
      <c r="F987" s="7"/>
    </row>
    <row r="988" spans="6:6">
      <c r="F988" s="7"/>
    </row>
    <row r="989" spans="6:6">
      <c r="F989" s="7"/>
    </row>
    <row r="990" spans="6:6">
      <c r="F990" s="7"/>
    </row>
    <row r="991" spans="6:6">
      <c r="F991" s="7"/>
    </row>
    <row r="992" spans="6:6">
      <c r="F992" s="7"/>
    </row>
    <row r="993" spans="6:6">
      <c r="F993" s="7"/>
    </row>
    <row r="994" spans="6:6">
      <c r="F994" s="7"/>
    </row>
    <row r="995" spans="6:6">
      <c r="F995" s="7"/>
    </row>
    <row r="996" spans="6:6">
      <c r="F996" s="7"/>
    </row>
    <row r="997" spans="6:6">
      <c r="F997" s="7"/>
    </row>
    <row r="998" spans="6:6">
      <c r="F998" s="7"/>
    </row>
    <row r="999" spans="6:6">
      <c r="F999" s="7"/>
    </row>
    <row r="1000" spans="6:6">
      <c r="F1000" s="7"/>
    </row>
    <row r="1001" spans="6:6">
      <c r="F1001" s="7"/>
    </row>
    <row r="1002" spans="6:6">
      <c r="F1002" s="7"/>
    </row>
    <row r="1003" spans="6:6">
      <c r="F1003" s="7"/>
    </row>
    <row r="1004" spans="6:6">
      <c r="F1004" s="7"/>
    </row>
    <row r="1005" spans="6:6">
      <c r="F1005" s="7"/>
    </row>
    <row r="1006" spans="6:6">
      <c r="F1006" s="7"/>
    </row>
    <row r="1007" spans="6:6">
      <c r="F1007" s="7"/>
    </row>
    <row r="1008" spans="6:6">
      <c r="F1008" s="7"/>
    </row>
    <row r="1009" spans="6:6">
      <c r="F1009" s="7"/>
    </row>
    <row r="1010" spans="6:6">
      <c r="F1010" s="7"/>
    </row>
    <row r="1011" spans="6:6">
      <c r="F1011" s="7"/>
    </row>
    <row r="1012" spans="6:6">
      <c r="F1012" s="7"/>
    </row>
    <row r="1013" spans="6:6">
      <c r="F1013" s="7"/>
    </row>
    <row r="1014" spans="6:6">
      <c r="F1014" s="7"/>
    </row>
    <row r="1015" spans="6:6">
      <c r="F1015" s="7"/>
    </row>
    <row r="1016" spans="6:6">
      <c r="F1016" s="7"/>
    </row>
    <row r="1017" spans="6:6">
      <c r="F1017" s="7"/>
    </row>
    <row r="1018" spans="6:6">
      <c r="F1018" s="7"/>
    </row>
    <row r="1019" spans="6:6">
      <c r="F1019" s="7"/>
    </row>
    <row r="1020" spans="6:6">
      <c r="F1020" s="7"/>
    </row>
    <row r="1021" spans="6:6">
      <c r="F1021" s="7"/>
    </row>
    <row r="1022" spans="6:6">
      <c r="F1022" s="7"/>
    </row>
    <row r="1023" spans="6:6">
      <c r="F1023" s="7"/>
    </row>
    <row r="1024" spans="6:6">
      <c r="F1024" s="7"/>
    </row>
    <row r="1025" spans="6:6">
      <c r="F1025" s="7"/>
    </row>
    <row r="1026" spans="6:6">
      <c r="F1026" s="7"/>
    </row>
    <row r="1027" spans="6:6">
      <c r="F1027" s="7"/>
    </row>
    <row r="1028" spans="6:6">
      <c r="F1028" s="7"/>
    </row>
    <row r="1029" spans="6:6">
      <c r="F1029" s="7"/>
    </row>
    <row r="1030" spans="6:6">
      <c r="F1030" s="7"/>
    </row>
    <row r="1031" spans="6:6">
      <c r="F1031" s="7"/>
    </row>
    <row r="1032" spans="6:6">
      <c r="F1032" s="7"/>
    </row>
    <row r="1033" spans="6:6">
      <c r="F1033" s="7"/>
    </row>
    <row r="1034" spans="6:6">
      <c r="F1034" s="7"/>
    </row>
    <row r="1035" spans="6:6">
      <c r="F1035" s="7"/>
    </row>
    <row r="1036" spans="6:6">
      <c r="F1036" s="7"/>
    </row>
    <row r="1037" spans="6:6">
      <c r="F1037" s="7"/>
    </row>
    <row r="1038" spans="6:6">
      <c r="F1038" s="7"/>
    </row>
    <row r="1039" spans="6:6">
      <c r="F1039" s="7"/>
    </row>
    <row r="1040" spans="6:6">
      <c r="F1040" s="7"/>
    </row>
    <row r="1041" spans="6:6">
      <c r="F1041" s="7"/>
    </row>
    <row r="1042" spans="6:6">
      <c r="F1042" s="7"/>
    </row>
    <row r="1043" spans="6:6">
      <c r="F1043" s="7"/>
    </row>
    <row r="1044" spans="6:6">
      <c r="F1044" s="7"/>
    </row>
    <row r="1045" spans="6:6">
      <c r="F1045" s="7"/>
    </row>
    <row r="1046" spans="6:6">
      <c r="F1046" s="7"/>
    </row>
    <row r="1047" spans="6:6">
      <c r="F1047" s="7"/>
    </row>
    <row r="1048" spans="6:6">
      <c r="F1048" s="7"/>
    </row>
    <row r="1049" spans="6:6">
      <c r="F1049" s="7"/>
    </row>
    <row r="1050" spans="6:6">
      <c r="F1050" s="7"/>
    </row>
    <row r="1051" spans="6:6">
      <c r="F1051" s="7"/>
    </row>
    <row r="1052" spans="6:6">
      <c r="F1052" s="7"/>
    </row>
    <row r="1053" spans="6:6">
      <c r="F1053" s="7"/>
    </row>
    <row r="1054" spans="6:6">
      <c r="F1054" s="7"/>
    </row>
    <row r="1055" spans="6:6">
      <c r="F1055" s="7"/>
    </row>
    <row r="1056" spans="6:6">
      <c r="F1056" s="7"/>
    </row>
    <row r="1057" spans="6:6">
      <c r="F1057" s="7"/>
    </row>
    <row r="1058" spans="6:6">
      <c r="F1058" s="7"/>
    </row>
    <row r="1059" spans="6:6">
      <c r="F1059" s="7"/>
    </row>
    <row r="1060" spans="6:6">
      <c r="F1060" s="7"/>
    </row>
    <row r="1061" spans="6:6">
      <c r="F1061" s="7"/>
    </row>
    <row r="1062" spans="6:6">
      <c r="F1062" s="7"/>
    </row>
    <row r="1063" spans="6:6">
      <c r="F1063" s="7"/>
    </row>
    <row r="1064" spans="6:6">
      <c r="F1064" s="7"/>
    </row>
    <row r="1065" spans="6:6">
      <c r="F1065" s="7"/>
    </row>
    <row r="1066" spans="6:6">
      <c r="F1066" s="7"/>
    </row>
    <row r="1067" spans="6:6">
      <c r="F1067" s="7"/>
    </row>
    <row r="1068" spans="6:6">
      <c r="F1068" s="7"/>
    </row>
    <row r="1069" spans="6:6">
      <c r="F1069" s="7"/>
    </row>
    <row r="1070" spans="6:6">
      <c r="F1070" s="7"/>
    </row>
    <row r="1071" spans="6:6">
      <c r="F1071" s="7"/>
    </row>
    <row r="1072" spans="6:6">
      <c r="F1072" s="7"/>
    </row>
    <row r="1073" spans="6:6">
      <c r="F1073" s="7"/>
    </row>
    <row r="1074" spans="6:6">
      <c r="F1074" s="7"/>
    </row>
    <row r="1075" spans="6:6">
      <c r="F1075" s="7"/>
    </row>
    <row r="1076" spans="6:6">
      <c r="F1076" s="7"/>
    </row>
    <row r="1077" spans="6:6">
      <c r="F1077" s="7"/>
    </row>
    <row r="1078" spans="6:6">
      <c r="F1078" s="7"/>
    </row>
    <row r="1079" spans="6:6">
      <c r="F1079" s="7"/>
    </row>
    <row r="1080" spans="6:6">
      <c r="F1080" s="7"/>
    </row>
    <row r="1081" spans="6:6">
      <c r="F1081" s="7"/>
    </row>
    <row r="1082" spans="6:6">
      <c r="F1082" s="7"/>
    </row>
    <row r="1083" spans="6:6">
      <c r="F1083" s="7"/>
    </row>
    <row r="1084" spans="6:6">
      <c r="F1084" s="7"/>
    </row>
    <row r="1085" spans="6:6">
      <c r="F1085" s="7"/>
    </row>
    <row r="1086" spans="6:6">
      <c r="F1086" s="7"/>
    </row>
    <row r="1087" spans="6:6">
      <c r="F1087" s="7"/>
    </row>
    <row r="1088" spans="6:6">
      <c r="F1088" s="7"/>
    </row>
    <row r="1089" spans="6:6">
      <c r="F1089" s="7"/>
    </row>
    <row r="1090" spans="6:6">
      <c r="F1090" s="7"/>
    </row>
    <row r="1091" spans="6:6">
      <c r="F1091" s="7"/>
    </row>
    <row r="1092" spans="6:6">
      <c r="F1092" s="7"/>
    </row>
    <row r="1093" spans="6:6">
      <c r="F1093" s="7"/>
    </row>
    <row r="1094" spans="6:6">
      <c r="F1094" s="7"/>
    </row>
    <row r="1095" spans="6:6">
      <c r="F1095" s="7"/>
    </row>
    <row r="1096" spans="6:6">
      <c r="F1096" s="7"/>
    </row>
    <row r="1097" spans="6:6">
      <c r="F1097" s="7"/>
    </row>
    <row r="1098" spans="6:6">
      <c r="F1098" s="7"/>
    </row>
    <row r="1099" spans="6:6">
      <c r="F1099" s="7"/>
    </row>
    <row r="1100" spans="6:6">
      <c r="F1100" s="7"/>
    </row>
    <row r="1101" spans="6:6">
      <c r="F1101" s="7"/>
    </row>
    <row r="1102" spans="6:6">
      <c r="F1102" s="7"/>
    </row>
    <row r="1103" spans="6:6">
      <c r="F1103" s="7"/>
    </row>
    <row r="1104" spans="6:6">
      <c r="F1104" s="7"/>
    </row>
    <row r="1105" spans="6:6">
      <c r="F1105" s="7"/>
    </row>
    <row r="1106" spans="6:6">
      <c r="F1106" s="7"/>
    </row>
    <row r="1107" spans="6:6">
      <c r="F1107" s="7"/>
    </row>
    <row r="1108" spans="6:6">
      <c r="F1108" s="7"/>
    </row>
    <row r="1109" spans="6:6">
      <c r="F1109" s="7"/>
    </row>
    <row r="1110" spans="6:6">
      <c r="F1110" s="7"/>
    </row>
    <row r="1111" spans="6:6">
      <c r="F1111" s="7"/>
    </row>
    <row r="1112" spans="6:6">
      <c r="F1112" s="7"/>
    </row>
    <row r="1113" spans="6:6">
      <c r="F1113" s="7"/>
    </row>
    <row r="1114" spans="6:6">
      <c r="F1114" s="7"/>
    </row>
    <row r="1115" spans="6:6">
      <c r="F1115" s="7"/>
    </row>
    <row r="1116" spans="6:6">
      <c r="F1116" s="7"/>
    </row>
    <row r="1117" spans="6:6">
      <c r="F1117" s="7"/>
    </row>
    <row r="1118" spans="6:6">
      <c r="F1118" s="7"/>
    </row>
    <row r="1119" spans="6:6">
      <c r="F1119" s="7"/>
    </row>
    <row r="1120" spans="6:6">
      <c r="F1120" s="7"/>
    </row>
    <row r="1121" spans="6:6">
      <c r="F1121" s="7"/>
    </row>
    <row r="1122" spans="6:6">
      <c r="F1122" s="7"/>
    </row>
    <row r="1123" spans="6:6">
      <c r="F1123" s="7"/>
    </row>
    <row r="1124" spans="6:6">
      <c r="F1124" s="7"/>
    </row>
    <row r="1125" spans="6:6">
      <c r="F1125" s="7"/>
    </row>
    <row r="1126" spans="6:6">
      <c r="F1126" s="7"/>
    </row>
    <row r="1127" spans="6:6">
      <c r="F1127" s="7"/>
    </row>
    <row r="1128" spans="6:6">
      <c r="F1128" s="7"/>
    </row>
    <row r="1129" spans="6:6">
      <c r="F1129" s="7"/>
    </row>
    <row r="1130" spans="6:6">
      <c r="F1130" s="7"/>
    </row>
    <row r="1131" spans="6:6">
      <c r="F1131" s="7"/>
    </row>
    <row r="1132" spans="6:6">
      <c r="F1132" s="7"/>
    </row>
    <row r="1133" spans="6:6">
      <c r="F1133" s="7"/>
    </row>
    <row r="1134" spans="6:6">
      <c r="F1134" s="7"/>
    </row>
    <row r="1135" spans="6:6">
      <c r="F1135" s="7"/>
    </row>
    <row r="1136" spans="6:6">
      <c r="F1136" s="7"/>
    </row>
    <row r="1137" spans="6:6">
      <c r="F1137" s="7"/>
    </row>
    <row r="1138" spans="6:6">
      <c r="F1138" s="7"/>
    </row>
    <row r="1139" spans="6:6">
      <c r="F1139" s="7"/>
    </row>
    <row r="1140" spans="6:6">
      <c r="F1140" s="7"/>
    </row>
    <row r="1141" spans="6:6">
      <c r="F1141" s="7"/>
    </row>
    <row r="1142" spans="6:6">
      <c r="F1142" s="7"/>
    </row>
    <row r="1143" spans="6:6">
      <c r="F1143" s="7"/>
    </row>
    <row r="1144" spans="6:6">
      <c r="F1144" s="7"/>
    </row>
    <row r="1145" spans="6:6">
      <c r="F1145" s="7"/>
    </row>
    <row r="1146" spans="6:6">
      <c r="F1146" s="7"/>
    </row>
    <row r="1147" spans="6:6">
      <c r="F1147" s="7"/>
    </row>
    <row r="1148" spans="6:6">
      <c r="F1148" s="7"/>
    </row>
    <row r="1149" spans="6:6">
      <c r="F1149" s="7"/>
    </row>
    <row r="1150" spans="6:6">
      <c r="F1150" s="7"/>
    </row>
    <row r="1151" spans="6:6">
      <c r="F1151" s="7"/>
    </row>
    <row r="1152" spans="6:6">
      <c r="F1152" s="7"/>
    </row>
    <row r="1153" spans="6:6">
      <c r="F1153" s="7"/>
    </row>
    <row r="1154" spans="6:6">
      <c r="F1154" s="7"/>
    </row>
    <row r="1155" spans="6:6">
      <c r="F1155" s="7"/>
    </row>
    <row r="1156" spans="6:6">
      <c r="F1156" s="7"/>
    </row>
    <row r="1157" spans="6:6">
      <c r="F1157" s="7"/>
    </row>
    <row r="1158" spans="6:6">
      <c r="F1158" s="7"/>
    </row>
    <row r="1159" spans="6:6">
      <c r="F1159" s="7"/>
    </row>
    <row r="1160" spans="6:6">
      <c r="F1160" s="7"/>
    </row>
    <row r="1161" spans="6:6">
      <c r="F1161" s="7"/>
    </row>
    <row r="1162" spans="6:6">
      <c r="F1162" s="7"/>
    </row>
    <row r="1163" spans="6:6">
      <c r="F1163" s="7"/>
    </row>
    <row r="1164" spans="6:6">
      <c r="F1164" s="7"/>
    </row>
    <row r="1165" spans="6:6">
      <c r="F1165" s="7"/>
    </row>
    <row r="1166" spans="6:6">
      <c r="F1166" s="7"/>
    </row>
    <row r="1167" spans="6:6">
      <c r="F1167" s="7"/>
    </row>
    <row r="1168" spans="6:6">
      <c r="F1168" s="7"/>
    </row>
    <row r="1169" spans="6:6">
      <c r="F1169" s="7"/>
    </row>
    <row r="1170" spans="6:6">
      <c r="F1170" s="7"/>
    </row>
    <row r="1171" spans="6:6">
      <c r="F1171" s="7"/>
    </row>
    <row r="1172" spans="6:6">
      <c r="F1172" s="7"/>
    </row>
    <row r="1173" spans="6:6">
      <c r="F1173" s="7"/>
    </row>
    <row r="1174" spans="6:6">
      <c r="F1174" s="7"/>
    </row>
    <row r="1175" spans="6:6">
      <c r="F1175" s="7"/>
    </row>
    <row r="1176" spans="6:6">
      <c r="F1176" s="7"/>
    </row>
    <row r="1177" spans="6:6">
      <c r="F1177" s="7"/>
    </row>
    <row r="1178" spans="6:6">
      <c r="F1178" s="7"/>
    </row>
    <row r="1179" spans="6:6">
      <c r="F1179" s="7"/>
    </row>
    <row r="1180" spans="6:6">
      <c r="F1180" s="7"/>
    </row>
    <row r="1181" spans="6:6">
      <c r="F1181" s="7"/>
    </row>
    <row r="1182" spans="6:6">
      <c r="F1182" s="7"/>
    </row>
    <row r="1183" spans="6:6">
      <c r="F1183" s="7"/>
    </row>
    <row r="1184" spans="6:6">
      <c r="F1184" s="7"/>
    </row>
    <row r="1185" spans="6:6">
      <c r="F1185" s="7"/>
    </row>
    <row r="1186" spans="6:6">
      <c r="F1186" s="7"/>
    </row>
    <row r="1187" spans="6:6">
      <c r="F1187" s="7"/>
    </row>
    <row r="1188" spans="6:6">
      <c r="F1188" s="7"/>
    </row>
    <row r="1189" spans="6:6">
      <c r="F1189" s="7"/>
    </row>
    <row r="1190" spans="6:6">
      <c r="F1190" s="7"/>
    </row>
    <row r="1191" spans="6:6">
      <c r="F1191" s="7"/>
    </row>
    <row r="1192" spans="6:6">
      <c r="F1192" s="7"/>
    </row>
    <row r="1193" spans="6:6">
      <c r="F1193" s="7"/>
    </row>
    <row r="1194" spans="6:6">
      <c r="F1194" s="7"/>
    </row>
    <row r="1195" spans="6:6">
      <c r="F1195" s="7"/>
    </row>
    <row r="1196" spans="6:6">
      <c r="F1196" s="7"/>
    </row>
    <row r="1197" spans="6:6">
      <c r="F1197" s="7"/>
    </row>
    <row r="1198" spans="6:6">
      <c r="F1198" s="7"/>
    </row>
    <row r="1199" spans="6:6">
      <c r="F1199" s="7"/>
    </row>
    <row r="1200" spans="6:6">
      <c r="F1200" s="7"/>
    </row>
    <row r="1201" spans="6:6">
      <c r="F1201" s="7"/>
    </row>
    <row r="1202" spans="6:6">
      <c r="F1202" s="7"/>
    </row>
    <row r="1203" spans="6:6">
      <c r="F1203" s="7"/>
    </row>
    <row r="1204" spans="6:6">
      <c r="F1204" s="7"/>
    </row>
    <row r="1205" spans="6:6">
      <c r="F1205" s="7"/>
    </row>
    <row r="1206" spans="6:6">
      <c r="F1206" s="7"/>
    </row>
    <row r="1207" spans="6:6">
      <c r="F1207" s="7"/>
    </row>
    <row r="1208" spans="6:6">
      <c r="F1208" s="7"/>
    </row>
    <row r="1209" spans="6:6">
      <c r="F1209" s="7"/>
    </row>
    <row r="1210" spans="6:6">
      <c r="F1210" s="7"/>
    </row>
    <row r="1211" spans="6:6">
      <c r="F1211" s="7"/>
    </row>
    <row r="1212" spans="6:6">
      <c r="F1212" s="7"/>
    </row>
    <row r="1213" spans="6:6">
      <c r="F1213" s="7"/>
    </row>
    <row r="1214" spans="6:6">
      <c r="F1214" s="7"/>
    </row>
    <row r="1215" spans="6:6">
      <c r="F1215" s="7"/>
    </row>
    <row r="1216" spans="6:6">
      <c r="F1216" s="7"/>
    </row>
    <row r="1217" spans="6:6">
      <c r="F1217" s="7"/>
    </row>
    <row r="1218" spans="6:6">
      <c r="F1218" s="7"/>
    </row>
    <row r="1219" spans="6:6">
      <c r="F1219" s="7"/>
    </row>
    <row r="1220" spans="6:6">
      <c r="F1220" s="7"/>
    </row>
    <row r="1221" spans="6:6">
      <c r="F1221" s="7"/>
    </row>
    <row r="1222" spans="6:6">
      <c r="F1222" s="7"/>
    </row>
    <row r="1223" spans="6:6">
      <c r="F1223" s="7"/>
    </row>
    <row r="1224" spans="6:6">
      <c r="F1224" s="7"/>
    </row>
    <row r="1225" spans="6:6">
      <c r="F1225" s="7"/>
    </row>
    <row r="1226" spans="6:6">
      <c r="F1226" s="7"/>
    </row>
    <row r="1227" spans="6:6">
      <c r="F1227" s="7"/>
    </row>
    <row r="1228" spans="6:6">
      <c r="F1228" s="7"/>
    </row>
    <row r="1229" spans="6:6">
      <c r="F1229" s="7"/>
    </row>
    <row r="1230" spans="6:6">
      <c r="F1230" s="7"/>
    </row>
    <row r="1231" spans="6:6">
      <c r="F1231" s="7"/>
    </row>
    <row r="1232" spans="6:6">
      <c r="F1232" s="7"/>
    </row>
    <row r="1233" spans="6:6">
      <c r="F1233" s="7"/>
    </row>
    <row r="1234" spans="6:6">
      <c r="F1234" s="7"/>
    </row>
    <row r="1235" spans="6:6">
      <c r="F1235" s="7"/>
    </row>
    <row r="1236" spans="6:6">
      <c r="F1236" s="7"/>
    </row>
    <row r="1237" spans="6:6">
      <c r="F1237" s="7"/>
    </row>
    <row r="1238" spans="6:6">
      <c r="F1238" s="7"/>
    </row>
    <row r="1239" spans="6:6">
      <c r="F1239" s="7"/>
    </row>
    <row r="1240" spans="6:6">
      <c r="F1240" s="7"/>
    </row>
    <row r="1241" spans="6:6">
      <c r="F1241" s="7"/>
    </row>
    <row r="1242" spans="6:6">
      <c r="F1242" s="7"/>
    </row>
    <row r="1243" spans="6:6">
      <c r="F1243" s="7"/>
    </row>
    <row r="1244" spans="6:6">
      <c r="F1244" s="7"/>
    </row>
    <row r="1245" spans="6:6">
      <c r="F1245" s="7"/>
    </row>
    <row r="1246" spans="6:6">
      <c r="F1246" s="7"/>
    </row>
    <row r="1247" spans="6:6">
      <c r="F1247" s="7"/>
    </row>
    <row r="1248" spans="6:6">
      <c r="F1248" s="7"/>
    </row>
    <row r="1249" spans="6:6">
      <c r="F1249" s="7"/>
    </row>
    <row r="1250" spans="6:6">
      <c r="F1250" s="7"/>
    </row>
    <row r="1251" spans="6:6">
      <c r="F1251" s="7"/>
    </row>
    <row r="1252" spans="6:6">
      <c r="F1252" s="7"/>
    </row>
    <row r="1253" spans="6:6">
      <c r="F1253" s="7"/>
    </row>
    <row r="1254" spans="6:6">
      <c r="F1254" s="7"/>
    </row>
    <row r="1255" spans="6:6">
      <c r="F1255" s="7"/>
    </row>
    <row r="1256" spans="6:6">
      <c r="F1256" s="7"/>
    </row>
    <row r="1257" spans="6:6">
      <c r="F1257" s="7"/>
    </row>
    <row r="1258" spans="6:6">
      <c r="F1258" s="7"/>
    </row>
    <row r="1259" spans="6:6">
      <c r="F1259" s="7"/>
    </row>
    <row r="1260" spans="6:6">
      <c r="F1260" s="7"/>
    </row>
    <row r="1261" spans="6:6">
      <c r="F1261" s="7"/>
    </row>
    <row r="1262" spans="6:6">
      <c r="F1262" s="7"/>
    </row>
    <row r="1263" spans="6:6">
      <c r="F1263" s="7"/>
    </row>
    <row r="1264" spans="6:6">
      <c r="F1264" s="7"/>
    </row>
    <row r="1265" spans="6:6">
      <c r="F1265" s="7"/>
    </row>
    <row r="1266" spans="6:6">
      <c r="F1266" s="7"/>
    </row>
    <row r="1267" spans="6:6">
      <c r="F1267" s="7"/>
    </row>
    <row r="1268" spans="6:6">
      <c r="F1268" s="7"/>
    </row>
    <row r="1269" spans="6:6">
      <c r="F1269" s="7"/>
    </row>
    <row r="1270" spans="6:6">
      <c r="F1270" s="7"/>
    </row>
    <row r="1271" spans="6:6">
      <c r="F1271" s="7"/>
    </row>
    <row r="1272" spans="6:6">
      <c r="F1272" s="7"/>
    </row>
    <row r="1273" spans="6:6">
      <c r="F1273" s="7"/>
    </row>
    <row r="1274" spans="6:6">
      <c r="F1274" s="7"/>
    </row>
    <row r="1275" spans="6:6">
      <c r="F1275" s="7"/>
    </row>
    <row r="1276" spans="6:6">
      <c r="F1276" s="7"/>
    </row>
    <row r="1277" spans="6:6">
      <c r="F1277" s="7"/>
    </row>
    <row r="1278" spans="6:6">
      <c r="F1278" s="7"/>
    </row>
    <row r="1279" spans="6:6">
      <c r="F1279" s="7"/>
    </row>
    <row r="1280" spans="6:6">
      <c r="F1280" s="7"/>
    </row>
    <row r="1281" spans="6:6">
      <c r="F1281" s="7"/>
    </row>
    <row r="1282" spans="6:6">
      <c r="F1282" s="7"/>
    </row>
    <row r="1283" spans="6:6">
      <c r="F1283" s="7"/>
    </row>
    <row r="1284" spans="6:6">
      <c r="F1284" s="7"/>
    </row>
    <row r="1285" spans="6:6">
      <c r="F1285" s="7"/>
    </row>
    <row r="1286" spans="6:6">
      <c r="F1286" s="7"/>
    </row>
    <row r="1287" spans="6:6">
      <c r="F1287" s="7"/>
    </row>
    <row r="1288" spans="6:6">
      <c r="F1288" s="7"/>
    </row>
    <row r="1289" spans="6:6">
      <c r="F1289" s="7"/>
    </row>
    <row r="1290" spans="6:6">
      <c r="F1290" s="7"/>
    </row>
    <row r="1291" spans="6:6">
      <c r="F1291" s="7"/>
    </row>
    <row r="1292" spans="6:6">
      <c r="F1292" s="7"/>
    </row>
    <row r="1293" spans="6:6">
      <c r="F1293" s="7"/>
    </row>
    <row r="1294" spans="6:6">
      <c r="F1294" s="7"/>
    </row>
    <row r="1295" spans="6:6">
      <c r="F1295" s="7"/>
    </row>
    <row r="1296" spans="6:6">
      <c r="F1296" s="7"/>
    </row>
    <row r="1297" spans="6:6">
      <c r="F1297" s="7"/>
    </row>
    <row r="1298" spans="6:6">
      <c r="F1298" s="7"/>
    </row>
    <row r="1299" spans="6:6">
      <c r="F1299" s="7"/>
    </row>
    <row r="1300" spans="6:6">
      <c r="F1300" s="7"/>
    </row>
    <row r="1301" spans="6:6">
      <c r="F1301" s="7"/>
    </row>
    <row r="1302" spans="6:6">
      <c r="F1302" s="7"/>
    </row>
    <row r="1303" spans="6:6">
      <c r="F1303" s="7"/>
    </row>
    <row r="1304" spans="6:6">
      <c r="F1304" s="7"/>
    </row>
    <row r="1305" spans="6:6">
      <c r="F1305" s="7"/>
    </row>
    <row r="1306" spans="6:6">
      <c r="F1306" s="7"/>
    </row>
    <row r="1307" spans="6:6">
      <c r="F1307" s="7"/>
    </row>
    <row r="1308" spans="6:6">
      <c r="F1308" s="7"/>
    </row>
    <row r="1309" spans="6:6">
      <c r="F1309" s="7"/>
    </row>
    <row r="1310" spans="6:6">
      <c r="F1310" s="7"/>
    </row>
    <row r="1311" spans="6:6">
      <c r="F1311" s="7"/>
    </row>
    <row r="1312" spans="6:6">
      <c r="F1312" s="7"/>
    </row>
    <row r="1313" spans="6:6">
      <c r="F1313" s="7"/>
    </row>
    <row r="1314" spans="6:6">
      <c r="F1314" s="7"/>
    </row>
    <row r="1315" spans="6:6">
      <c r="F1315" s="7"/>
    </row>
    <row r="1316" spans="6:6">
      <c r="F1316" s="7"/>
    </row>
    <row r="1317" spans="6:6">
      <c r="F1317" s="7"/>
    </row>
    <row r="1318" spans="6:6">
      <c r="F1318" s="7"/>
    </row>
    <row r="1319" spans="6:6">
      <c r="F1319" s="7"/>
    </row>
    <row r="1320" spans="6:6">
      <c r="F1320" s="7"/>
    </row>
    <row r="1321" spans="6:6">
      <c r="F1321" s="7"/>
    </row>
    <row r="1322" spans="6:6">
      <c r="F1322" s="7"/>
    </row>
    <row r="1323" spans="6:6">
      <c r="F1323" s="7"/>
    </row>
    <row r="1324" spans="6:6">
      <c r="F1324" s="7"/>
    </row>
    <row r="1325" spans="6:6">
      <c r="F1325" s="7"/>
    </row>
    <row r="1326" spans="6:6">
      <c r="F1326" s="7"/>
    </row>
    <row r="1327" spans="6:6">
      <c r="F1327" s="7"/>
    </row>
    <row r="1328" spans="6:6">
      <c r="F1328" s="7"/>
    </row>
    <row r="1329" spans="6:6">
      <c r="F1329" s="7"/>
    </row>
    <row r="1330" spans="6:6">
      <c r="F1330" s="7"/>
    </row>
    <row r="1331" spans="6:6">
      <c r="F1331" s="7"/>
    </row>
    <row r="1332" spans="6:6">
      <c r="F1332" s="7"/>
    </row>
    <row r="1333" spans="6:6">
      <c r="F1333" s="7"/>
    </row>
    <row r="1334" spans="6:6">
      <c r="F1334" s="7"/>
    </row>
    <row r="1335" spans="6:6">
      <c r="F1335" s="7"/>
    </row>
    <row r="1336" spans="6:6">
      <c r="F1336" s="7"/>
    </row>
    <row r="1337" spans="6:6">
      <c r="F1337" s="7"/>
    </row>
    <row r="1338" spans="6:6">
      <c r="F1338" s="7"/>
    </row>
    <row r="1339" spans="6:6">
      <c r="F1339" s="7"/>
    </row>
    <row r="1340" spans="6:6">
      <c r="F1340" s="7"/>
    </row>
    <row r="1341" spans="6:6">
      <c r="F1341" s="7"/>
    </row>
    <row r="1342" spans="6:6">
      <c r="F1342" s="7"/>
    </row>
    <row r="1343" spans="6:6">
      <c r="F1343" s="7"/>
    </row>
    <row r="1344" spans="6:6">
      <c r="F1344" s="7"/>
    </row>
    <row r="1345" spans="6:6">
      <c r="F1345" s="7"/>
    </row>
    <row r="1346" spans="6:6">
      <c r="F1346" s="7"/>
    </row>
    <row r="1347" spans="6:6">
      <c r="F1347" s="7"/>
    </row>
    <row r="1348" spans="6:6">
      <c r="F1348" s="7"/>
    </row>
    <row r="1349" spans="6:6">
      <c r="F1349" s="7"/>
    </row>
    <row r="1350" spans="6:6">
      <c r="F1350" s="7"/>
    </row>
    <row r="1351" spans="6:6">
      <c r="F1351" s="7"/>
    </row>
    <row r="1352" spans="6:6">
      <c r="F1352" s="7"/>
    </row>
    <row r="1353" spans="6:6">
      <c r="F1353" s="7"/>
    </row>
    <row r="1354" spans="6:6">
      <c r="F1354" s="7"/>
    </row>
    <row r="1355" spans="6:6">
      <c r="F1355" s="7"/>
    </row>
    <row r="1356" spans="6:6">
      <c r="F1356" s="7"/>
    </row>
    <row r="1357" spans="6:6">
      <c r="F1357" s="7"/>
    </row>
    <row r="1358" spans="6:6">
      <c r="F1358" s="7"/>
    </row>
    <row r="1359" spans="6:6">
      <c r="F1359" s="7"/>
    </row>
    <row r="1360" spans="6:6">
      <c r="F1360" s="7"/>
    </row>
    <row r="1361" spans="6:6">
      <c r="F1361" s="7"/>
    </row>
    <row r="1362" spans="6:6">
      <c r="F1362" s="7"/>
    </row>
    <row r="1363" spans="6:6">
      <c r="F1363" s="7"/>
    </row>
    <row r="1364" spans="6:6">
      <c r="F1364" s="7"/>
    </row>
    <row r="1365" spans="6:6">
      <c r="F1365" s="7"/>
    </row>
    <row r="1366" spans="6:6">
      <c r="F1366" s="7"/>
    </row>
    <row r="1367" spans="6:6">
      <c r="F1367" s="7"/>
    </row>
    <row r="1368" spans="6:6">
      <c r="F1368" s="7"/>
    </row>
    <row r="1369" spans="6:6">
      <c r="F1369" s="7"/>
    </row>
    <row r="1370" spans="6:6">
      <c r="F1370" s="7"/>
    </row>
    <row r="1371" spans="6:6">
      <c r="F1371" s="7"/>
    </row>
    <row r="1372" spans="6:6">
      <c r="F1372" s="7"/>
    </row>
    <row r="1373" spans="6:6">
      <c r="F1373" s="7"/>
    </row>
    <row r="1374" spans="6:6">
      <c r="F1374" s="7"/>
    </row>
    <row r="1375" spans="6:6">
      <c r="F1375" s="7"/>
    </row>
    <row r="1376" spans="6:6">
      <c r="F1376" s="7"/>
    </row>
    <row r="1377" spans="6:6">
      <c r="F1377" s="7"/>
    </row>
    <row r="1378" spans="6:6">
      <c r="F1378" s="7"/>
    </row>
    <row r="1379" spans="6:6">
      <c r="F1379" s="7"/>
    </row>
    <row r="1380" spans="6:6">
      <c r="F1380" s="7"/>
    </row>
    <row r="1381" spans="6:6">
      <c r="F1381" s="7"/>
    </row>
    <row r="1382" spans="6:6">
      <c r="F1382" s="7"/>
    </row>
    <row r="1383" spans="6:6">
      <c r="F1383" s="7"/>
    </row>
    <row r="1384" spans="6:6">
      <c r="F1384" s="7"/>
    </row>
    <row r="1385" spans="6:6">
      <c r="F1385" s="7"/>
    </row>
    <row r="1386" spans="6:6">
      <c r="F1386" s="7"/>
    </row>
    <row r="1387" spans="6:6">
      <c r="F1387" s="7"/>
    </row>
    <row r="1388" spans="6:6">
      <c r="F1388" s="7"/>
    </row>
    <row r="1389" spans="6:6">
      <c r="F1389" s="7"/>
    </row>
    <row r="1390" spans="6:6">
      <c r="F1390" s="7"/>
    </row>
    <row r="1391" spans="6:6">
      <c r="F1391" s="7"/>
    </row>
    <row r="1392" spans="6:6">
      <c r="F1392" s="7"/>
    </row>
    <row r="1393" spans="6:6">
      <c r="F1393" s="7"/>
    </row>
    <row r="1394" spans="6:6">
      <c r="F1394" s="7"/>
    </row>
    <row r="1395" spans="6:6">
      <c r="F1395" s="7"/>
    </row>
    <row r="1396" spans="6:6">
      <c r="F1396" s="7"/>
    </row>
    <row r="1397" spans="6:6">
      <c r="F1397" s="7"/>
    </row>
    <row r="1398" spans="6:6">
      <c r="F1398" s="7"/>
    </row>
    <row r="1399" spans="6:6">
      <c r="F1399" s="7"/>
    </row>
    <row r="1400" spans="6:6">
      <c r="F1400" s="7"/>
    </row>
    <row r="1401" spans="6:6">
      <c r="F1401" s="7"/>
    </row>
    <row r="1402" spans="6:6">
      <c r="F1402" s="7"/>
    </row>
    <row r="1403" spans="6:6">
      <c r="F1403" s="7"/>
    </row>
    <row r="1404" spans="6:6">
      <c r="F1404" s="7"/>
    </row>
    <row r="1405" spans="6:6">
      <c r="F1405" s="7"/>
    </row>
    <row r="1406" spans="6:6">
      <c r="F1406" s="7"/>
    </row>
    <row r="1407" spans="6:6">
      <c r="F1407" s="7"/>
    </row>
    <row r="1408" spans="6:6">
      <c r="F1408" s="7"/>
    </row>
    <row r="1409" spans="6:6">
      <c r="F1409" s="7"/>
    </row>
    <row r="1410" spans="6:6">
      <c r="F1410" s="7"/>
    </row>
    <row r="1411" spans="6:6">
      <c r="F1411" s="7"/>
    </row>
    <row r="1412" spans="6:6">
      <c r="F1412" s="7"/>
    </row>
    <row r="1413" spans="6:6">
      <c r="F1413" s="7"/>
    </row>
    <row r="1414" spans="6:6">
      <c r="F1414" s="7"/>
    </row>
    <row r="1415" spans="6:6">
      <c r="F1415" s="7"/>
    </row>
    <row r="1416" spans="6:6">
      <c r="F1416" s="7"/>
    </row>
    <row r="1417" spans="6:6">
      <c r="F1417" s="7"/>
    </row>
    <row r="1418" spans="6:6">
      <c r="F1418" s="7"/>
    </row>
    <row r="1419" spans="6:6">
      <c r="F1419" s="7"/>
    </row>
    <row r="1420" spans="6:6">
      <c r="F1420" s="7"/>
    </row>
    <row r="1421" spans="6:6">
      <c r="F1421" s="7"/>
    </row>
    <row r="1422" spans="6:6">
      <c r="F1422" s="7"/>
    </row>
    <row r="1423" spans="6:6">
      <c r="F1423" s="7"/>
    </row>
    <row r="1424" spans="6:6">
      <c r="F1424" s="7"/>
    </row>
    <row r="1425" spans="6:6">
      <c r="F1425" s="7"/>
    </row>
    <row r="1426" spans="6:6">
      <c r="F1426" s="7"/>
    </row>
    <row r="1427" spans="6:6">
      <c r="F1427" s="7"/>
    </row>
    <row r="1428" spans="6:6">
      <c r="F1428" s="7"/>
    </row>
    <row r="1429" spans="6:6">
      <c r="F1429" s="7"/>
    </row>
    <row r="1430" spans="6:6">
      <c r="F1430" s="7"/>
    </row>
    <row r="1431" spans="6:6">
      <c r="F1431" s="7"/>
    </row>
    <row r="1432" spans="6:6">
      <c r="F1432" s="7"/>
    </row>
    <row r="1433" spans="6:6">
      <c r="F1433" s="7"/>
    </row>
    <row r="1434" spans="6:6">
      <c r="F1434" s="7"/>
    </row>
    <row r="1435" spans="6:6">
      <c r="F1435" s="7"/>
    </row>
    <row r="1436" spans="6:6">
      <c r="F1436" s="7"/>
    </row>
    <row r="1437" spans="6:6">
      <c r="F1437" s="7"/>
    </row>
    <row r="1438" spans="6:6">
      <c r="F1438" s="7"/>
    </row>
    <row r="1439" spans="6:6">
      <c r="F1439" s="7"/>
    </row>
    <row r="1440" spans="6:6">
      <c r="F1440" s="7"/>
    </row>
    <row r="1441" spans="6:6">
      <c r="F1441" s="7"/>
    </row>
    <row r="1442" spans="6:6">
      <c r="F1442" s="7"/>
    </row>
    <row r="1443" spans="6:6">
      <c r="F1443" s="7"/>
    </row>
    <row r="1444" spans="6:6">
      <c r="F1444" s="7"/>
    </row>
    <row r="1445" spans="6:6">
      <c r="F1445" s="7"/>
    </row>
    <row r="1446" spans="6:6">
      <c r="F1446" s="7"/>
    </row>
    <row r="1447" spans="6:6">
      <c r="F1447" s="7"/>
    </row>
    <row r="1448" spans="6:6">
      <c r="F1448" s="7"/>
    </row>
    <row r="1449" spans="6:6">
      <c r="F1449" s="7"/>
    </row>
    <row r="1450" spans="6:6">
      <c r="F1450" s="7"/>
    </row>
    <row r="1451" spans="6:6">
      <c r="F1451" s="7"/>
    </row>
    <row r="1452" spans="6:6">
      <c r="F1452" s="7"/>
    </row>
    <row r="1453" spans="6:6">
      <c r="F1453" s="7"/>
    </row>
    <row r="1454" spans="6:6">
      <c r="F1454" s="7"/>
    </row>
    <row r="1455" spans="6:6">
      <c r="F1455" s="7"/>
    </row>
    <row r="1456" spans="6:6">
      <c r="F1456" s="7"/>
    </row>
    <row r="1457" spans="6:6">
      <c r="F1457" s="7"/>
    </row>
    <row r="1458" spans="6:6">
      <c r="F1458" s="7"/>
    </row>
    <row r="1459" spans="6:6">
      <c r="F1459" s="7"/>
    </row>
    <row r="1460" spans="6:6">
      <c r="F1460" s="7"/>
    </row>
    <row r="1461" spans="6:6">
      <c r="F1461" s="7"/>
    </row>
    <row r="1462" spans="6:6">
      <c r="F1462" s="7"/>
    </row>
    <row r="1463" spans="6:6">
      <c r="F1463" s="7"/>
    </row>
    <row r="1464" spans="6:6">
      <c r="F1464" s="7"/>
    </row>
    <row r="1465" spans="6:6">
      <c r="F1465" s="7"/>
    </row>
    <row r="1466" spans="6:6">
      <c r="F1466" s="7"/>
    </row>
    <row r="1467" spans="6:6">
      <c r="F1467" s="7"/>
    </row>
    <row r="1468" spans="6:6">
      <c r="F1468" s="7"/>
    </row>
    <row r="1469" spans="6:6">
      <c r="F1469" s="7"/>
    </row>
    <row r="1470" spans="6:6">
      <c r="F1470" s="7"/>
    </row>
    <row r="1471" spans="6:6">
      <c r="F1471" s="7"/>
    </row>
    <row r="1472" spans="6:6">
      <c r="F1472" s="7"/>
    </row>
    <row r="1473" spans="6:6">
      <c r="F1473" s="7"/>
    </row>
    <row r="1474" spans="6:6">
      <c r="F1474" s="7"/>
    </row>
    <row r="1475" spans="6:6">
      <c r="F1475" s="7"/>
    </row>
    <row r="1476" spans="6:6">
      <c r="F1476" s="7"/>
    </row>
    <row r="1477" spans="6:6">
      <c r="F1477" s="7"/>
    </row>
    <row r="1478" spans="6:6">
      <c r="F1478" s="7"/>
    </row>
    <row r="1479" spans="6:6">
      <c r="F1479" s="7"/>
    </row>
    <row r="1480" spans="6:6">
      <c r="F1480" s="7"/>
    </row>
    <row r="1481" spans="6:6">
      <c r="F1481" s="7"/>
    </row>
    <row r="1482" spans="6:6">
      <c r="F1482" s="7"/>
    </row>
    <row r="1483" spans="6:6">
      <c r="F1483" s="7"/>
    </row>
    <row r="1484" spans="6:6">
      <c r="F1484" s="7"/>
    </row>
    <row r="1485" spans="6:6">
      <c r="F1485" s="7"/>
    </row>
    <row r="1486" spans="6:6">
      <c r="F1486" s="7"/>
    </row>
    <row r="1487" spans="6:6">
      <c r="F1487" s="7"/>
    </row>
    <row r="1488" spans="6:6">
      <c r="F1488" s="7"/>
    </row>
    <row r="1489" spans="6:6">
      <c r="F1489" s="7"/>
    </row>
    <row r="1490" spans="6:6">
      <c r="F1490" s="7"/>
    </row>
    <row r="1491" spans="6:6">
      <c r="F1491" s="7"/>
    </row>
    <row r="1492" spans="6:6">
      <c r="F1492" s="7"/>
    </row>
    <row r="1493" spans="6:6">
      <c r="F1493" s="7"/>
    </row>
    <row r="1494" spans="6:6">
      <c r="F1494" s="7"/>
    </row>
    <row r="1495" spans="6:6">
      <c r="F1495" s="7"/>
    </row>
    <row r="1496" spans="6:6">
      <c r="F1496" s="7"/>
    </row>
    <row r="1497" spans="6:6">
      <c r="F1497" s="7"/>
    </row>
    <row r="1498" spans="6:6">
      <c r="F1498" s="7"/>
    </row>
    <row r="1499" spans="6:6">
      <c r="F1499" s="7"/>
    </row>
    <row r="1500" spans="6:6">
      <c r="F1500" s="7"/>
    </row>
    <row r="1501" spans="6:6">
      <c r="F1501" s="7"/>
    </row>
    <row r="1502" spans="6:6">
      <c r="F1502" s="7"/>
    </row>
    <row r="1503" spans="6:6">
      <c r="F1503" s="7"/>
    </row>
    <row r="1504" spans="6:6">
      <c r="F1504" s="7"/>
    </row>
    <row r="1505" spans="6:6">
      <c r="F1505" s="7"/>
    </row>
    <row r="1506" spans="6:6">
      <c r="F1506" s="7"/>
    </row>
    <row r="1507" spans="6:6">
      <c r="F1507" s="7"/>
    </row>
    <row r="1508" spans="6:6">
      <c r="F1508" s="7"/>
    </row>
    <row r="1509" spans="6:6">
      <c r="F1509" s="7"/>
    </row>
    <row r="1510" spans="6:6">
      <c r="F1510" s="7"/>
    </row>
    <row r="1511" spans="6:6">
      <c r="F1511" s="7"/>
    </row>
    <row r="1512" spans="6:6">
      <c r="F1512" s="7"/>
    </row>
    <row r="1513" spans="6:6">
      <c r="F1513" s="7"/>
    </row>
    <row r="1514" spans="6:6">
      <c r="F1514" s="7"/>
    </row>
    <row r="1515" spans="6:6">
      <c r="F1515" s="7"/>
    </row>
    <row r="1516" spans="6:6">
      <c r="F1516" s="7"/>
    </row>
    <row r="1517" spans="6:6">
      <c r="F1517" s="7"/>
    </row>
    <row r="1518" spans="6:6">
      <c r="F1518" s="7"/>
    </row>
    <row r="1519" spans="6:6">
      <c r="F1519" s="7"/>
    </row>
    <row r="1520" spans="6:6">
      <c r="F1520" s="7"/>
    </row>
    <row r="1521" spans="6:6">
      <c r="F1521" s="7"/>
    </row>
    <row r="1522" spans="6:6">
      <c r="F1522" s="7"/>
    </row>
    <row r="1523" spans="6:6">
      <c r="F1523" s="7"/>
    </row>
    <row r="1524" spans="6:6">
      <c r="F1524" s="7"/>
    </row>
    <row r="1525" spans="6:6">
      <c r="F1525" s="7"/>
    </row>
    <row r="1526" spans="6:6">
      <c r="F1526" s="7"/>
    </row>
    <row r="1527" spans="6:6">
      <c r="F1527" s="7"/>
    </row>
    <row r="1528" spans="6:6">
      <c r="F1528" s="7"/>
    </row>
    <row r="1529" spans="6:6">
      <c r="F1529" s="7"/>
    </row>
    <row r="1530" spans="6:6">
      <c r="F1530" s="7"/>
    </row>
    <row r="1531" spans="6:6">
      <c r="F1531" s="7"/>
    </row>
    <row r="1532" spans="6:6">
      <c r="F1532" s="7"/>
    </row>
    <row r="1533" spans="6:6">
      <c r="F1533" s="7"/>
    </row>
    <row r="1534" spans="6:6">
      <c r="F1534" s="7"/>
    </row>
    <row r="1535" spans="6:6">
      <c r="F1535" s="7"/>
    </row>
    <row r="1536" spans="6:6">
      <c r="F1536" s="7"/>
    </row>
    <row r="1537" spans="6:6">
      <c r="F1537" s="7"/>
    </row>
    <row r="1538" spans="6:6">
      <c r="F1538" s="7"/>
    </row>
    <row r="1539" spans="6:6">
      <c r="F1539" s="7"/>
    </row>
    <row r="1540" spans="6:6">
      <c r="F1540" s="7"/>
    </row>
    <row r="1541" spans="6:6">
      <c r="F1541" s="7"/>
    </row>
    <row r="1542" spans="6:6">
      <c r="F1542" s="7"/>
    </row>
    <row r="1543" spans="6:6">
      <c r="F1543" s="7"/>
    </row>
    <row r="1544" spans="6:6">
      <c r="F1544" s="7"/>
    </row>
    <row r="1545" spans="6:6">
      <c r="F1545" s="7"/>
    </row>
    <row r="1546" spans="6:6">
      <c r="F1546" s="7"/>
    </row>
    <row r="1547" spans="6:6">
      <c r="F1547" s="7"/>
    </row>
    <row r="1548" spans="6:6">
      <c r="F1548" s="7"/>
    </row>
    <row r="1549" spans="6:6">
      <c r="F1549" s="7"/>
    </row>
    <row r="1550" spans="6:6">
      <c r="F1550" s="7"/>
    </row>
    <row r="1551" spans="6:6">
      <c r="F1551" s="7"/>
    </row>
    <row r="1552" spans="6:6">
      <c r="F1552" s="7"/>
    </row>
    <row r="1553" spans="6:6">
      <c r="F1553" s="7"/>
    </row>
    <row r="1554" spans="6:6">
      <c r="F1554" s="7"/>
    </row>
    <row r="1555" spans="6:6">
      <c r="F1555" s="7"/>
    </row>
    <row r="1556" spans="6:6">
      <c r="F1556" s="7"/>
    </row>
    <row r="1557" spans="6:6">
      <c r="F1557" s="7"/>
    </row>
    <row r="1558" spans="6:6">
      <c r="F1558" s="7"/>
    </row>
    <row r="1559" spans="6:6">
      <c r="F1559" s="7"/>
    </row>
    <row r="1560" spans="6:6">
      <c r="F1560" s="7"/>
    </row>
    <row r="1561" spans="6:6">
      <c r="F1561" s="7"/>
    </row>
    <row r="1562" spans="6:6">
      <c r="F1562" s="7"/>
    </row>
    <row r="1563" spans="6:6">
      <c r="F1563" s="7"/>
    </row>
    <row r="1564" spans="6:6">
      <c r="F1564" s="7"/>
    </row>
    <row r="1565" spans="6:6">
      <c r="F1565" s="7"/>
    </row>
    <row r="1566" spans="6:6">
      <c r="F1566" s="7"/>
    </row>
    <row r="1567" spans="6:6">
      <c r="F1567" s="7"/>
    </row>
    <row r="1568" spans="6:6">
      <c r="F1568" s="7"/>
    </row>
    <row r="1569" spans="6:6">
      <c r="F1569" s="7"/>
    </row>
    <row r="1570" spans="6:6">
      <c r="F1570" s="7"/>
    </row>
    <row r="1571" spans="6:6">
      <c r="F1571" s="7"/>
    </row>
    <row r="1572" spans="6:6">
      <c r="F1572" s="7"/>
    </row>
    <row r="1573" spans="6:6">
      <c r="F1573" s="7"/>
    </row>
    <row r="1574" spans="6:6">
      <c r="F1574" s="7"/>
    </row>
    <row r="1575" spans="6:6">
      <c r="F1575" s="7"/>
    </row>
    <row r="1576" spans="6:6">
      <c r="F1576" s="7"/>
    </row>
    <row r="1577" spans="6:6">
      <c r="F1577" s="7"/>
    </row>
    <row r="1578" spans="6:6">
      <c r="F1578" s="7"/>
    </row>
    <row r="1579" spans="6:6">
      <c r="F1579" s="7"/>
    </row>
    <row r="1580" spans="6:6">
      <c r="F1580" s="7"/>
    </row>
    <row r="1581" spans="6:6">
      <c r="F1581" s="7"/>
    </row>
    <row r="1582" spans="6:6">
      <c r="F1582" s="7"/>
    </row>
    <row r="1583" spans="6:6">
      <c r="F1583" s="7"/>
    </row>
    <row r="1584" spans="6:6">
      <c r="F1584" s="7"/>
    </row>
    <row r="1585" spans="6:6">
      <c r="F1585" s="7"/>
    </row>
    <row r="1586" spans="6:6">
      <c r="F1586" s="7"/>
    </row>
    <row r="1587" spans="6:6">
      <c r="F1587" s="7"/>
    </row>
    <row r="1588" spans="6:6">
      <c r="F1588" s="7"/>
    </row>
    <row r="1589" spans="6:6">
      <c r="F1589" s="7"/>
    </row>
    <row r="1590" spans="6:6">
      <c r="F1590" s="7"/>
    </row>
    <row r="1591" spans="6:6">
      <c r="F1591" s="7"/>
    </row>
    <row r="1592" spans="6:6">
      <c r="F1592" s="7"/>
    </row>
    <row r="1593" spans="6:6">
      <c r="F1593" s="7"/>
    </row>
    <row r="1594" spans="6:6">
      <c r="F1594" s="7"/>
    </row>
    <row r="1595" spans="6:6">
      <c r="F1595" s="7"/>
    </row>
    <row r="1596" spans="6:6">
      <c r="F1596" s="7"/>
    </row>
    <row r="1597" spans="6:6">
      <c r="F1597" s="7"/>
    </row>
    <row r="1598" spans="6:6">
      <c r="F1598" s="7"/>
    </row>
    <row r="1599" spans="6:6">
      <c r="F1599" s="7"/>
    </row>
    <row r="1600" spans="6:6">
      <c r="F1600" s="7"/>
    </row>
    <row r="1601" spans="6:6">
      <c r="F1601" s="7"/>
    </row>
    <row r="1602" spans="6:6">
      <c r="F1602" s="7"/>
    </row>
    <row r="1603" spans="6:6">
      <c r="F1603" s="7"/>
    </row>
    <row r="1604" spans="6:6">
      <c r="F1604" s="7"/>
    </row>
    <row r="1605" spans="6:6">
      <c r="F1605" s="7"/>
    </row>
    <row r="1606" spans="6:6">
      <c r="F1606" s="7"/>
    </row>
    <row r="1607" spans="6:6">
      <c r="F1607" s="7"/>
    </row>
    <row r="1608" spans="6:6">
      <c r="F1608" s="7"/>
    </row>
    <row r="1609" spans="6:6">
      <c r="F1609" s="7"/>
    </row>
    <row r="1610" spans="6:6">
      <c r="F1610" s="7"/>
    </row>
    <row r="1611" spans="6:6">
      <c r="F1611" s="7"/>
    </row>
    <row r="1612" spans="6:6">
      <c r="F1612" s="7"/>
    </row>
    <row r="1613" spans="6:6">
      <c r="F1613" s="7"/>
    </row>
    <row r="1614" spans="6:6">
      <c r="F1614" s="7"/>
    </row>
    <row r="1615" spans="6:6">
      <c r="F1615" s="7"/>
    </row>
    <row r="1616" spans="6:6">
      <c r="F1616" s="7"/>
    </row>
    <row r="1617" spans="6:6">
      <c r="F1617" s="7"/>
    </row>
    <row r="1618" spans="6:6">
      <c r="F1618" s="7"/>
    </row>
    <row r="1619" spans="6:6">
      <c r="F1619" s="7"/>
    </row>
    <row r="1620" spans="6:6">
      <c r="F1620" s="7"/>
    </row>
    <row r="1621" spans="6:6">
      <c r="F1621" s="7"/>
    </row>
    <row r="1622" spans="6:6">
      <c r="F1622" s="7"/>
    </row>
    <row r="1623" spans="6:6">
      <c r="F1623" s="7"/>
    </row>
    <row r="1624" spans="6:6">
      <c r="F1624" s="7"/>
    </row>
    <row r="1625" spans="6:6">
      <c r="F1625" s="7"/>
    </row>
    <row r="1626" spans="6:6">
      <c r="F1626" s="7"/>
    </row>
    <row r="1627" spans="6:6">
      <c r="F1627" s="7"/>
    </row>
    <row r="1628" spans="6:6">
      <c r="F1628" s="7"/>
    </row>
    <row r="1629" spans="6:6">
      <c r="F1629" s="7"/>
    </row>
    <row r="1630" spans="6:6">
      <c r="F1630" s="7"/>
    </row>
    <row r="1631" spans="6:6">
      <c r="F1631" s="7"/>
    </row>
    <row r="1632" spans="6:6">
      <c r="F1632" s="7"/>
    </row>
    <row r="1633" spans="6:6">
      <c r="F1633" s="7"/>
    </row>
    <row r="1634" spans="6:6">
      <c r="F1634" s="7"/>
    </row>
    <row r="1635" spans="6:6">
      <c r="F1635" s="7"/>
    </row>
    <row r="1636" spans="6:6">
      <c r="F1636" s="7"/>
    </row>
    <row r="1637" spans="6:6">
      <c r="F1637" s="7"/>
    </row>
    <row r="1638" spans="6:6">
      <c r="F1638" s="7"/>
    </row>
    <row r="1639" spans="6:6">
      <c r="F1639" s="7"/>
    </row>
    <row r="1640" spans="6:6">
      <c r="F1640" s="7"/>
    </row>
    <row r="1641" spans="6:6">
      <c r="F1641" s="7"/>
    </row>
    <row r="1642" spans="6:6">
      <c r="F1642" s="7"/>
    </row>
    <row r="1643" spans="6:6">
      <c r="F1643" s="7"/>
    </row>
    <row r="1644" spans="6:6">
      <c r="F1644" s="7"/>
    </row>
    <row r="1645" spans="6:6">
      <c r="F1645" s="7"/>
    </row>
    <row r="1646" spans="6:6">
      <c r="F1646" s="7"/>
    </row>
    <row r="1647" spans="6:6">
      <c r="F1647" s="7"/>
    </row>
    <row r="1648" spans="6:6">
      <c r="F1648" s="7"/>
    </row>
    <row r="1649" spans="6:6">
      <c r="F1649" s="7"/>
    </row>
    <row r="1650" spans="6:6">
      <c r="F1650" s="7"/>
    </row>
    <row r="1651" spans="6:6">
      <c r="F1651" s="7"/>
    </row>
    <row r="1652" spans="6:6">
      <c r="F1652" s="7"/>
    </row>
    <row r="1653" spans="6:6">
      <c r="F1653" s="7"/>
    </row>
    <row r="1654" spans="6:6">
      <c r="F1654" s="7"/>
    </row>
    <row r="1655" spans="6:6">
      <c r="F1655" s="7"/>
    </row>
    <row r="1656" spans="6:6">
      <c r="F1656" s="7"/>
    </row>
    <row r="1657" spans="6:6">
      <c r="F1657" s="7"/>
    </row>
    <row r="1658" spans="6:6">
      <c r="F1658" s="7"/>
    </row>
    <row r="1659" spans="6:6">
      <c r="F1659" s="7"/>
    </row>
    <row r="1660" spans="6:6">
      <c r="F1660" s="7"/>
    </row>
    <row r="1661" spans="6:6">
      <c r="F1661" s="7"/>
    </row>
    <row r="1662" spans="6:6">
      <c r="F1662" s="7"/>
    </row>
    <row r="1663" spans="6:6">
      <c r="F1663" s="7"/>
    </row>
    <row r="1664" spans="6:6">
      <c r="F1664" s="7"/>
    </row>
    <row r="1665" spans="6:6">
      <c r="F1665" s="7"/>
    </row>
    <row r="1666" spans="6:6">
      <c r="F1666" s="7"/>
    </row>
    <row r="1667" spans="6:6">
      <c r="F1667" s="7"/>
    </row>
    <row r="1668" spans="6:6">
      <c r="F1668" s="7"/>
    </row>
    <row r="1669" spans="6:6">
      <c r="F1669" s="7"/>
    </row>
    <row r="1670" spans="6:6">
      <c r="F1670" s="7"/>
    </row>
    <row r="1671" spans="6:6">
      <c r="F1671" s="7"/>
    </row>
    <row r="1672" spans="6:6">
      <c r="F1672" s="7"/>
    </row>
    <row r="1673" spans="6:6">
      <c r="F1673" s="7"/>
    </row>
    <row r="1674" spans="6:6">
      <c r="F1674" s="7"/>
    </row>
    <row r="1675" spans="6:6">
      <c r="F1675" s="7"/>
    </row>
    <row r="1676" spans="6:6">
      <c r="F1676" s="7"/>
    </row>
    <row r="1677" spans="6:6">
      <c r="F1677" s="7"/>
    </row>
    <row r="1678" spans="6:6">
      <c r="F1678" s="7"/>
    </row>
    <row r="1679" spans="6:6">
      <c r="F1679" s="7"/>
    </row>
    <row r="1680" spans="6:6">
      <c r="F1680" s="7"/>
    </row>
    <row r="1681" spans="6:6">
      <c r="F1681" s="7"/>
    </row>
    <row r="1682" spans="6:6">
      <c r="F1682" s="7"/>
    </row>
    <row r="1683" spans="6:6">
      <c r="F1683" s="7"/>
    </row>
    <row r="1684" spans="6:6">
      <c r="F1684" s="7"/>
    </row>
    <row r="1685" spans="6:6">
      <c r="F1685" s="7"/>
    </row>
    <row r="1686" spans="6:6">
      <c r="F1686" s="7"/>
    </row>
    <row r="1687" spans="6:6">
      <c r="F1687" s="7"/>
    </row>
    <row r="1688" spans="6:6">
      <c r="F1688" s="7"/>
    </row>
    <row r="1689" spans="6:6">
      <c r="F1689" s="7"/>
    </row>
    <row r="1690" spans="6:6">
      <c r="F1690" s="7"/>
    </row>
    <row r="1691" spans="6:6">
      <c r="F1691" s="7"/>
    </row>
    <row r="1692" spans="6:6">
      <c r="F1692" s="7"/>
    </row>
    <row r="1693" spans="6:6">
      <c r="F1693" s="7"/>
    </row>
    <row r="1694" spans="6:6">
      <c r="F1694" s="7"/>
    </row>
    <row r="1695" spans="6:6">
      <c r="F1695" s="7"/>
    </row>
    <row r="1696" spans="6:6">
      <c r="F1696" s="7"/>
    </row>
    <row r="1697" spans="6:6">
      <c r="F1697" s="7"/>
    </row>
    <row r="1698" spans="6:6">
      <c r="F1698" s="7"/>
    </row>
    <row r="1699" spans="6:6">
      <c r="F1699" s="7"/>
    </row>
    <row r="1700" spans="6:6">
      <c r="F1700" s="7"/>
    </row>
    <row r="1701" spans="6:6">
      <c r="F1701" s="7"/>
    </row>
    <row r="1702" spans="6:6">
      <c r="F1702" s="7"/>
    </row>
    <row r="1703" spans="6:6">
      <c r="F1703" s="7"/>
    </row>
    <row r="1704" spans="6:6">
      <c r="F1704" s="7"/>
    </row>
    <row r="1705" spans="6:6">
      <c r="F1705" s="7"/>
    </row>
    <row r="1706" spans="6:6">
      <c r="F1706" s="7"/>
    </row>
    <row r="1707" spans="6:6">
      <c r="F1707" s="7"/>
    </row>
    <row r="1708" spans="6:6">
      <c r="F1708" s="7"/>
    </row>
    <row r="1709" spans="6:6">
      <c r="F1709" s="7"/>
    </row>
    <row r="1710" spans="6:6">
      <c r="F1710" s="7"/>
    </row>
    <row r="1711" spans="6:6">
      <c r="F1711" s="7"/>
    </row>
    <row r="1712" spans="6:6">
      <c r="F1712" s="7"/>
    </row>
    <row r="1713" spans="6:6">
      <c r="F1713" s="7"/>
    </row>
    <row r="1714" spans="6:6">
      <c r="F1714" s="7"/>
    </row>
    <row r="1715" spans="6:6">
      <c r="F1715" s="7"/>
    </row>
    <row r="1716" spans="6:6">
      <c r="F1716" s="7"/>
    </row>
    <row r="1717" spans="6:6">
      <c r="F1717" s="7"/>
    </row>
    <row r="1718" spans="6:6">
      <c r="F1718" s="7"/>
    </row>
    <row r="1719" spans="6:6">
      <c r="F1719" s="7"/>
    </row>
    <row r="1720" spans="6:6">
      <c r="F1720" s="7"/>
    </row>
    <row r="1721" spans="6:6">
      <c r="F1721" s="7"/>
    </row>
    <row r="1722" spans="6:6">
      <c r="F1722" s="7"/>
    </row>
    <row r="1723" spans="6:6">
      <c r="F1723" s="7"/>
    </row>
    <row r="1724" spans="6:6">
      <c r="F1724" s="7"/>
    </row>
    <row r="1725" spans="6:6">
      <c r="F1725" s="7"/>
    </row>
    <row r="1726" spans="6:6">
      <c r="F1726" s="7"/>
    </row>
    <row r="1727" spans="6:6">
      <c r="F1727" s="7"/>
    </row>
    <row r="1728" spans="6:6">
      <c r="F1728" s="7"/>
    </row>
    <row r="1729" spans="6:6">
      <c r="F1729" s="7"/>
    </row>
    <row r="1730" spans="6:6">
      <c r="F1730" s="7"/>
    </row>
    <row r="1731" spans="6:6">
      <c r="F1731" s="7"/>
    </row>
    <row r="1732" spans="6:6">
      <c r="F1732" s="7"/>
    </row>
    <row r="1733" spans="6:6">
      <c r="F1733" s="7"/>
    </row>
    <row r="1734" spans="6:6">
      <c r="F1734" s="7"/>
    </row>
    <row r="1735" spans="6:6">
      <c r="F1735" s="7"/>
    </row>
    <row r="1736" spans="6:6">
      <c r="F1736" s="7"/>
    </row>
    <row r="1737" spans="6:6">
      <c r="F1737" s="7"/>
    </row>
    <row r="1738" spans="6:6">
      <c r="F1738" s="7"/>
    </row>
    <row r="1739" spans="6:6">
      <c r="F1739" s="7"/>
    </row>
    <row r="1740" spans="6:6">
      <c r="F1740" s="7"/>
    </row>
    <row r="1741" spans="6:6">
      <c r="F1741" s="7"/>
    </row>
    <row r="1742" spans="6:6">
      <c r="F1742" s="7"/>
    </row>
    <row r="1743" spans="6:6">
      <c r="F1743" s="7"/>
    </row>
    <row r="1744" spans="6:6">
      <c r="F1744" s="7"/>
    </row>
    <row r="1745" spans="6:6">
      <c r="F1745" s="7"/>
    </row>
    <row r="1746" spans="6:6">
      <c r="F1746" s="7"/>
    </row>
    <row r="1747" spans="6:6">
      <c r="F1747" s="7"/>
    </row>
    <row r="1748" spans="6:6">
      <c r="F1748" s="7"/>
    </row>
    <row r="1749" spans="6:6">
      <c r="F1749" s="7"/>
    </row>
    <row r="1750" spans="6:6">
      <c r="F1750" s="7"/>
    </row>
    <row r="1751" spans="6:6">
      <c r="F1751" s="7"/>
    </row>
    <row r="1752" spans="6:6">
      <c r="F1752" s="7"/>
    </row>
    <row r="1753" spans="6:6">
      <c r="F1753" s="7"/>
    </row>
    <row r="1754" spans="6:6">
      <c r="F1754" s="7"/>
    </row>
    <row r="1755" spans="6:6">
      <c r="F1755" s="7"/>
    </row>
    <row r="1756" spans="6:6">
      <c r="F1756" s="7"/>
    </row>
    <row r="1757" spans="6:6">
      <c r="F1757" s="7"/>
    </row>
    <row r="1758" spans="6:6">
      <c r="F1758" s="7"/>
    </row>
    <row r="1759" spans="6:6">
      <c r="F1759" s="7"/>
    </row>
    <row r="1760" spans="6:6">
      <c r="F1760" s="7"/>
    </row>
    <row r="1761" spans="6:6">
      <c r="F1761" s="7"/>
    </row>
    <row r="1762" spans="6:6">
      <c r="F1762" s="7"/>
    </row>
    <row r="1763" spans="6:6">
      <c r="F1763" s="7"/>
    </row>
    <row r="1764" spans="6:6">
      <c r="F1764" s="7"/>
    </row>
    <row r="1765" spans="6:6">
      <c r="F1765" s="7"/>
    </row>
    <row r="1766" spans="6:6">
      <c r="F1766" s="7"/>
    </row>
    <row r="1767" spans="6:6">
      <c r="F1767" s="7"/>
    </row>
    <row r="1768" spans="6:6">
      <c r="F1768" s="7"/>
    </row>
    <row r="1769" spans="6:6">
      <c r="F1769" s="7"/>
    </row>
    <row r="1770" spans="6:6">
      <c r="F1770" s="7"/>
    </row>
    <row r="1771" spans="6:6">
      <c r="F1771" s="7"/>
    </row>
    <row r="1772" spans="6:6">
      <c r="F1772" s="7"/>
    </row>
    <row r="1773" spans="6:6">
      <c r="F1773" s="7"/>
    </row>
    <row r="1774" spans="6:6">
      <c r="F1774" s="7"/>
    </row>
    <row r="1775" spans="6:6">
      <c r="F1775" s="7"/>
    </row>
    <row r="1776" spans="6:6">
      <c r="F1776" s="7"/>
    </row>
    <row r="1777" spans="6:6">
      <c r="F1777" s="7"/>
    </row>
    <row r="1778" spans="6:6">
      <c r="F1778" s="7"/>
    </row>
    <row r="1779" spans="6:6">
      <c r="F1779" s="7"/>
    </row>
    <row r="1780" spans="6:6">
      <c r="F1780" s="7"/>
    </row>
    <row r="1781" spans="6:6">
      <c r="F1781" s="7"/>
    </row>
    <row r="1782" spans="6:6">
      <c r="F1782" s="7"/>
    </row>
    <row r="1783" spans="6:6">
      <c r="F1783" s="7"/>
    </row>
    <row r="1784" spans="6:6">
      <c r="F1784" s="7"/>
    </row>
    <row r="1785" spans="6:6">
      <c r="F1785" s="7"/>
    </row>
    <row r="1786" spans="6:6">
      <c r="F1786" s="7"/>
    </row>
    <row r="1787" spans="6:6">
      <c r="F1787" s="7"/>
    </row>
    <row r="1788" spans="6:6">
      <c r="F1788" s="7"/>
    </row>
    <row r="1789" spans="6:6">
      <c r="F1789" s="7"/>
    </row>
    <row r="1790" spans="6:6">
      <c r="F1790" s="7"/>
    </row>
    <row r="1791" spans="6:6">
      <c r="F1791" s="7"/>
    </row>
    <row r="1792" spans="6:6">
      <c r="F1792" s="7"/>
    </row>
    <row r="1793" spans="6:6">
      <c r="F1793" s="7"/>
    </row>
    <row r="1794" spans="6:6">
      <c r="F1794" s="7"/>
    </row>
    <row r="1795" spans="6:6">
      <c r="F1795" s="7"/>
    </row>
    <row r="1796" spans="6:6">
      <c r="F1796" s="7"/>
    </row>
    <row r="1797" spans="6:6">
      <c r="F1797" s="7"/>
    </row>
    <row r="1798" spans="6:6">
      <c r="F1798" s="7"/>
    </row>
    <row r="1799" spans="6:6">
      <c r="F1799" s="7"/>
    </row>
    <row r="1800" spans="6:6">
      <c r="F1800" s="7"/>
    </row>
    <row r="1801" spans="6:6">
      <c r="F1801" s="7"/>
    </row>
    <row r="1802" spans="6:6">
      <c r="F1802" s="7"/>
    </row>
    <row r="1803" spans="6:6">
      <c r="F1803" s="7"/>
    </row>
    <row r="1804" spans="6:6">
      <c r="F1804" s="7"/>
    </row>
    <row r="1805" spans="6:6">
      <c r="F1805" s="7"/>
    </row>
    <row r="1806" spans="6:6">
      <c r="F1806" s="7"/>
    </row>
    <row r="1807" spans="6:6">
      <c r="F1807" s="7"/>
    </row>
    <row r="1808" spans="6:6">
      <c r="F1808" s="7"/>
    </row>
    <row r="1809" spans="6:6">
      <c r="F1809" s="7"/>
    </row>
    <row r="1810" spans="6:6">
      <c r="F1810" s="7"/>
    </row>
    <row r="1811" spans="6:6">
      <c r="F1811" s="7"/>
    </row>
    <row r="1812" spans="6:6">
      <c r="F1812" s="7"/>
    </row>
    <row r="1813" spans="6:6">
      <c r="F1813" s="7"/>
    </row>
    <row r="1814" spans="6:6">
      <c r="F1814" s="7"/>
    </row>
    <row r="1815" spans="6:6">
      <c r="F1815" s="7"/>
    </row>
    <row r="1816" spans="6:6">
      <c r="F1816" s="7"/>
    </row>
    <row r="1817" spans="6:6">
      <c r="F1817" s="7"/>
    </row>
    <row r="1818" spans="6:6">
      <c r="F1818" s="7"/>
    </row>
    <row r="1819" spans="6:6">
      <c r="F1819" s="7"/>
    </row>
    <row r="1820" spans="6:6">
      <c r="F1820" s="7"/>
    </row>
    <row r="1821" spans="6:6">
      <c r="F1821" s="7"/>
    </row>
    <row r="1822" spans="6:6">
      <c r="F1822" s="7"/>
    </row>
    <row r="1823" spans="6:6">
      <c r="F1823" s="7"/>
    </row>
    <row r="1824" spans="6:6">
      <c r="F1824" s="7"/>
    </row>
    <row r="1825" spans="6:6">
      <c r="F1825" s="7"/>
    </row>
    <row r="1826" spans="6:6">
      <c r="F1826" s="7"/>
    </row>
    <row r="1827" spans="6:6">
      <c r="F1827" s="7"/>
    </row>
    <row r="1828" spans="6:6">
      <c r="F1828" s="7"/>
    </row>
    <row r="1829" spans="6:6">
      <c r="F1829" s="7"/>
    </row>
    <row r="1830" spans="6:6">
      <c r="F1830" s="7"/>
    </row>
    <row r="1831" spans="6:6">
      <c r="F1831" s="7"/>
    </row>
    <row r="1832" spans="6:6">
      <c r="F1832" s="7"/>
    </row>
    <row r="1833" spans="6:6">
      <c r="F1833" s="7"/>
    </row>
    <row r="1834" spans="6:6">
      <c r="F1834" s="7"/>
    </row>
    <row r="1835" spans="6:6">
      <c r="F1835" s="7"/>
    </row>
    <row r="1836" spans="6:6">
      <c r="F1836" s="7"/>
    </row>
    <row r="1837" spans="6:6">
      <c r="F1837" s="7"/>
    </row>
    <row r="1838" spans="6:6">
      <c r="F1838" s="7"/>
    </row>
    <row r="1839" spans="6:6">
      <c r="F1839" s="7"/>
    </row>
    <row r="1840" spans="6:6">
      <c r="F1840" s="7"/>
    </row>
    <row r="1841" spans="6:6">
      <c r="F1841" s="7"/>
    </row>
    <row r="1842" spans="6:6">
      <c r="F1842" s="7"/>
    </row>
    <row r="1843" spans="6:6">
      <c r="F1843" s="7"/>
    </row>
    <row r="1844" spans="6:6">
      <c r="F1844" s="7"/>
    </row>
    <row r="1845" spans="6:6">
      <c r="F1845" s="7"/>
    </row>
    <row r="1846" spans="6:6">
      <c r="F1846" s="7"/>
    </row>
    <row r="1847" spans="6:6">
      <c r="F1847" s="7"/>
    </row>
    <row r="1848" spans="6:6">
      <c r="F1848" s="7"/>
    </row>
    <row r="1849" spans="6:6">
      <c r="F1849" s="7"/>
    </row>
    <row r="1850" spans="6:6">
      <c r="F1850" s="7"/>
    </row>
    <row r="1851" spans="6:6">
      <c r="F1851" s="7"/>
    </row>
    <row r="1852" spans="6:6">
      <c r="F1852" s="7"/>
    </row>
    <row r="1853" spans="6:6">
      <c r="F1853" s="7"/>
    </row>
    <row r="1854" spans="6:6">
      <c r="F1854" s="7"/>
    </row>
    <row r="1855" spans="6:6">
      <c r="F1855" s="7"/>
    </row>
    <row r="1856" spans="6:6">
      <c r="F1856" s="7"/>
    </row>
    <row r="1857" spans="6:6">
      <c r="F1857" s="7"/>
    </row>
    <row r="1858" spans="6:6">
      <c r="F1858" s="7"/>
    </row>
    <row r="1859" spans="6:6">
      <c r="F1859" s="7"/>
    </row>
    <row r="1860" spans="6:6">
      <c r="F1860" s="7"/>
    </row>
    <row r="1861" spans="6:6">
      <c r="F1861" s="7"/>
    </row>
    <row r="1862" spans="6:6">
      <c r="F1862" s="7"/>
    </row>
    <row r="1863" spans="6:6">
      <c r="F1863" s="7"/>
    </row>
    <row r="1864" spans="6:6">
      <c r="F1864" s="7"/>
    </row>
    <row r="1865" spans="6:6">
      <c r="F1865" s="7"/>
    </row>
    <row r="1866" spans="6:6">
      <c r="F1866" s="7"/>
    </row>
    <row r="1867" spans="6:6">
      <c r="F1867" s="7"/>
    </row>
    <row r="1868" spans="6:6">
      <c r="F1868" s="7"/>
    </row>
    <row r="1869" spans="6:6">
      <c r="F1869" s="7"/>
    </row>
    <row r="1870" spans="6:6">
      <c r="F1870" s="7"/>
    </row>
    <row r="1871" spans="6:6">
      <c r="F1871" s="7"/>
    </row>
    <row r="1872" spans="6:6">
      <c r="F1872" s="7"/>
    </row>
    <row r="1873" spans="6:6">
      <c r="F1873" s="7"/>
    </row>
    <row r="1874" spans="6:6">
      <c r="F1874" s="7"/>
    </row>
    <row r="1875" spans="6:6">
      <c r="F1875" s="7"/>
    </row>
    <row r="1876" spans="6:6">
      <c r="F1876" s="7"/>
    </row>
    <row r="1877" spans="6:6">
      <c r="F1877" s="7"/>
    </row>
    <row r="1878" spans="6:6">
      <c r="F1878" s="7"/>
    </row>
    <row r="1879" spans="6:6">
      <c r="F1879" s="7"/>
    </row>
    <row r="1880" spans="6:6">
      <c r="F1880" s="7"/>
    </row>
    <row r="1881" spans="6:6">
      <c r="F1881" s="7"/>
    </row>
    <row r="1882" spans="6:6">
      <c r="F1882" s="7"/>
    </row>
    <row r="1883" spans="6:6">
      <c r="F1883" s="7"/>
    </row>
    <row r="1884" spans="6:6">
      <c r="F1884" s="7"/>
    </row>
    <row r="1885" spans="6:6">
      <c r="F1885" s="7"/>
    </row>
    <row r="1886" spans="6:6">
      <c r="F1886" s="7"/>
    </row>
    <row r="1887" spans="6:6">
      <c r="F1887" s="7"/>
    </row>
    <row r="1888" spans="6:6">
      <c r="F1888" s="7"/>
    </row>
    <row r="1889" spans="6:6">
      <c r="F1889" s="7"/>
    </row>
    <row r="1890" spans="6:6">
      <c r="F1890" s="7"/>
    </row>
    <row r="1891" spans="6:6">
      <c r="F1891" s="7"/>
    </row>
    <row r="1892" spans="6:6">
      <c r="F1892" s="7"/>
    </row>
    <row r="1893" spans="6:6">
      <c r="F1893" s="7"/>
    </row>
    <row r="1894" spans="6:6">
      <c r="F1894" s="7"/>
    </row>
    <row r="1895" spans="6:6">
      <c r="F1895" s="7"/>
    </row>
    <row r="1896" spans="6:6">
      <c r="F1896" s="7"/>
    </row>
    <row r="1897" spans="6:6">
      <c r="F1897" s="7"/>
    </row>
    <row r="1898" spans="6:6">
      <c r="F1898" s="7"/>
    </row>
    <row r="1899" spans="6:6">
      <c r="F1899" s="7"/>
    </row>
    <row r="1900" spans="6:6">
      <c r="F1900" s="7"/>
    </row>
    <row r="1901" spans="6:6">
      <c r="F1901" s="7"/>
    </row>
    <row r="1902" spans="6:6">
      <c r="F1902" s="7"/>
    </row>
    <row r="1903" spans="6:6">
      <c r="F1903" s="7"/>
    </row>
    <row r="1904" spans="6:6">
      <c r="F1904" s="7"/>
    </row>
    <row r="1905" spans="6:6">
      <c r="F1905" s="7"/>
    </row>
    <row r="1906" spans="6:6">
      <c r="F1906" s="7"/>
    </row>
    <row r="1907" spans="6:6">
      <c r="F1907" s="7"/>
    </row>
    <row r="1908" spans="6:6">
      <c r="F1908" s="7"/>
    </row>
    <row r="1909" spans="6:6">
      <c r="F1909" s="7"/>
    </row>
    <row r="1910" spans="6:6">
      <c r="F1910" s="7"/>
    </row>
    <row r="1911" spans="6:6">
      <c r="F1911" s="7"/>
    </row>
    <row r="1912" spans="6:6">
      <c r="F1912" s="7"/>
    </row>
    <row r="1913" spans="6:6">
      <c r="F1913" s="7"/>
    </row>
    <row r="1914" spans="6:6">
      <c r="F1914" s="7"/>
    </row>
    <row r="1915" spans="6:6">
      <c r="F1915" s="7"/>
    </row>
    <row r="1916" spans="6:6">
      <c r="F1916" s="7"/>
    </row>
    <row r="1917" spans="6:6">
      <c r="F1917" s="7"/>
    </row>
    <row r="1918" spans="6:6">
      <c r="F1918" s="7"/>
    </row>
    <row r="1919" spans="6:6">
      <c r="F1919" s="7"/>
    </row>
    <row r="1920" spans="6:6">
      <c r="F1920" s="7"/>
    </row>
    <row r="1921" spans="6:6">
      <c r="F1921" s="7"/>
    </row>
    <row r="1922" spans="6:6">
      <c r="F1922" s="7"/>
    </row>
    <row r="1923" spans="6:6">
      <c r="F1923" s="7"/>
    </row>
    <row r="1924" spans="6:6">
      <c r="F1924" s="7"/>
    </row>
    <row r="1925" spans="6:6">
      <c r="F1925" s="7"/>
    </row>
    <row r="1926" spans="6:6">
      <c r="F1926" s="7"/>
    </row>
    <row r="1927" spans="6:6">
      <c r="F1927" s="7"/>
    </row>
    <row r="1928" spans="6:6">
      <c r="F1928" s="7"/>
    </row>
    <row r="1929" spans="6:6">
      <c r="F1929" s="7"/>
    </row>
    <row r="1930" spans="6:6">
      <c r="F1930" s="7"/>
    </row>
    <row r="1931" spans="6:6">
      <c r="F1931" s="7"/>
    </row>
    <row r="1932" spans="6:6">
      <c r="F1932" s="7"/>
    </row>
    <row r="1933" spans="6:6">
      <c r="F1933" s="7"/>
    </row>
    <row r="1934" spans="6:6">
      <c r="F1934" s="7"/>
    </row>
    <row r="1935" spans="6:6">
      <c r="F1935" s="7"/>
    </row>
    <row r="1936" spans="6:6">
      <c r="F1936" s="7"/>
    </row>
    <row r="1937" spans="6:6">
      <c r="F1937" s="7"/>
    </row>
    <row r="1938" spans="6:6">
      <c r="F1938" s="7"/>
    </row>
    <row r="1939" spans="6:6">
      <c r="F1939" s="7"/>
    </row>
    <row r="1940" spans="6:6">
      <c r="F1940" s="7"/>
    </row>
    <row r="1941" spans="6:6">
      <c r="F1941" s="7"/>
    </row>
    <row r="1942" spans="6:6">
      <c r="F1942" s="7"/>
    </row>
    <row r="1943" spans="6:6">
      <c r="F1943" s="7"/>
    </row>
    <row r="1944" spans="6:6">
      <c r="F1944" s="7"/>
    </row>
    <row r="1945" spans="6:6">
      <c r="F1945" s="7"/>
    </row>
    <row r="1946" spans="6:6">
      <c r="F1946" s="7"/>
    </row>
    <row r="1947" spans="6:6">
      <c r="F1947" s="7"/>
    </row>
    <row r="1948" spans="6:6">
      <c r="F1948" s="7"/>
    </row>
    <row r="1949" spans="6:6">
      <c r="F1949" s="7"/>
    </row>
    <row r="1950" spans="6:6">
      <c r="F1950" s="7"/>
    </row>
    <row r="1951" spans="6:6">
      <c r="F1951" s="7"/>
    </row>
    <row r="1952" spans="6:6">
      <c r="F1952" s="7"/>
    </row>
    <row r="1953" spans="6:6">
      <c r="F1953" s="7"/>
    </row>
    <row r="1954" spans="6:6">
      <c r="F1954" s="7"/>
    </row>
    <row r="1955" spans="6:6">
      <c r="F1955" s="7"/>
    </row>
    <row r="1956" spans="6:6">
      <c r="F1956" s="7"/>
    </row>
    <row r="1957" spans="6:6">
      <c r="F1957" s="7"/>
    </row>
    <row r="1958" spans="6:6">
      <c r="F1958" s="7"/>
    </row>
    <row r="1959" spans="6:6">
      <c r="F1959" s="7"/>
    </row>
    <row r="1960" spans="6:6">
      <c r="F1960" s="7"/>
    </row>
    <row r="1961" spans="6:6">
      <c r="F1961" s="7"/>
    </row>
    <row r="1962" spans="6:6">
      <c r="F1962" s="7"/>
    </row>
    <row r="1963" spans="6:6">
      <c r="F1963" s="7"/>
    </row>
    <row r="1964" spans="6:6">
      <c r="F1964" s="7"/>
    </row>
    <row r="1965" spans="6:6">
      <c r="F1965" s="7"/>
    </row>
    <row r="1966" spans="6:6">
      <c r="F1966" s="7"/>
    </row>
    <row r="1967" spans="6:6">
      <c r="F1967" s="7"/>
    </row>
    <row r="1968" spans="6:6">
      <c r="F1968" s="7"/>
    </row>
    <row r="1969" spans="6:6">
      <c r="F1969" s="7"/>
    </row>
    <row r="1970" spans="6:6">
      <c r="F1970" s="7"/>
    </row>
    <row r="1971" spans="6:6">
      <c r="F1971" s="7"/>
    </row>
    <row r="1972" spans="6:6">
      <c r="F1972" s="7"/>
    </row>
    <row r="1973" spans="6:6">
      <c r="F1973" s="7"/>
    </row>
    <row r="1974" spans="6:6">
      <c r="F1974" s="7"/>
    </row>
    <row r="1975" spans="6:6">
      <c r="F1975" s="7"/>
    </row>
    <row r="1976" spans="6:6">
      <c r="F1976" s="7"/>
    </row>
    <row r="1977" spans="6:6">
      <c r="F1977" s="7"/>
    </row>
    <row r="1978" spans="6:6">
      <c r="F1978" s="7"/>
    </row>
    <row r="1979" spans="6:6">
      <c r="F1979" s="7"/>
    </row>
    <row r="1980" spans="6:6">
      <c r="F1980" s="7"/>
    </row>
    <row r="1981" spans="6:6">
      <c r="F1981" s="7"/>
    </row>
    <row r="1982" spans="6:6">
      <c r="F1982" s="7"/>
    </row>
    <row r="1983" spans="6:6">
      <c r="F1983" s="7"/>
    </row>
    <row r="1984" spans="6:6">
      <c r="F1984" s="7"/>
    </row>
    <row r="1985" spans="6:6">
      <c r="F1985" s="7"/>
    </row>
    <row r="1986" spans="6:6">
      <c r="F1986" s="7"/>
    </row>
    <row r="1987" spans="6:6">
      <c r="F1987" s="7"/>
    </row>
    <row r="1988" spans="6:6">
      <c r="F1988" s="7"/>
    </row>
    <row r="1989" spans="6:6">
      <c r="F1989" s="7"/>
    </row>
    <row r="1990" spans="6:6">
      <c r="F1990" s="7"/>
    </row>
    <row r="1991" spans="6:6">
      <c r="F1991" s="7"/>
    </row>
    <row r="1992" spans="6:6">
      <c r="F1992" s="7"/>
    </row>
    <row r="1993" spans="6:6">
      <c r="F1993" s="7"/>
    </row>
    <row r="1994" spans="6:6">
      <c r="F1994" s="7"/>
    </row>
    <row r="1995" spans="6:6">
      <c r="F1995" s="7"/>
    </row>
    <row r="1996" spans="6:6">
      <c r="F1996" s="7"/>
    </row>
    <row r="1997" spans="6:6">
      <c r="F1997" s="7"/>
    </row>
    <row r="1998" spans="6:6">
      <c r="F1998" s="7"/>
    </row>
    <row r="1999" spans="6:6">
      <c r="F1999" s="7"/>
    </row>
    <row r="2000" spans="6:6">
      <c r="F2000" s="7"/>
    </row>
    <row r="2001" spans="6:6">
      <c r="F2001" s="7"/>
    </row>
    <row r="2002" spans="6:6">
      <c r="F2002" s="7"/>
    </row>
    <row r="2003" spans="6:6">
      <c r="F2003" s="7"/>
    </row>
    <row r="2004" spans="6:6">
      <c r="F2004" s="7"/>
    </row>
    <row r="2005" spans="6:6">
      <c r="F2005" s="7"/>
    </row>
    <row r="2006" spans="6:6">
      <c r="F2006" s="7"/>
    </row>
    <row r="2007" spans="6:6">
      <c r="F2007" s="7"/>
    </row>
    <row r="2008" spans="6:6">
      <c r="F2008" s="7"/>
    </row>
    <row r="2009" spans="6:6">
      <c r="F2009" s="7"/>
    </row>
    <row r="2010" spans="6:6">
      <c r="F2010" s="7"/>
    </row>
    <row r="2011" spans="6:6">
      <c r="F2011" s="7"/>
    </row>
    <row r="2012" spans="6:6">
      <c r="F2012" s="7"/>
    </row>
    <row r="2013" spans="6:6">
      <c r="F2013" s="7"/>
    </row>
    <row r="2014" spans="6:6">
      <c r="F2014" s="7"/>
    </row>
    <row r="2015" spans="6:6">
      <c r="F2015" s="7"/>
    </row>
    <row r="2016" spans="6:6">
      <c r="F2016" s="7"/>
    </row>
    <row r="2017" spans="6:6">
      <c r="F2017" s="7"/>
    </row>
    <row r="2018" spans="6:6">
      <c r="F2018" s="7"/>
    </row>
    <row r="2019" spans="6:6">
      <c r="F2019" s="7"/>
    </row>
    <row r="2020" spans="6:6">
      <c r="F2020" s="7"/>
    </row>
    <row r="2021" spans="6:6">
      <c r="F2021" s="7"/>
    </row>
    <row r="2022" spans="6:6">
      <c r="F2022" s="7"/>
    </row>
    <row r="2023" spans="6:6">
      <c r="F2023" s="7"/>
    </row>
    <row r="2024" spans="6:6">
      <c r="F2024" s="7"/>
    </row>
    <row r="2025" spans="6:6">
      <c r="F2025" s="7"/>
    </row>
    <row r="2026" spans="6:6">
      <c r="F2026" s="7"/>
    </row>
    <row r="2027" spans="6:6">
      <c r="F2027" s="7"/>
    </row>
    <row r="2028" spans="6:6">
      <c r="F2028" s="7"/>
    </row>
    <row r="2029" spans="6:6">
      <c r="F2029" s="7"/>
    </row>
    <row r="2030" spans="6:6">
      <c r="F2030" s="7"/>
    </row>
    <row r="2031" spans="6:6">
      <c r="F2031" s="7"/>
    </row>
    <row r="2032" spans="6:6">
      <c r="F2032" s="7"/>
    </row>
    <row r="2033" spans="6:6">
      <c r="F2033" s="7"/>
    </row>
    <row r="2034" spans="6:6">
      <c r="F2034" s="7"/>
    </row>
    <row r="2035" spans="6:6">
      <c r="F2035" s="7"/>
    </row>
    <row r="2036" spans="6:6">
      <c r="F2036" s="7"/>
    </row>
    <row r="2037" spans="6:6">
      <c r="F2037" s="7"/>
    </row>
    <row r="2038" spans="6:6">
      <c r="F2038" s="7"/>
    </row>
    <row r="2039" spans="6:6">
      <c r="F2039" s="7"/>
    </row>
    <row r="2040" spans="6:6">
      <c r="F2040" s="7"/>
    </row>
    <row r="2041" spans="6:6">
      <c r="F2041" s="7"/>
    </row>
    <row r="2042" spans="6:6">
      <c r="F2042" s="7"/>
    </row>
    <row r="2043" spans="6:6">
      <c r="F2043" s="7"/>
    </row>
    <row r="2044" spans="6:6">
      <c r="F2044" s="7"/>
    </row>
    <row r="2045" spans="6:6">
      <c r="F2045" s="7"/>
    </row>
    <row r="2046" spans="6:6">
      <c r="F2046" s="7"/>
    </row>
    <row r="2047" spans="6:6">
      <c r="F2047" s="7"/>
    </row>
    <row r="2048" spans="6:6">
      <c r="F2048" s="7"/>
    </row>
    <row r="2049" spans="6:6">
      <c r="F2049" s="7"/>
    </row>
    <row r="2050" spans="6:6">
      <c r="F2050" s="7"/>
    </row>
    <row r="2051" spans="6:6">
      <c r="F2051" s="7"/>
    </row>
    <row r="2052" spans="6:6">
      <c r="F2052" s="7"/>
    </row>
    <row r="2053" spans="6:6">
      <c r="F2053" s="7"/>
    </row>
    <row r="2054" spans="6:6">
      <c r="F2054" s="7"/>
    </row>
    <row r="2055" spans="6:6">
      <c r="F2055" s="7"/>
    </row>
    <row r="2056" spans="6:6">
      <c r="F2056" s="7"/>
    </row>
    <row r="2057" spans="6:6">
      <c r="F2057" s="7"/>
    </row>
    <row r="2058" spans="6:6">
      <c r="F2058" s="7"/>
    </row>
    <row r="2059" spans="6:6">
      <c r="F2059" s="7"/>
    </row>
    <row r="2060" spans="6:6">
      <c r="F2060" s="7"/>
    </row>
    <row r="2061" spans="6:6">
      <c r="F2061" s="7"/>
    </row>
    <row r="2062" spans="6:6">
      <c r="F2062" s="7"/>
    </row>
    <row r="2063" spans="6:6">
      <c r="F2063" s="7"/>
    </row>
    <row r="2064" spans="6:6">
      <c r="F2064" s="7"/>
    </row>
    <row r="2065" spans="6:6">
      <c r="F2065" s="7"/>
    </row>
    <row r="2066" spans="6:6">
      <c r="F2066" s="7"/>
    </row>
    <row r="2067" spans="6:6">
      <c r="F2067" s="7"/>
    </row>
    <row r="2068" spans="6:6">
      <c r="F2068" s="7"/>
    </row>
    <row r="2069" spans="6:6">
      <c r="F2069" s="7"/>
    </row>
    <row r="2070" spans="6:6">
      <c r="F2070" s="7"/>
    </row>
    <row r="2071" spans="6:6">
      <c r="F2071" s="7"/>
    </row>
    <row r="2072" spans="6:6">
      <c r="F2072" s="7"/>
    </row>
    <row r="2073" spans="6:6">
      <c r="F2073" s="7"/>
    </row>
    <row r="2074" spans="6:6">
      <c r="F2074" s="7"/>
    </row>
    <row r="2075" spans="6:6">
      <c r="F2075" s="7"/>
    </row>
    <row r="2076" spans="6:6">
      <c r="F2076" s="7"/>
    </row>
    <row r="2077" spans="6:6">
      <c r="F2077" s="7"/>
    </row>
    <row r="2078" spans="6:6">
      <c r="F2078" s="7"/>
    </row>
    <row r="2079" spans="6:6">
      <c r="F2079" s="7"/>
    </row>
    <row r="2080" spans="6:6">
      <c r="F2080" s="7"/>
    </row>
    <row r="2081" spans="6:6">
      <c r="F2081" s="7"/>
    </row>
    <row r="2082" spans="6:6">
      <c r="F2082" s="7"/>
    </row>
    <row r="2083" spans="6:6">
      <c r="F2083" s="7"/>
    </row>
    <row r="2084" spans="6:6">
      <c r="F2084" s="7"/>
    </row>
    <row r="2085" spans="6:6">
      <c r="F2085" s="7"/>
    </row>
    <row r="2086" spans="6:6">
      <c r="F2086" s="7"/>
    </row>
    <row r="2087" spans="6:6">
      <c r="F2087" s="7"/>
    </row>
    <row r="2088" spans="6:6">
      <c r="F2088" s="7"/>
    </row>
    <row r="2089" spans="6:6">
      <c r="F2089" s="7"/>
    </row>
    <row r="2090" spans="6:6">
      <c r="F2090" s="7"/>
    </row>
    <row r="2091" spans="6:6">
      <c r="F2091" s="7"/>
    </row>
    <row r="2092" spans="6:6">
      <c r="F2092" s="7"/>
    </row>
    <row r="2093" spans="6:6">
      <c r="F2093" s="7"/>
    </row>
    <row r="2094" spans="6:6">
      <c r="F2094" s="7"/>
    </row>
    <row r="2095" spans="6:6">
      <c r="F2095" s="7"/>
    </row>
    <row r="2096" spans="6:6">
      <c r="F2096" s="7"/>
    </row>
    <row r="2097" spans="6:6">
      <c r="F2097" s="7"/>
    </row>
    <row r="2098" spans="6:6">
      <c r="F2098" s="7"/>
    </row>
    <row r="2099" spans="6:6">
      <c r="F2099" s="7"/>
    </row>
    <row r="2100" spans="6:6">
      <c r="F2100" s="7"/>
    </row>
    <row r="2101" spans="6:6">
      <c r="F2101" s="7"/>
    </row>
    <row r="2102" spans="6:6">
      <c r="F2102" s="7"/>
    </row>
    <row r="2103" spans="6:6">
      <c r="F2103" s="7"/>
    </row>
    <row r="2104" spans="6:6">
      <c r="F2104" s="7"/>
    </row>
    <row r="2105" spans="6:6">
      <c r="F2105" s="7"/>
    </row>
    <row r="2106" spans="6:6">
      <c r="F2106" s="7"/>
    </row>
    <row r="2107" spans="6:6">
      <c r="F2107" s="7"/>
    </row>
    <row r="2108" spans="6:6">
      <c r="F2108" s="7"/>
    </row>
    <row r="2109" spans="6:6">
      <c r="F2109" s="7"/>
    </row>
    <row r="2110" spans="6:6">
      <c r="F2110" s="7"/>
    </row>
    <row r="2111" spans="6:6">
      <c r="F2111" s="7"/>
    </row>
    <row r="2112" spans="6:6">
      <c r="F2112" s="7"/>
    </row>
    <row r="2113" spans="6:6">
      <c r="F2113" s="7"/>
    </row>
    <row r="2114" spans="6:6">
      <c r="F2114" s="7"/>
    </row>
    <row r="2115" spans="6:6">
      <c r="F2115" s="7"/>
    </row>
    <row r="2116" spans="6:6">
      <c r="F2116" s="7"/>
    </row>
    <row r="2117" spans="6:6">
      <c r="F2117" s="7"/>
    </row>
    <row r="2118" spans="6:6">
      <c r="F2118" s="7"/>
    </row>
    <row r="2119" spans="6:6">
      <c r="F2119" s="7"/>
    </row>
    <row r="2120" spans="6:6">
      <c r="F2120" s="7"/>
    </row>
    <row r="2121" spans="6:6">
      <c r="F2121" s="7"/>
    </row>
    <row r="2122" spans="6:6">
      <c r="F2122" s="7"/>
    </row>
    <row r="2123" spans="6:6">
      <c r="F2123" s="7"/>
    </row>
    <row r="2124" spans="6:6">
      <c r="F2124" s="7"/>
    </row>
    <row r="2125" spans="6:6">
      <c r="F2125" s="7"/>
    </row>
    <row r="2126" spans="6:6">
      <c r="F2126" s="7"/>
    </row>
    <row r="2127" spans="6:6">
      <c r="F2127" s="7"/>
    </row>
    <row r="2128" spans="6:6">
      <c r="F2128" s="7"/>
    </row>
    <row r="2129" spans="6:6">
      <c r="F2129" s="7"/>
    </row>
    <row r="2130" spans="6:6">
      <c r="F2130" s="7"/>
    </row>
    <row r="2131" spans="6:6">
      <c r="F2131" s="7"/>
    </row>
    <row r="2132" spans="6:6">
      <c r="F2132" s="7"/>
    </row>
    <row r="2133" spans="6:6">
      <c r="F2133" s="7"/>
    </row>
    <row r="2134" spans="6:6">
      <c r="F2134" s="7"/>
    </row>
    <row r="2135" spans="6:6">
      <c r="F2135" s="7"/>
    </row>
    <row r="2136" spans="6:6">
      <c r="F2136" s="7"/>
    </row>
    <row r="2137" spans="6:6">
      <c r="F2137" s="7"/>
    </row>
    <row r="2138" spans="6:6">
      <c r="F2138" s="7"/>
    </row>
    <row r="2139" spans="6:6">
      <c r="F2139" s="7"/>
    </row>
    <row r="2140" spans="6:6">
      <c r="F2140" s="7"/>
    </row>
    <row r="2141" spans="6:6">
      <c r="F2141" s="7"/>
    </row>
    <row r="2142" spans="6:6">
      <c r="F2142" s="7"/>
    </row>
    <row r="2143" spans="6:6">
      <c r="F2143" s="7"/>
    </row>
    <row r="2144" spans="6:6">
      <c r="F2144" s="7"/>
    </row>
    <row r="2145" spans="6:6">
      <c r="F2145" s="7"/>
    </row>
    <row r="2146" spans="6:6">
      <c r="F2146" s="7"/>
    </row>
    <row r="2147" spans="6:6">
      <c r="F2147" s="7"/>
    </row>
    <row r="2148" spans="6:6">
      <c r="F2148" s="7"/>
    </row>
    <row r="2149" spans="6:6">
      <c r="F2149" s="7"/>
    </row>
    <row r="2150" spans="6:6">
      <c r="F2150" s="7"/>
    </row>
    <row r="2151" spans="6:6">
      <c r="F2151" s="7"/>
    </row>
    <row r="2152" spans="6:6">
      <c r="F2152" s="7"/>
    </row>
    <row r="2153" spans="6:6">
      <c r="F2153" s="7"/>
    </row>
    <row r="2154" spans="6:6">
      <c r="F2154" s="7"/>
    </row>
    <row r="2155" spans="6:6">
      <c r="F2155" s="7"/>
    </row>
    <row r="2156" spans="6:6">
      <c r="F2156" s="7"/>
    </row>
    <row r="2157" spans="6:6">
      <c r="F2157" s="7"/>
    </row>
    <row r="2158" spans="6:6">
      <c r="F2158" s="7"/>
    </row>
    <row r="2159" spans="6:6">
      <c r="F2159" s="7"/>
    </row>
    <row r="2160" spans="6:6">
      <c r="F2160" s="7"/>
    </row>
    <row r="2161" spans="6:6">
      <c r="F2161" s="7"/>
    </row>
    <row r="2162" spans="6:6">
      <c r="F2162" s="7"/>
    </row>
    <row r="2163" spans="6:6">
      <c r="F2163" s="7"/>
    </row>
    <row r="2164" spans="6:6">
      <c r="F2164" s="7"/>
    </row>
    <row r="2165" spans="6:6">
      <c r="F2165" s="7"/>
    </row>
    <row r="2166" spans="6:6">
      <c r="F2166" s="7"/>
    </row>
    <row r="2167" spans="6:6">
      <c r="F2167" s="7"/>
    </row>
    <row r="2168" spans="6:6">
      <c r="F2168" s="7"/>
    </row>
    <row r="2169" spans="6:6">
      <c r="F2169" s="7"/>
    </row>
    <row r="2170" spans="6:6">
      <c r="F2170" s="7"/>
    </row>
    <row r="2171" spans="6:6">
      <c r="F2171" s="7"/>
    </row>
    <row r="2172" spans="6:6">
      <c r="F2172" s="7"/>
    </row>
    <row r="2173" spans="6:6">
      <c r="F2173" s="7"/>
    </row>
    <row r="2174" spans="6:6">
      <c r="F2174" s="7"/>
    </row>
    <row r="2175" spans="6:6">
      <c r="F2175" s="7"/>
    </row>
    <row r="2176" spans="6:6">
      <c r="F2176" s="7"/>
    </row>
    <row r="2177" spans="6:6">
      <c r="F2177" s="7"/>
    </row>
    <row r="2178" spans="6:6">
      <c r="F2178" s="7"/>
    </row>
    <row r="2179" spans="6:6">
      <c r="F2179" s="7"/>
    </row>
    <row r="2180" spans="6:6">
      <c r="F2180" s="7"/>
    </row>
    <row r="2181" spans="6:6">
      <c r="F2181" s="7"/>
    </row>
    <row r="2182" spans="6:6">
      <c r="F2182" s="7"/>
    </row>
    <row r="2183" spans="6:6">
      <c r="F2183" s="7"/>
    </row>
    <row r="2184" spans="6:6">
      <c r="F2184" s="7"/>
    </row>
    <row r="2185" spans="6:6">
      <c r="F2185" s="7"/>
    </row>
    <row r="2186" spans="6:6">
      <c r="F2186" s="7"/>
    </row>
    <row r="2187" spans="6:6">
      <c r="F2187" s="7"/>
    </row>
    <row r="2188" spans="6:6">
      <c r="F2188" s="7"/>
    </row>
    <row r="2189" spans="6:6">
      <c r="F2189" s="7"/>
    </row>
    <row r="2190" spans="6:6">
      <c r="F2190" s="7"/>
    </row>
    <row r="2191" spans="6:6">
      <c r="F2191" s="7"/>
    </row>
    <row r="2192" spans="6:6">
      <c r="F2192" s="7"/>
    </row>
    <row r="2193" spans="6:6">
      <c r="F2193" s="7"/>
    </row>
    <row r="2194" spans="6:6">
      <c r="F2194" s="7"/>
    </row>
    <row r="2195" spans="6:6">
      <c r="F2195" s="7"/>
    </row>
    <row r="2196" spans="6:6">
      <c r="F2196" s="7"/>
    </row>
    <row r="2197" spans="6:6">
      <c r="F2197" s="7"/>
    </row>
    <row r="2198" spans="6:6">
      <c r="F2198" s="7"/>
    </row>
    <row r="2199" spans="6:6">
      <c r="F2199" s="7"/>
    </row>
    <row r="2200" spans="6:6">
      <c r="F2200" s="7"/>
    </row>
    <row r="2201" spans="6:6">
      <c r="F2201" s="7"/>
    </row>
    <row r="2202" spans="6:6">
      <c r="F2202" s="7"/>
    </row>
    <row r="2203" spans="6:6">
      <c r="F2203" s="7"/>
    </row>
    <row r="2204" spans="6:6">
      <c r="F2204" s="7"/>
    </row>
    <row r="2205" spans="6:6">
      <c r="F2205" s="7"/>
    </row>
    <row r="2206" spans="6:6">
      <c r="F2206" s="7"/>
    </row>
    <row r="2207" spans="6:6">
      <c r="F2207" s="7"/>
    </row>
    <row r="2208" spans="6:6">
      <c r="F2208" s="7"/>
    </row>
    <row r="2209" spans="6:6">
      <c r="F2209" s="7"/>
    </row>
    <row r="2210" spans="6:6">
      <c r="F2210" s="7"/>
    </row>
    <row r="2211" spans="6:6">
      <c r="F2211" s="7"/>
    </row>
    <row r="2212" spans="6:6">
      <c r="F2212" s="7"/>
    </row>
    <row r="2213" spans="6:6">
      <c r="F2213" s="7"/>
    </row>
    <row r="2214" spans="6:6">
      <c r="F2214" s="7"/>
    </row>
    <row r="2215" spans="6:6">
      <c r="F2215" s="7"/>
    </row>
    <row r="2216" spans="6:6">
      <c r="F2216" s="7"/>
    </row>
    <row r="2217" spans="6:6">
      <c r="F2217" s="7"/>
    </row>
    <row r="2218" spans="6:6">
      <c r="F2218" s="7"/>
    </row>
    <row r="2219" spans="6:6">
      <c r="F2219" s="7"/>
    </row>
    <row r="2220" spans="6:6">
      <c r="F2220" s="7"/>
    </row>
    <row r="2221" spans="6:6">
      <c r="F2221" s="7"/>
    </row>
    <row r="2222" spans="6:6">
      <c r="F2222" s="7"/>
    </row>
    <row r="2223" spans="6:6">
      <c r="F2223" s="7"/>
    </row>
    <row r="2224" spans="6:6">
      <c r="F2224" s="7"/>
    </row>
    <row r="2225" spans="6:6">
      <c r="F2225" s="7"/>
    </row>
    <row r="2226" spans="6:6">
      <c r="F2226" s="7"/>
    </row>
    <row r="2227" spans="6:6">
      <c r="F2227" s="7"/>
    </row>
    <row r="2228" spans="6:6">
      <c r="F2228" s="7"/>
    </row>
    <row r="2229" spans="6:6">
      <c r="F2229" s="7"/>
    </row>
    <row r="2230" spans="6:6">
      <c r="F2230" s="7"/>
    </row>
    <row r="2231" spans="6:6">
      <c r="F2231" s="7"/>
    </row>
    <row r="2232" spans="6:6">
      <c r="F2232" s="7"/>
    </row>
    <row r="2233" spans="6:6">
      <c r="F2233" s="7"/>
    </row>
    <row r="2234" spans="6:6">
      <c r="F2234" s="7"/>
    </row>
    <row r="2235" spans="6:6">
      <c r="F2235" s="7"/>
    </row>
    <row r="2236" spans="6:6">
      <c r="F2236" s="7"/>
    </row>
    <row r="2237" spans="6:6">
      <c r="F2237" s="7"/>
    </row>
    <row r="2238" spans="6:6">
      <c r="F2238" s="7"/>
    </row>
    <row r="2239" spans="6:6">
      <c r="F2239" s="7"/>
    </row>
    <row r="2240" spans="6:6">
      <c r="F2240" s="7"/>
    </row>
    <row r="2241" spans="6:6">
      <c r="F2241" s="7"/>
    </row>
    <row r="2242" spans="6:6">
      <c r="F2242" s="7"/>
    </row>
    <row r="2243" spans="6:6">
      <c r="F2243" s="7"/>
    </row>
    <row r="2244" spans="6:6">
      <c r="F2244" s="7"/>
    </row>
    <row r="2245" spans="6:6">
      <c r="F2245" s="7"/>
    </row>
    <row r="2246" spans="6:6">
      <c r="F2246" s="7"/>
    </row>
    <row r="2247" spans="6:6">
      <c r="F2247" s="7"/>
    </row>
    <row r="2248" spans="6:6">
      <c r="F2248" s="7"/>
    </row>
    <row r="2249" spans="6:6">
      <c r="F2249" s="7"/>
    </row>
    <row r="2250" spans="6:6">
      <c r="F2250" s="7"/>
    </row>
    <row r="2251" spans="6:6">
      <c r="F2251" s="7"/>
    </row>
    <row r="2252" spans="6:6">
      <c r="F2252" s="7"/>
    </row>
    <row r="2253" spans="6:6">
      <c r="F2253" s="7"/>
    </row>
    <row r="2254" spans="6:6">
      <c r="F2254" s="7"/>
    </row>
    <row r="2255" spans="6:6">
      <c r="F2255" s="7"/>
    </row>
    <row r="2256" spans="6:6">
      <c r="F2256" s="7"/>
    </row>
    <row r="2257" spans="6:6">
      <c r="F2257" s="7"/>
    </row>
    <row r="2258" spans="6:6">
      <c r="F2258" s="7"/>
    </row>
    <row r="2259" spans="6:6">
      <c r="F2259" s="7"/>
    </row>
    <row r="2260" spans="6:6">
      <c r="F2260" s="7"/>
    </row>
    <row r="2261" spans="6:6">
      <c r="F2261" s="7"/>
    </row>
    <row r="2262" spans="6:6">
      <c r="F2262" s="7"/>
    </row>
    <row r="2263" spans="6:6">
      <c r="F2263" s="7"/>
    </row>
    <row r="2264" spans="6:6">
      <c r="F2264" s="7"/>
    </row>
    <row r="2265" spans="6:6">
      <c r="F2265" s="7"/>
    </row>
    <row r="2266" spans="6:6">
      <c r="F2266" s="7"/>
    </row>
    <row r="2267" spans="6:6">
      <c r="F2267" s="7"/>
    </row>
    <row r="2268" spans="6:6">
      <c r="F2268" s="7"/>
    </row>
    <row r="2269" spans="6:6">
      <c r="F2269" s="7"/>
    </row>
    <row r="2270" spans="6:6">
      <c r="F2270" s="7"/>
    </row>
    <row r="2271" spans="6:6">
      <c r="F2271" s="7"/>
    </row>
    <row r="2272" spans="6:6">
      <c r="F2272" s="7"/>
    </row>
    <row r="2273" spans="6:6">
      <c r="F2273" s="7"/>
    </row>
    <row r="2274" spans="6:6">
      <c r="F2274" s="7"/>
    </row>
    <row r="2275" spans="6:6">
      <c r="F2275" s="7"/>
    </row>
    <row r="2276" spans="6:6">
      <c r="F2276" s="7"/>
    </row>
    <row r="2277" spans="6:6">
      <c r="F2277" s="7"/>
    </row>
    <row r="2278" spans="6:6">
      <c r="F2278" s="7"/>
    </row>
    <row r="2279" spans="6:6">
      <c r="F2279" s="7"/>
    </row>
    <row r="2280" spans="6:6">
      <c r="F2280" s="7"/>
    </row>
    <row r="2281" spans="6:6">
      <c r="F2281" s="7"/>
    </row>
    <row r="2282" spans="6:6">
      <c r="F2282" s="7"/>
    </row>
    <row r="2283" spans="6:6">
      <c r="F2283" s="7"/>
    </row>
    <row r="2284" spans="6:6">
      <c r="F2284" s="7"/>
    </row>
    <row r="2285" spans="6:6">
      <c r="F2285" s="7"/>
    </row>
    <row r="2286" spans="6:6">
      <c r="F2286" s="7"/>
    </row>
    <row r="2287" spans="6:6">
      <c r="F2287" s="7"/>
    </row>
    <row r="2288" spans="6:6">
      <c r="F2288" s="7"/>
    </row>
    <row r="2289" spans="6:6">
      <c r="F2289" s="7"/>
    </row>
    <row r="2290" spans="6:6">
      <c r="F2290" s="7"/>
    </row>
    <row r="2291" spans="6:6">
      <c r="F2291" s="7"/>
    </row>
    <row r="2292" spans="6:6">
      <c r="F2292" s="7"/>
    </row>
    <row r="2293" spans="6:6">
      <c r="F2293" s="7"/>
    </row>
    <row r="2294" spans="6:6">
      <c r="F2294" s="7"/>
    </row>
    <row r="2295" spans="6:6">
      <c r="F2295" s="7"/>
    </row>
    <row r="2296" spans="6:6">
      <c r="F2296" s="7"/>
    </row>
    <row r="2297" spans="6:6">
      <c r="F2297" s="7"/>
    </row>
    <row r="2298" spans="6:6">
      <c r="F2298" s="7"/>
    </row>
    <row r="2299" spans="6:6">
      <c r="F2299" s="7"/>
    </row>
    <row r="2300" spans="6:6">
      <c r="F2300" s="7"/>
    </row>
    <row r="2301" spans="6:6">
      <c r="F2301" s="7"/>
    </row>
    <row r="2302" spans="6:6">
      <c r="F2302" s="7"/>
    </row>
    <row r="2303" spans="6:6">
      <c r="F2303" s="7"/>
    </row>
    <row r="2304" spans="6:6">
      <c r="F2304" s="7"/>
    </row>
    <row r="2305" spans="6:6">
      <c r="F2305" s="7"/>
    </row>
    <row r="2306" spans="6:6">
      <c r="F2306" s="7"/>
    </row>
    <row r="2307" spans="6:6">
      <c r="F2307" s="7"/>
    </row>
    <row r="2308" spans="6:6">
      <c r="F2308" s="7"/>
    </row>
    <row r="2309" spans="6:6">
      <c r="F2309" s="7"/>
    </row>
    <row r="2310" spans="6:6">
      <c r="F2310" s="7"/>
    </row>
    <row r="2311" spans="6:6">
      <c r="F2311" s="7"/>
    </row>
    <row r="2312" spans="6:6">
      <c r="F2312" s="7"/>
    </row>
    <row r="2313" spans="6:6">
      <c r="F2313" s="7"/>
    </row>
    <row r="2314" spans="6:6">
      <c r="F2314" s="7"/>
    </row>
    <row r="2315" spans="6:6">
      <c r="F2315" s="7"/>
    </row>
    <row r="2316" spans="6:6">
      <c r="F2316" s="7"/>
    </row>
    <row r="2317" spans="6:6">
      <c r="F2317" s="7"/>
    </row>
    <row r="2318" spans="6:6">
      <c r="F2318" s="7"/>
    </row>
    <row r="2319" spans="6:6">
      <c r="F2319" s="7"/>
    </row>
    <row r="2320" spans="6:6">
      <c r="F2320" s="7"/>
    </row>
    <row r="2321" spans="6:6">
      <c r="F2321" s="7"/>
    </row>
    <row r="2322" spans="6:6">
      <c r="F2322" s="7"/>
    </row>
    <row r="2323" spans="6:6">
      <c r="F2323" s="7"/>
    </row>
    <row r="2324" spans="6:6">
      <c r="F2324" s="7"/>
    </row>
    <row r="2325" spans="6:6">
      <c r="F2325" s="7"/>
    </row>
    <row r="2326" spans="6:6">
      <c r="F2326" s="7"/>
    </row>
    <row r="2327" spans="6:6">
      <c r="F2327" s="7"/>
    </row>
    <row r="2328" spans="6:6">
      <c r="F2328" s="7"/>
    </row>
    <row r="2329" spans="6:6">
      <c r="F2329" s="7"/>
    </row>
    <row r="2330" spans="6:6">
      <c r="F2330" s="7"/>
    </row>
    <row r="2331" spans="6:6">
      <c r="F2331" s="7"/>
    </row>
    <row r="2332" spans="6:6">
      <c r="F2332" s="7"/>
    </row>
    <row r="2333" spans="6:6">
      <c r="F2333" s="7"/>
    </row>
    <row r="2334" spans="6:6">
      <c r="F2334" s="7"/>
    </row>
    <row r="2335" spans="6:6">
      <c r="F2335" s="7"/>
    </row>
    <row r="2336" spans="6:6">
      <c r="F2336" s="7"/>
    </row>
    <row r="2337" spans="6:6">
      <c r="F2337" s="7"/>
    </row>
    <row r="2338" spans="6:6">
      <c r="F2338" s="7"/>
    </row>
    <row r="2339" spans="6:6">
      <c r="F2339" s="7"/>
    </row>
    <row r="2340" spans="6:6">
      <c r="F2340" s="7"/>
    </row>
    <row r="2341" spans="6:6">
      <c r="F2341" s="7"/>
    </row>
    <row r="2342" spans="6:6">
      <c r="F2342" s="7"/>
    </row>
    <row r="2343" spans="6:6">
      <c r="F2343" s="7"/>
    </row>
    <row r="2344" spans="6:6">
      <c r="F2344" s="7"/>
    </row>
    <row r="2345" spans="6:6">
      <c r="F2345" s="7"/>
    </row>
    <row r="2346" spans="6:6">
      <c r="F2346" s="7"/>
    </row>
    <row r="2347" spans="6:6">
      <c r="F2347" s="7"/>
    </row>
    <row r="2348" spans="6:6">
      <c r="F2348" s="7"/>
    </row>
    <row r="2349" spans="6:6">
      <c r="F2349" s="7"/>
    </row>
    <row r="2350" spans="6:6">
      <c r="F2350" s="7"/>
    </row>
    <row r="2351" spans="6:6">
      <c r="F2351" s="7"/>
    </row>
    <row r="2352" spans="6:6">
      <c r="F2352" s="7"/>
    </row>
    <row r="2353" spans="6:6">
      <c r="F2353" s="7"/>
    </row>
    <row r="2354" spans="6:6">
      <c r="F2354" s="7"/>
    </row>
    <row r="2355" spans="6:6">
      <c r="F2355" s="7"/>
    </row>
    <row r="2356" spans="6:6">
      <c r="F2356" s="7"/>
    </row>
    <row r="2357" spans="6:6">
      <c r="F2357" s="7"/>
    </row>
    <row r="2358" spans="6:6">
      <c r="F2358" s="7"/>
    </row>
    <row r="2359" spans="6:6">
      <c r="F2359" s="7"/>
    </row>
    <row r="2360" spans="6:6">
      <c r="F2360" s="7"/>
    </row>
    <row r="2361" spans="6:6">
      <c r="F2361" s="7"/>
    </row>
    <row r="2362" spans="6:6">
      <c r="F2362" s="7"/>
    </row>
    <row r="2363" spans="6:6">
      <c r="F2363" s="7"/>
    </row>
    <row r="2364" spans="6:6">
      <c r="F2364" s="7"/>
    </row>
    <row r="2365" spans="6:6">
      <c r="F2365" s="7"/>
    </row>
    <row r="2366" spans="6:6">
      <c r="F2366" s="7"/>
    </row>
    <row r="2367" spans="6:6">
      <c r="F2367" s="7"/>
    </row>
    <row r="2368" spans="6:6">
      <c r="F2368" s="7"/>
    </row>
    <row r="2369" spans="6:6">
      <c r="F2369" s="7"/>
    </row>
    <row r="2370" spans="6:6">
      <c r="F2370" s="7"/>
    </row>
    <row r="2371" spans="6:6">
      <c r="F2371" s="7"/>
    </row>
    <row r="2372" spans="6:6">
      <c r="F2372" s="7"/>
    </row>
    <row r="2373" spans="6:6">
      <c r="F2373" s="7"/>
    </row>
    <row r="2374" spans="6:6">
      <c r="F2374" s="7"/>
    </row>
    <row r="2375" spans="6:6">
      <c r="F2375" s="7"/>
    </row>
    <row r="2376" spans="6:6">
      <c r="F2376" s="7"/>
    </row>
    <row r="2377" spans="6:6">
      <c r="F2377" s="7"/>
    </row>
    <row r="2378" spans="6:6">
      <c r="F2378" s="7"/>
    </row>
    <row r="2379" spans="6:6">
      <c r="F2379" s="7"/>
    </row>
    <row r="2380" spans="6:6">
      <c r="F2380" s="7"/>
    </row>
    <row r="2381" spans="6:6">
      <c r="F2381" s="7"/>
    </row>
    <row r="2382" spans="6:6">
      <c r="F2382" s="7"/>
    </row>
    <row r="2383" spans="6:6">
      <c r="F2383" s="7"/>
    </row>
    <row r="2384" spans="6:6">
      <c r="F2384" s="7"/>
    </row>
    <row r="2385" spans="6:6">
      <c r="F2385" s="7"/>
    </row>
    <row r="2386" spans="6:6">
      <c r="F2386" s="7"/>
    </row>
    <row r="2387" spans="6:6">
      <c r="F2387" s="7"/>
    </row>
    <row r="2388" spans="6:6">
      <c r="F2388" s="7"/>
    </row>
    <row r="2389" spans="6:6">
      <c r="F2389" s="7"/>
    </row>
    <row r="2390" spans="6:6">
      <c r="F2390" s="7"/>
    </row>
    <row r="2391" spans="6:6">
      <c r="F2391" s="7"/>
    </row>
    <row r="2392" spans="6:6">
      <c r="F2392" s="7"/>
    </row>
    <row r="2393" spans="6:6">
      <c r="F2393" s="7"/>
    </row>
    <row r="2394" spans="6:6">
      <c r="F2394" s="7"/>
    </row>
    <row r="2395" spans="6:6">
      <c r="F2395" s="7"/>
    </row>
    <row r="2396" spans="6:6">
      <c r="F2396" s="7"/>
    </row>
    <row r="2397" spans="6:6">
      <c r="F2397" s="7"/>
    </row>
    <row r="2398" spans="6:6">
      <c r="F2398" s="7"/>
    </row>
    <row r="2399" spans="6:6">
      <c r="F2399" s="7"/>
    </row>
    <row r="2400" spans="6:6">
      <c r="F2400" s="7"/>
    </row>
    <row r="2401" spans="6:6">
      <c r="F2401" s="7"/>
    </row>
    <row r="2402" spans="6:6">
      <c r="F2402" s="7"/>
    </row>
    <row r="2403" spans="6:6">
      <c r="F2403" s="7"/>
    </row>
    <row r="2404" spans="6:6">
      <c r="F2404" s="7"/>
    </row>
    <row r="2405" spans="6:6">
      <c r="F2405" s="7"/>
    </row>
    <row r="2406" spans="6:6">
      <c r="F2406" s="7"/>
    </row>
    <row r="2407" spans="6:6">
      <c r="F2407" s="7"/>
    </row>
    <row r="2408" spans="6:6">
      <c r="F2408" s="7"/>
    </row>
    <row r="2409" spans="6:6">
      <c r="F2409" s="7"/>
    </row>
    <row r="2410" spans="6:6">
      <c r="F2410" s="7"/>
    </row>
    <row r="2411" spans="6:6">
      <c r="F2411" s="7"/>
    </row>
    <row r="2412" spans="6:6">
      <c r="F2412" s="7"/>
    </row>
    <row r="2413" spans="6:6">
      <c r="F2413" s="7"/>
    </row>
    <row r="2414" spans="6:6">
      <c r="F2414" s="7"/>
    </row>
    <row r="2415" spans="6:6">
      <c r="F2415" s="7"/>
    </row>
    <row r="2416" spans="6:6">
      <c r="F2416" s="7"/>
    </row>
    <row r="2417" spans="6:6">
      <c r="F2417" s="7"/>
    </row>
    <row r="2418" spans="6:6">
      <c r="F2418" s="7"/>
    </row>
    <row r="2419" spans="6:6">
      <c r="F2419" s="7"/>
    </row>
    <row r="2420" spans="6:6">
      <c r="F2420" s="7"/>
    </row>
    <row r="2421" spans="6:6">
      <c r="F2421" s="7"/>
    </row>
    <row r="2422" spans="6:6">
      <c r="F2422" s="7"/>
    </row>
    <row r="2423" spans="6:6">
      <c r="F2423" s="7"/>
    </row>
    <row r="2424" spans="6:6">
      <c r="F2424" s="7"/>
    </row>
    <row r="2425" spans="6:6">
      <c r="F2425" s="7"/>
    </row>
    <row r="2426" spans="6:6">
      <c r="F2426" s="7"/>
    </row>
    <row r="2427" spans="6:6">
      <c r="F2427" s="7"/>
    </row>
    <row r="2428" spans="6:6">
      <c r="F2428" s="7"/>
    </row>
    <row r="2429" spans="6:6">
      <c r="F2429" s="7"/>
    </row>
    <row r="2430" spans="6:6">
      <c r="F2430" s="7"/>
    </row>
    <row r="2431" spans="6:6">
      <c r="F2431" s="7"/>
    </row>
    <row r="2432" spans="6:6">
      <c r="F2432" s="7"/>
    </row>
    <row r="2433" spans="6:6">
      <c r="F2433" s="7"/>
    </row>
    <row r="2434" spans="6:6">
      <c r="F2434" s="7"/>
    </row>
    <row r="2435" spans="6:6">
      <c r="F2435" s="7"/>
    </row>
    <row r="2436" spans="6:6">
      <c r="F2436" s="7"/>
    </row>
    <row r="2437" spans="6:6">
      <c r="F2437" s="7"/>
    </row>
    <row r="2438" spans="6:6">
      <c r="F2438" s="7"/>
    </row>
    <row r="2439" spans="6:6">
      <c r="F2439" s="7"/>
    </row>
    <row r="2440" spans="6:6">
      <c r="F2440" s="7"/>
    </row>
    <row r="2441" spans="6:6">
      <c r="F2441" s="7"/>
    </row>
    <row r="2442" spans="6:6">
      <c r="F2442" s="7"/>
    </row>
    <row r="2443" spans="6:6">
      <c r="F2443" s="7"/>
    </row>
    <row r="2444" spans="6:6">
      <c r="F2444" s="7"/>
    </row>
    <row r="2445" spans="6:6">
      <c r="F2445" s="7"/>
    </row>
    <row r="2446" spans="6:6">
      <c r="F2446" s="7"/>
    </row>
    <row r="2447" spans="6:6">
      <c r="F2447" s="7"/>
    </row>
    <row r="2448" spans="6:6">
      <c r="F2448" s="7"/>
    </row>
    <row r="2449" spans="6:6">
      <c r="F2449" s="7"/>
    </row>
    <row r="2450" spans="6:6">
      <c r="F2450" s="7"/>
    </row>
    <row r="2451" spans="6:6">
      <c r="F2451" s="7"/>
    </row>
    <row r="2452" spans="6:6">
      <c r="F2452" s="7"/>
    </row>
    <row r="2453" spans="6:6">
      <c r="F2453" s="7"/>
    </row>
    <row r="2454" spans="6:6">
      <c r="F2454" s="7"/>
    </row>
    <row r="2455" spans="6:6">
      <c r="F2455" s="7"/>
    </row>
    <row r="2456" spans="6:6">
      <c r="F2456" s="7"/>
    </row>
    <row r="2457" spans="6:6">
      <c r="F2457" s="7"/>
    </row>
    <row r="2458" spans="6:6">
      <c r="F2458" s="7"/>
    </row>
    <row r="2459" spans="6:6">
      <c r="F2459" s="7"/>
    </row>
    <row r="2460" spans="6:6">
      <c r="F2460" s="7"/>
    </row>
    <row r="2461" spans="6:6">
      <c r="F2461" s="7"/>
    </row>
    <row r="2462" spans="6:6">
      <c r="F2462" s="7"/>
    </row>
    <row r="2463" spans="6:6">
      <c r="F2463" s="7"/>
    </row>
    <row r="2464" spans="6:6">
      <c r="F2464" s="7"/>
    </row>
    <row r="2465" spans="6:6">
      <c r="F2465" s="7"/>
    </row>
    <row r="2466" spans="6:6">
      <c r="F2466" s="7"/>
    </row>
    <row r="2467" spans="6:6">
      <c r="F2467" s="7"/>
    </row>
    <row r="2468" spans="6:6">
      <c r="F2468" s="7"/>
    </row>
    <row r="2469" spans="6:6">
      <c r="F2469" s="7"/>
    </row>
    <row r="2470" spans="6:6">
      <c r="F2470" s="7"/>
    </row>
    <row r="2471" spans="6:6">
      <c r="F2471" s="7"/>
    </row>
    <row r="2472" spans="6:6">
      <c r="F2472" s="7"/>
    </row>
    <row r="2473" spans="6:6">
      <c r="F2473" s="7"/>
    </row>
    <row r="2474" spans="6:6">
      <c r="F2474" s="7"/>
    </row>
    <row r="2475" spans="6:6">
      <c r="F2475" s="7"/>
    </row>
    <row r="2476" spans="6:6">
      <c r="F2476" s="7"/>
    </row>
    <row r="2477" spans="6:6">
      <c r="F2477" s="7"/>
    </row>
    <row r="2478" spans="6:6">
      <c r="F2478" s="7"/>
    </row>
    <row r="2479" spans="6:6">
      <c r="F2479" s="7"/>
    </row>
    <row r="2480" spans="6:6">
      <c r="F2480" s="7"/>
    </row>
    <row r="2481" spans="6:6">
      <c r="F2481" s="7"/>
    </row>
    <row r="2482" spans="6:6">
      <c r="F2482" s="7"/>
    </row>
    <row r="2483" spans="6:6">
      <c r="F2483" s="7"/>
    </row>
    <row r="2484" spans="6:6">
      <c r="F2484" s="7"/>
    </row>
    <row r="2485" spans="6:6">
      <c r="F2485" s="7"/>
    </row>
    <row r="2486" spans="6:6">
      <c r="F2486" s="7"/>
    </row>
    <row r="2487" spans="6:6">
      <c r="F2487" s="7"/>
    </row>
    <row r="2488" spans="6:6">
      <c r="F2488" s="7"/>
    </row>
    <row r="2489" spans="6:6">
      <c r="F2489" s="7"/>
    </row>
    <row r="2490" spans="6:6">
      <c r="F2490" s="7"/>
    </row>
    <row r="2491" spans="6:6">
      <c r="F2491" s="7"/>
    </row>
    <row r="2492" spans="6:6">
      <c r="F2492" s="7"/>
    </row>
    <row r="2493" spans="6:6">
      <c r="F2493" s="7"/>
    </row>
    <row r="2494" spans="6:6">
      <c r="F2494" s="7"/>
    </row>
    <row r="2495" spans="6:6">
      <c r="F2495" s="7"/>
    </row>
    <row r="2496" spans="6:6">
      <c r="F2496" s="7"/>
    </row>
    <row r="2497" spans="6:6">
      <c r="F2497" s="7"/>
    </row>
    <row r="2498" spans="6:6">
      <c r="F2498" s="7"/>
    </row>
    <row r="2499" spans="6:6">
      <c r="F2499" s="7"/>
    </row>
    <row r="2500" spans="6:6">
      <c r="F2500" s="7"/>
    </row>
    <row r="2501" spans="6:6">
      <c r="F2501" s="7"/>
    </row>
    <row r="2502" spans="6:6">
      <c r="F2502" s="7"/>
    </row>
    <row r="2503" spans="6:6">
      <c r="F2503" s="7"/>
    </row>
    <row r="2504" spans="6:6">
      <c r="F2504" s="7"/>
    </row>
    <row r="2505" spans="6:6">
      <c r="F2505" s="7"/>
    </row>
    <row r="2506" spans="6:6">
      <c r="F2506" s="7"/>
    </row>
    <row r="2507" spans="6:6">
      <c r="F2507" s="7"/>
    </row>
    <row r="2508" spans="6:6">
      <c r="F2508" s="7"/>
    </row>
    <row r="2509" spans="6:6">
      <c r="F2509" s="7"/>
    </row>
    <row r="2510" spans="6:6">
      <c r="F2510" s="7"/>
    </row>
    <row r="2511" spans="6:6">
      <c r="F2511" s="7"/>
    </row>
    <row r="2512" spans="6:6">
      <c r="F2512" s="7"/>
    </row>
    <row r="2513" spans="6:6">
      <c r="F2513" s="7"/>
    </row>
    <row r="2514" spans="6:6">
      <c r="F2514" s="7"/>
    </row>
    <row r="2515" spans="6:6">
      <c r="F2515" s="7"/>
    </row>
    <row r="2516" spans="6:6">
      <c r="F2516" s="7"/>
    </row>
    <row r="2517" spans="6:6">
      <c r="F2517" s="7"/>
    </row>
    <row r="2518" spans="6:6">
      <c r="F2518" s="7"/>
    </row>
    <row r="2519" spans="6:6">
      <c r="F2519" s="7"/>
    </row>
    <row r="2520" spans="6:6">
      <c r="F2520" s="7"/>
    </row>
    <row r="2521" spans="6:6">
      <c r="F2521" s="7"/>
    </row>
    <row r="2522" spans="6:6">
      <c r="F2522" s="7"/>
    </row>
    <row r="2523" spans="6:6">
      <c r="F2523" s="7"/>
    </row>
    <row r="2524" spans="6:6">
      <c r="F2524" s="7"/>
    </row>
    <row r="2525" spans="6:6">
      <c r="F2525" s="7"/>
    </row>
    <row r="2526" spans="6:6">
      <c r="F2526" s="7"/>
    </row>
    <row r="2527" spans="6:6">
      <c r="F2527" s="7"/>
    </row>
    <row r="2528" spans="6:6">
      <c r="F2528" s="7"/>
    </row>
    <row r="2529" spans="6:6">
      <c r="F2529" s="7"/>
    </row>
    <row r="2530" spans="6:6">
      <c r="F2530" s="7"/>
    </row>
    <row r="2531" spans="6:6">
      <c r="F2531" s="7"/>
    </row>
    <row r="2532" spans="6:6">
      <c r="F2532" s="7"/>
    </row>
    <row r="2533" spans="6:6">
      <c r="F2533" s="7"/>
    </row>
    <row r="2534" spans="6:6">
      <c r="F2534" s="7"/>
    </row>
    <row r="2535" spans="6:6">
      <c r="F2535" s="7"/>
    </row>
    <row r="2536" spans="6:6">
      <c r="F2536" s="7"/>
    </row>
    <row r="2537" spans="6:6">
      <c r="F2537" s="7"/>
    </row>
    <row r="2538" spans="6:6">
      <c r="F2538" s="7"/>
    </row>
    <row r="2539" spans="6:6">
      <c r="F2539" s="7"/>
    </row>
    <row r="2540" spans="6:6">
      <c r="F2540" s="7"/>
    </row>
    <row r="2541" spans="6:6">
      <c r="F2541" s="7"/>
    </row>
    <row r="2542" spans="6:6">
      <c r="F2542" s="7"/>
    </row>
    <row r="2543" spans="6:6">
      <c r="F2543" s="7"/>
    </row>
    <row r="2544" spans="6:6">
      <c r="F2544" s="7"/>
    </row>
    <row r="2545" spans="6:6">
      <c r="F2545" s="7"/>
    </row>
    <row r="2546" spans="6:6">
      <c r="F2546" s="7"/>
    </row>
    <row r="2547" spans="6:6">
      <c r="F2547" s="7"/>
    </row>
    <row r="2548" spans="6:6">
      <c r="F2548" s="7"/>
    </row>
    <row r="2549" spans="6:6">
      <c r="F2549" s="7"/>
    </row>
    <row r="2550" spans="6:6">
      <c r="F2550" s="7"/>
    </row>
    <row r="2551" spans="6:6">
      <c r="F2551" s="7"/>
    </row>
    <row r="2552" spans="6:6">
      <c r="F2552" s="7"/>
    </row>
    <row r="2553" spans="6:6">
      <c r="F2553" s="7"/>
    </row>
    <row r="2554" spans="6:6">
      <c r="F2554" s="7"/>
    </row>
    <row r="2555" spans="6:6">
      <c r="F2555" s="7"/>
    </row>
    <row r="2556" spans="6:6">
      <c r="F2556" s="7"/>
    </row>
    <row r="2557" spans="6:6">
      <c r="F2557" s="7"/>
    </row>
    <row r="2558" spans="6:6">
      <c r="F2558" s="7"/>
    </row>
    <row r="2559" spans="6:6">
      <c r="F2559" s="7"/>
    </row>
    <row r="2560" spans="6:6">
      <c r="F2560" s="7"/>
    </row>
    <row r="2561" spans="6:6">
      <c r="F2561" s="7"/>
    </row>
    <row r="2562" spans="6:6">
      <c r="F2562" s="7"/>
    </row>
    <row r="2563" spans="6:6">
      <c r="F2563" s="7"/>
    </row>
    <row r="2564" spans="6:6">
      <c r="F2564" s="7"/>
    </row>
    <row r="2565" spans="6:6">
      <c r="F2565" s="7"/>
    </row>
    <row r="2566" spans="6:6">
      <c r="F2566" s="7"/>
    </row>
    <row r="2567" spans="6:6">
      <c r="F2567" s="7"/>
    </row>
    <row r="2568" spans="6:6">
      <c r="F2568" s="7"/>
    </row>
    <row r="2569" spans="6:6">
      <c r="F2569" s="7"/>
    </row>
    <row r="2570" spans="6:6">
      <c r="F2570" s="7"/>
    </row>
    <row r="2571" spans="6:6">
      <c r="F2571" s="7"/>
    </row>
    <row r="2572" spans="6:6">
      <c r="F2572" s="7"/>
    </row>
    <row r="2573" spans="6:6">
      <c r="F2573" s="7"/>
    </row>
    <row r="2574" spans="6:6">
      <c r="F2574" s="7"/>
    </row>
    <row r="2575" spans="6:6">
      <c r="F2575" s="7"/>
    </row>
    <row r="2576" spans="6:6">
      <c r="F2576" s="7"/>
    </row>
    <row r="2577" spans="6:6">
      <c r="F2577" s="7"/>
    </row>
    <row r="2578" spans="6:6">
      <c r="F2578" s="7"/>
    </row>
    <row r="2579" spans="6:6">
      <c r="F2579" s="7"/>
    </row>
    <row r="2580" spans="6:6">
      <c r="F2580" s="7"/>
    </row>
    <row r="2581" spans="6:6">
      <c r="F2581" s="7"/>
    </row>
    <row r="2582" spans="6:6">
      <c r="F2582" s="7"/>
    </row>
    <row r="2583" spans="6:6">
      <c r="F2583" s="7"/>
    </row>
    <row r="2584" spans="6:6">
      <c r="F2584" s="7"/>
    </row>
    <row r="2585" spans="6:6">
      <c r="F2585" s="7"/>
    </row>
    <row r="2586" spans="6:6">
      <c r="F2586" s="7"/>
    </row>
    <row r="2587" spans="6:6">
      <c r="F2587" s="7"/>
    </row>
    <row r="2588" spans="6:6">
      <c r="F2588" s="7"/>
    </row>
    <row r="2589" spans="6:6">
      <c r="F2589" s="7"/>
    </row>
    <row r="2590" spans="6:6">
      <c r="F2590" s="7"/>
    </row>
    <row r="2591" spans="6:6">
      <c r="F2591" s="7"/>
    </row>
    <row r="2592" spans="6:6">
      <c r="F2592" s="7"/>
    </row>
    <row r="2593" spans="6:6">
      <c r="F2593" s="7"/>
    </row>
    <row r="2594" spans="6:6">
      <c r="F2594" s="7"/>
    </row>
    <row r="2595" spans="6:6">
      <c r="F2595" s="7"/>
    </row>
    <row r="2596" spans="6:6">
      <c r="F2596" s="7"/>
    </row>
    <row r="2597" spans="6:6">
      <c r="F2597" s="7"/>
    </row>
    <row r="2598" spans="6:6">
      <c r="F2598" s="7"/>
    </row>
    <row r="2599" spans="6:6">
      <c r="F2599" s="7"/>
    </row>
    <row r="2600" spans="6:6">
      <c r="F2600" s="7"/>
    </row>
    <row r="2601" spans="6:6">
      <c r="F2601" s="7"/>
    </row>
    <row r="2602" spans="6:6">
      <c r="F2602" s="7"/>
    </row>
    <row r="2603" spans="6:6">
      <c r="F2603" s="7"/>
    </row>
    <row r="2604" spans="6:6">
      <c r="F2604" s="7"/>
    </row>
    <row r="2605" spans="6:6">
      <c r="F2605" s="7"/>
    </row>
    <row r="2606" spans="6:6">
      <c r="F2606" s="7"/>
    </row>
    <row r="2607" spans="6:6">
      <c r="F2607" s="7"/>
    </row>
    <row r="2608" spans="6:6">
      <c r="F2608" s="7"/>
    </row>
    <row r="2609" spans="6:6">
      <c r="F2609" s="7"/>
    </row>
    <row r="2610" spans="6:6">
      <c r="F2610" s="7"/>
    </row>
    <row r="2611" spans="6:6">
      <c r="F2611" s="7"/>
    </row>
    <row r="2612" spans="6:6">
      <c r="F2612" s="7"/>
    </row>
    <row r="2613" spans="6:6">
      <c r="F2613" s="7"/>
    </row>
    <row r="2614" spans="6:6">
      <c r="F2614" s="7"/>
    </row>
    <row r="2615" spans="6:6">
      <c r="F2615" s="7"/>
    </row>
    <row r="2616" spans="6:6">
      <c r="F2616" s="7"/>
    </row>
    <row r="2617" spans="6:6">
      <c r="F2617" s="7"/>
    </row>
    <row r="2618" spans="6:6">
      <c r="F2618" s="7"/>
    </row>
    <row r="2619" spans="6:6">
      <c r="F2619" s="7"/>
    </row>
    <row r="2620" spans="6:6">
      <c r="F2620" s="7"/>
    </row>
    <row r="2621" spans="6:6">
      <c r="F2621" s="7"/>
    </row>
    <row r="2622" spans="6:6">
      <c r="F2622" s="7"/>
    </row>
    <row r="2623" spans="6:6">
      <c r="F2623" s="7"/>
    </row>
    <row r="2624" spans="6:6">
      <c r="F2624" s="7"/>
    </row>
    <row r="2625" spans="6:6">
      <c r="F2625" s="7"/>
    </row>
    <row r="2626" spans="6:6">
      <c r="F2626" s="7"/>
    </row>
    <row r="2627" spans="6:6">
      <c r="F2627" s="7"/>
    </row>
    <row r="2628" spans="6:6">
      <c r="F2628" s="7"/>
    </row>
    <row r="2629" spans="6:6">
      <c r="F2629" s="7"/>
    </row>
    <row r="2630" spans="6:6">
      <c r="F2630" s="7"/>
    </row>
    <row r="2631" spans="6:6">
      <c r="F2631" s="7"/>
    </row>
    <row r="2632" spans="6:6">
      <c r="F2632" s="7"/>
    </row>
    <row r="2633" spans="6:6">
      <c r="F2633" s="7"/>
    </row>
    <row r="2634" spans="6:6">
      <c r="F2634" s="7"/>
    </row>
    <row r="2635" spans="6:6">
      <c r="F2635" s="7"/>
    </row>
    <row r="2636" spans="6:6">
      <c r="F2636" s="7"/>
    </row>
    <row r="2637" spans="6:6">
      <c r="F2637" s="7"/>
    </row>
    <row r="2638" spans="6:6">
      <c r="F2638" s="7"/>
    </row>
    <row r="2639" spans="6:6">
      <c r="F2639" s="7"/>
    </row>
    <row r="2640" spans="6:6">
      <c r="F2640" s="7"/>
    </row>
    <row r="2641" spans="6:6">
      <c r="F2641" s="7"/>
    </row>
    <row r="2642" spans="6:6">
      <c r="F2642" s="7"/>
    </row>
    <row r="2643" spans="6:6">
      <c r="F2643" s="7"/>
    </row>
    <row r="2644" spans="6:6">
      <c r="F2644" s="7"/>
    </row>
    <row r="2645" spans="6:6">
      <c r="F2645" s="7"/>
    </row>
    <row r="2646" spans="6:6">
      <c r="F2646" s="7"/>
    </row>
    <row r="2647" spans="6:6">
      <c r="F2647" s="7"/>
    </row>
    <row r="2648" spans="6:6">
      <c r="F2648" s="7"/>
    </row>
    <row r="2649" spans="6:6">
      <c r="F2649" s="7"/>
    </row>
    <row r="2650" spans="6:6">
      <c r="F2650" s="7"/>
    </row>
    <row r="2651" spans="6:6">
      <c r="F2651" s="7"/>
    </row>
    <row r="2652" spans="6:6">
      <c r="F2652" s="7"/>
    </row>
    <row r="2653" spans="6:6">
      <c r="F2653" s="7"/>
    </row>
    <row r="2654" spans="6:6">
      <c r="F2654" s="7"/>
    </row>
    <row r="2655" spans="6:6">
      <c r="F2655" s="7"/>
    </row>
    <row r="2656" spans="6:6">
      <c r="F2656" s="7"/>
    </row>
    <row r="2657" spans="6:6">
      <c r="F2657" s="7"/>
    </row>
    <row r="2658" spans="6:6">
      <c r="F2658" s="7"/>
    </row>
    <row r="2659" spans="6:6">
      <c r="F2659" s="7"/>
    </row>
    <row r="2660" spans="6:6">
      <c r="F2660" s="7"/>
    </row>
    <row r="2661" spans="6:6">
      <c r="F2661" s="7"/>
    </row>
    <row r="2662" spans="6:6">
      <c r="F2662" s="7"/>
    </row>
    <row r="2663" spans="6:6">
      <c r="F2663" s="7"/>
    </row>
    <row r="2664" spans="6:6">
      <c r="F2664" s="7"/>
    </row>
    <row r="2665" spans="6:6">
      <c r="F2665" s="7"/>
    </row>
    <row r="2666" spans="6:6">
      <c r="F2666" s="7"/>
    </row>
    <row r="2667" spans="6:6">
      <c r="F2667" s="7"/>
    </row>
    <row r="2668" spans="6:6">
      <c r="F2668" s="7"/>
    </row>
    <row r="2669" spans="6:6">
      <c r="F2669" s="7"/>
    </row>
    <row r="2670" spans="6:6">
      <c r="F2670" s="7"/>
    </row>
    <row r="2671" spans="6:6">
      <c r="F2671" s="7"/>
    </row>
    <row r="2672" spans="6:6">
      <c r="F2672" s="7"/>
    </row>
    <row r="2673" spans="6:6">
      <c r="F2673" s="7"/>
    </row>
    <row r="2674" spans="6:6">
      <c r="F2674" s="7"/>
    </row>
    <row r="2675" spans="6:6">
      <c r="F2675" s="7"/>
    </row>
    <row r="2676" spans="6:6">
      <c r="F2676" s="7"/>
    </row>
    <row r="2677" spans="6:6">
      <c r="F2677" s="7"/>
    </row>
    <row r="2678" spans="6:6">
      <c r="F2678" s="7"/>
    </row>
    <row r="2679" spans="6:6">
      <c r="F2679" s="7"/>
    </row>
    <row r="2680" spans="6:6">
      <c r="F2680" s="7"/>
    </row>
    <row r="2681" spans="6:6">
      <c r="F2681" s="7"/>
    </row>
    <row r="2682" spans="6:6">
      <c r="F2682" s="7"/>
    </row>
    <row r="2683" spans="6:6">
      <c r="F2683" s="7"/>
    </row>
    <row r="2684" spans="6:6">
      <c r="F2684" s="7"/>
    </row>
    <row r="2685" spans="6:6">
      <c r="F2685" s="7"/>
    </row>
    <row r="2686" spans="6:6">
      <c r="F2686" s="7"/>
    </row>
    <row r="2687" spans="6:6">
      <c r="F2687" s="7"/>
    </row>
    <row r="2688" spans="6:6">
      <c r="F2688" s="7"/>
    </row>
    <row r="2689" spans="6:6">
      <c r="F2689" s="7"/>
    </row>
    <row r="2690" spans="6:6">
      <c r="F2690" s="7"/>
    </row>
    <row r="2691" spans="6:6">
      <c r="F2691" s="7"/>
    </row>
    <row r="2692" spans="6:6">
      <c r="F2692" s="7"/>
    </row>
    <row r="2693" spans="6:6">
      <c r="F2693" s="7"/>
    </row>
    <row r="2694" spans="6:6">
      <c r="F2694" s="7"/>
    </row>
    <row r="2695" spans="6:6">
      <c r="F2695" s="7"/>
    </row>
    <row r="2696" spans="6:6">
      <c r="F2696" s="7"/>
    </row>
    <row r="2697" spans="6:6">
      <c r="F2697" s="7"/>
    </row>
    <row r="2698" spans="6:6">
      <c r="F2698" s="7"/>
    </row>
    <row r="2699" spans="6:6">
      <c r="F2699" s="7"/>
    </row>
    <row r="2700" spans="6:6">
      <c r="F2700" s="7"/>
    </row>
    <row r="2701" spans="6:6">
      <c r="F2701" s="7"/>
    </row>
    <row r="2702" spans="6:6">
      <c r="F2702" s="7"/>
    </row>
    <row r="2703" spans="6:6">
      <c r="F2703" s="7"/>
    </row>
    <row r="2704" spans="6:6">
      <c r="F2704" s="7"/>
    </row>
    <row r="2705" spans="6:6">
      <c r="F2705" s="7"/>
    </row>
    <row r="2706" spans="6:6">
      <c r="F2706" s="7"/>
    </row>
    <row r="2707" spans="6:6">
      <c r="F2707" s="7"/>
    </row>
    <row r="2708" spans="6:6">
      <c r="F2708" s="7"/>
    </row>
    <row r="2709" spans="6:6">
      <c r="F2709" s="7"/>
    </row>
    <row r="2710" spans="6:6">
      <c r="F2710" s="7"/>
    </row>
    <row r="2711" spans="6:6">
      <c r="F2711" s="7"/>
    </row>
    <row r="2712" spans="6:6">
      <c r="F2712" s="7"/>
    </row>
    <row r="2713" spans="6:6">
      <c r="F2713" s="7"/>
    </row>
    <row r="2714" spans="6:6">
      <c r="F2714" s="7"/>
    </row>
    <row r="2715" spans="6:6">
      <c r="F2715" s="7"/>
    </row>
    <row r="2716" spans="6:6">
      <c r="F2716" s="7"/>
    </row>
    <row r="2717" spans="6:6">
      <c r="F2717" s="7"/>
    </row>
    <row r="2718" spans="6:6">
      <c r="F2718" s="7"/>
    </row>
    <row r="2719" spans="6:6">
      <c r="F2719" s="7"/>
    </row>
    <row r="2720" spans="6:6">
      <c r="F2720" s="7"/>
    </row>
    <row r="2721" spans="6:6">
      <c r="F2721" s="7"/>
    </row>
    <row r="2722" spans="6:6">
      <c r="F2722" s="7"/>
    </row>
    <row r="2723" spans="6:6">
      <c r="F2723" s="7"/>
    </row>
    <row r="2724" spans="6:6">
      <c r="F2724" s="7"/>
    </row>
    <row r="2725" spans="6:6">
      <c r="F2725" s="7"/>
    </row>
    <row r="2726" spans="6:6">
      <c r="F2726" s="7"/>
    </row>
    <row r="2727" spans="6:6">
      <c r="F2727" s="7"/>
    </row>
    <row r="2728" spans="6:6">
      <c r="F2728" s="7"/>
    </row>
    <row r="2729" spans="6:6">
      <c r="F2729" s="7"/>
    </row>
    <row r="2730" spans="6:6">
      <c r="F2730" s="7"/>
    </row>
    <row r="2731" spans="6:6">
      <c r="F2731" s="7"/>
    </row>
    <row r="2732" spans="6:6">
      <c r="F2732" s="7"/>
    </row>
    <row r="2733" spans="6:6">
      <c r="F2733" s="7"/>
    </row>
    <row r="2734" spans="6:6">
      <c r="F2734" s="7"/>
    </row>
    <row r="2735" spans="6:6">
      <c r="F2735" s="7"/>
    </row>
    <row r="2736" spans="6:6">
      <c r="F2736" s="7"/>
    </row>
    <row r="2737" spans="6:6">
      <c r="F2737" s="7"/>
    </row>
    <row r="2738" spans="6:6">
      <c r="F2738" s="7"/>
    </row>
    <row r="2739" spans="6:6">
      <c r="F2739" s="7"/>
    </row>
    <row r="2740" spans="6:6">
      <c r="F2740" s="7"/>
    </row>
    <row r="2741" spans="6:6">
      <c r="F2741" s="7"/>
    </row>
    <row r="2742" spans="6:6">
      <c r="F2742" s="7"/>
    </row>
    <row r="2743" spans="6:6">
      <c r="F2743" s="7"/>
    </row>
    <row r="2744" spans="6:6">
      <c r="F2744" s="7"/>
    </row>
    <row r="2745" spans="6:6">
      <c r="F2745" s="7"/>
    </row>
    <row r="2746" spans="6:6">
      <c r="F2746" s="7"/>
    </row>
    <row r="2747" spans="6:6">
      <c r="F2747" s="7"/>
    </row>
    <row r="2748" spans="6:6">
      <c r="F2748" s="7"/>
    </row>
    <row r="2749" spans="6:6">
      <c r="F2749" s="7"/>
    </row>
    <row r="2750" spans="6:6">
      <c r="F2750" s="7"/>
    </row>
    <row r="2751" spans="6:6">
      <c r="F2751" s="7"/>
    </row>
    <row r="2752" spans="6:6">
      <c r="F2752" s="7"/>
    </row>
    <row r="2753" spans="6:6">
      <c r="F2753" s="7"/>
    </row>
    <row r="2754" spans="6:6">
      <c r="F2754" s="7"/>
    </row>
    <row r="2755" spans="6:6">
      <c r="F2755" s="7"/>
    </row>
    <row r="2756" spans="6:6">
      <c r="F2756" s="7"/>
    </row>
    <row r="2757" spans="6:6">
      <c r="F2757" s="7"/>
    </row>
    <row r="2758" spans="6:6">
      <c r="F2758" s="7"/>
    </row>
    <row r="2759" spans="6:6">
      <c r="F2759" s="7"/>
    </row>
    <row r="2760" spans="6:6">
      <c r="F2760" s="7"/>
    </row>
    <row r="2761" spans="6:6">
      <c r="F2761" s="7"/>
    </row>
    <row r="2762" spans="6:6">
      <c r="F2762" s="7"/>
    </row>
    <row r="2763" spans="6:6">
      <c r="F2763" s="7"/>
    </row>
    <row r="2764" spans="6:6">
      <c r="F2764" s="7"/>
    </row>
    <row r="2765" spans="6:6">
      <c r="F2765" s="7"/>
    </row>
    <row r="2766" spans="6:6">
      <c r="F2766" s="7"/>
    </row>
    <row r="2767" spans="6:6">
      <c r="F2767" s="7"/>
    </row>
    <row r="2768" spans="6:6">
      <c r="F2768" s="7"/>
    </row>
    <row r="2769" spans="6:6">
      <c r="F2769" s="7"/>
    </row>
    <row r="2770" spans="6:6">
      <c r="F2770" s="7"/>
    </row>
    <row r="2771" spans="6:6">
      <c r="F2771" s="7"/>
    </row>
    <row r="2772" spans="6:6">
      <c r="F2772" s="7"/>
    </row>
    <row r="2773" spans="6:6">
      <c r="F2773" s="7"/>
    </row>
    <row r="2774" spans="6:6">
      <c r="F2774" s="7"/>
    </row>
    <row r="2775" spans="6:6">
      <c r="F2775" s="7"/>
    </row>
  </sheetData>
  <autoFilter ref="A3:R2775" xr:uid="{00000000-0009-0000-0000-000002000000}"/>
  <phoneticPr fontId="17" type="noConversion"/>
  <hyperlinks>
    <hyperlink ref="L16" r:id="rId1" xr:uid="{605832A9-3CCC-48B7-83E2-724CFF3F5793}"/>
    <hyperlink ref="L78" r:id="rId2" xr:uid="{B62AE7CF-0BFC-4C05-949B-CEFBE1A91553}"/>
    <hyperlink ref="L25" r:id="rId3" display="https://www.who.int/publications/i/item/9789241565684" xr:uid="{F45C7192-5972-4008-B146-F1268558011E}"/>
    <hyperlink ref="L94" r:id="rId4" display="https://www.transmilenio.gov.co/publicaciones/146291/si-hay-empleo-para-ser-operadores-de-transmilenio/" xr:uid="{B208C9E0-F8BF-4332-932B-D4FE29DFA7F6}"/>
    <hyperlink ref="L95" r:id="rId5" display="https://www.transmilenio.gov.co/publicaciones/146291/si-hay-empleo-para-ser-operadores-de-transmilenio/" xr:uid="{B91A1ED3-F8B1-40E7-AE06-06BE3043CEEB}"/>
    <hyperlink ref="L93" r:id="rId6" xr:uid="{18B7BF9B-79C1-46BD-862C-292F0F923844}"/>
    <hyperlink ref="L97" r:id="rId7" display="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 xr:uid="{B6D0D9EA-0B4D-483E-BDCB-741CDC7FB0E2}"/>
    <hyperlink ref="L98" r:id="rId8" display="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 xr:uid="{035532D4-BE82-40FE-A4BF-7882A34E76BE}"/>
  </hyperlink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9"/>
  <sheetViews>
    <sheetView workbookViewId="0">
      <selection activeCell="A2" sqref="A2"/>
    </sheetView>
  </sheetViews>
  <sheetFormatPr baseColWidth="10" defaultColWidth="8.83203125" defaultRowHeight="15"/>
  <cols>
    <col min="1" max="1" width="29.5" style="1" bestFit="1" customWidth="1"/>
    <col min="3" max="3" width="19" bestFit="1" customWidth="1"/>
  </cols>
  <sheetData>
    <row r="1" spans="1:10">
      <c r="A1" s="1" t="s">
        <v>56</v>
      </c>
      <c r="B1" s="1" t="s">
        <v>57</v>
      </c>
      <c r="C1" s="1" t="s">
        <v>186</v>
      </c>
    </row>
    <row r="2" spans="1:10">
      <c r="A2" s="1" t="s">
        <v>578</v>
      </c>
      <c r="B2" t="s">
        <v>76</v>
      </c>
      <c r="C2">
        <v>5.8</v>
      </c>
    </row>
    <row r="3" spans="1:10">
      <c r="B3" t="s">
        <v>80</v>
      </c>
    </row>
    <row r="4" spans="1:10">
      <c r="B4" t="s">
        <v>81</v>
      </c>
    </row>
    <row r="5" spans="1:10">
      <c r="A5" s="1" t="s">
        <v>579</v>
      </c>
      <c r="B5" t="s">
        <v>76</v>
      </c>
      <c r="C5">
        <v>2.5</v>
      </c>
    </row>
    <row r="6" spans="1:10">
      <c r="B6" t="s">
        <v>80</v>
      </c>
      <c r="C6" s="45"/>
      <c r="J6" s="45"/>
    </row>
    <row r="7" spans="1:10">
      <c r="B7" t="s">
        <v>81</v>
      </c>
      <c r="C7" s="45"/>
      <c r="J7" s="45"/>
    </row>
    <row r="8" spans="1:10">
      <c r="A8" s="1" t="s">
        <v>580</v>
      </c>
      <c r="B8" t="s">
        <v>76</v>
      </c>
      <c r="C8" s="45">
        <v>0.3</v>
      </c>
      <c r="J8" s="45"/>
    </row>
    <row r="9" spans="1:10">
      <c r="B9" t="s">
        <v>80</v>
      </c>
      <c r="C9" s="45"/>
      <c r="J9" s="45"/>
    </row>
    <row r="10" spans="1:10">
      <c r="B10" t="s">
        <v>81</v>
      </c>
      <c r="C10" s="45"/>
      <c r="J10" s="45"/>
    </row>
    <row r="11" spans="1:10">
      <c r="A11" s="1" t="s">
        <v>581</v>
      </c>
      <c r="B11" t="s">
        <v>76</v>
      </c>
      <c r="C11" s="45">
        <v>1.5</v>
      </c>
      <c r="J11" s="45"/>
    </row>
    <row r="12" spans="1:10">
      <c r="B12" t="s">
        <v>80</v>
      </c>
      <c r="C12" s="45"/>
    </row>
    <row r="13" spans="1:10">
      <c r="B13" t="s">
        <v>81</v>
      </c>
      <c r="C13" s="45"/>
    </row>
    <row r="14" spans="1:10">
      <c r="A14" s="1" t="s">
        <v>582</v>
      </c>
      <c r="B14" t="s">
        <v>76</v>
      </c>
      <c r="C14" s="45">
        <v>1.8</v>
      </c>
    </row>
    <row r="15" spans="1:10">
      <c r="B15" t="s">
        <v>80</v>
      </c>
      <c r="C15" s="45"/>
    </row>
    <row r="16" spans="1:10">
      <c r="B16" t="s">
        <v>81</v>
      </c>
      <c r="C16" s="45"/>
    </row>
    <row r="17" spans="1:3">
      <c r="A17" s="1" t="s">
        <v>583</v>
      </c>
      <c r="B17" t="s">
        <v>76</v>
      </c>
      <c r="C17" s="45">
        <v>0.3</v>
      </c>
    </row>
    <row r="18" spans="1:3">
      <c r="B18" t="s">
        <v>80</v>
      </c>
      <c r="C18" s="45"/>
    </row>
    <row r="19" spans="1:3">
      <c r="B19" t="s">
        <v>81</v>
      </c>
      <c r="C19" s="45"/>
    </row>
    <row r="20" spans="1:3">
      <c r="A20" s="1" t="s">
        <v>584</v>
      </c>
      <c r="B20" t="s">
        <v>76</v>
      </c>
      <c r="C20" s="45">
        <v>1</v>
      </c>
    </row>
    <row r="21" spans="1:3">
      <c r="B21" t="s">
        <v>80</v>
      </c>
      <c r="C21" s="45"/>
    </row>
    <row r="22" spans="1:3">
      <c r="B22" t="s">
        <v>81</v>
      </c>
      <c r="C22" s="45"/>
    </row>
    <row r="23" spans="1:3">
      <c r="A23" s="1" t="s">
        <v>585</v>
      </c>
      <c r="B23" t="s">
        <v>76</v>
      </c>
      <c r="C23" s="45">
        <v>3</v>
      </c>
    </row>
    <row r="24" spans="1:3">
      <c r="B24" t="s">
        <v>80</v>
      </c>
      <c r="C24" s="45"/>
    </row>
    <row r="25" spans="1:3">
      <c r="B25" t="s">
        <v>81</v>
      </c>
      <c r="C25" s="45"/>
    </row>
    <row r="26" spans="1:3">
      <c r="A26" s="1" t="s">
        <v>586</v>
      </c>
      <c r="B26" t="s">
        <v>76</v>
      </c>
      <c r="C26" s="45">
        <v>7</v>
      </c>
    </row>
    <row r="27" spans="1:3">
      <c r="B27" t="s">
        <v>80</v>
      </c>
      <c r="C27" s="45"/>
    </row>
    <row r="28" spans="1:3">
      <c r="B28" t="s">
        <v>81</v>
      </c>
      <c r="C28" s="45"/>
    </row>
    <row r="29" spans="1:3">
      <c r="A29" s="1" t="s">
        <v>187</v>
      </c>
      <c r="B29" t="s">
        <v>76</v>
      </c>
      <c r="C29">
        <v>1.7</v>
      </c>
    </row>
    <row r="30" spans="1:3">
      <c r="B30" t="s">
        <v>80</v>
      </c>
    </row>
    <row r="31" spans="1:3">
      <c r="B31" t="s">
        <v>81</v>
      </c>
    </row>
    <row r="32" spans="1:3">
      <c r="A32" s="1" t="s">
        <v>188</v>
      </c>
      <c r="B32" t="s">
        <v>76</v>
      </c>
      <c r="C32">
        <v>0.5</v>
      </c>
    </row>
    <row r="33" spans="1:3">
      <c r="B33" t="s">
        <v>77</v>
      </c>
    </row>
    <row r="34" spans="1:3">
      <c r="B34" t="s">
        <v>78</v>
      </c>
    </row>
    <row r="35" spans="1:3">
      <c r="A35" s="1" t="s">
        <v>189</v>
      </c>
      <c r="B35" t="s">
        <v>76</v>
      </c>
      <c r="C35">
        <v>0.8</v>
      </c>
    </row>
    <row r="36" spans="1:3">
      <c r="B36" t="s">
        <v>80</v>
      </c>
    </row>
    <row r="37" spans="1:3">
      <c r="B37" t="s">
        <v>81</v>
      </c>
    </row>
    <row r="38" spans="1:3">
      <c r="A38" s="1" t="s">
        <v>190</v>
      </c>
      <c r="B38" t="s">
        <v>76</v>
      </c>
      <c r="C38">
        <v>0.8</v>
      </c>
    </row>
    <row r="39" spans="1:3">
      <c r="B39" t="s">
        <v>80</v>
      </c>
    </row>
    <row r="40" spans="1:3">
      <c r="B40" t="s">
        <v>81</v>
      </c>
    </row>
    <row r="41" spans="1:3">
      <c r="A41" s="1" t="s">
        <v>191</v>
      </c>
      <c r="B41" t="s">
        <v>76</v>
      </c>
      <c r="C41">
        <v>0.5</v>
      </c>
    </row>
    <row r="42" spans="1:3">
      <c r="B42" t="s">
        <v>77</v>
      </c>
    </row>
    <row r="43" spans="1:3">
      <c r="B43" t="s">
        <v>78</v>
      </c>
    </row>
    <row r="44" spans="1:3">
      <c r="A44" s="1" t="s">
        <v>192</v>
      </c>
      <c r="B44" t="s">
        <v>76</v>
      </c>
      <c r="C44">
        <v>0.85</v>
      </c>
    </row>
    <row r="45" spans="1:3">
      <c r="B45" t="s">
        <v>80</v>
      </c>
    </row>
    <row r="46" spans="1:3">
      <c r="B46" t="s">
        <v>81</v>
      </c>
    </row>
    <row r="47" spans="1:3">
      <c r="A47" s="1" t="s">
        <v>193</v>
      </c>
      <c r="B47" t="s">
        <v>76</v>
      </c>
      <c r="C47">
        <f>0.45/0.85</f>
        <v>0.52941176470588236</v>
      </c>
    </row>
    <row r="48" spans="1:3">
      <c r="B48" t="s">
        <v>77</v>
      </c>
    </row>
    <row r="49" spans="1:3">
      <c r="B49" t="s">
        <v>78</v>
      </c>
    </row>
    <row r="50" spans="1:3">
      <c r="A50" s="1" t="s">
        <v>194</v>
      </c>
      <c r="B50" t="s">
        <v>76</v>
      </c>
      <c r="C50">
        <v>1.05</v>
      </c>
    </row>
    <row r="51" spans="1:3">
      <c r="B51" t="s">
        <v>80</v>
      </c>
    </row>
    <row r="52" spans="1:3">
      <c r="B52" t="s">
        <v>81</v>
      </c>
    </row>
    <row r="53" spans="1:3">
      <c r="A53" s="1" t="s">
        <v>195</v>
      </c>
      <c r="B53" t="s">
        <v>76</v>
      </c>
      <c r="C53">
        <v>0.5</v>
      </c>
    </row>
    <row r="54" spans="1:3">
      <c r="B54" t="s">
        <v>77</v>
      </c>
    </row>
    <row r="55" spans="1:3">
      <c r="B55" t="s">
        <v>78</v>
      </c>
    </row>
    <row r="56" spans="1:3">
      <c r="A56" s="1" t="s">
        <v>196</v>
      </c>
      <c r="C56" t="s">
        <v>91</v>
      </c>
    </row>
    <row r="57" spans="1:3">
      <c r="A57" s="3" t="s">
        <v>197</v>
      </c>
      <c r="C57" t="s">
        <v>91</v>
      </c>
    </row>
    <row r="58" spans="1:3">
      <c r="A58" s="3" t="s">
        <v>198</v>
      </c>
      <c r="C58" t="s">
        <v>91</v>
      </c>
    </row>
    <row r="59" spans="1:3">
      <c r="A59" s="3" t="s">
        <v>199</v>
      </c>
      <c r="C59" t="s">
        <v>91</v>
      </c>
    </row>
    <row r="60" spans="1:3">
      <c r="A60" s="3" t="s">
        <v>200</v>
      </c>
      <c r="C60" t="s">
        <v>91</v>
      </c>
    </row>
    <row r="61" spans="1:3">
      <c r="A61" s="3" t="s">
        <v>201</v>
      </c>
      <c r="C61" t="s">
        <v>91</v>
      </c>
    </row>
    <row r="62" spans="1:3">
      <c r="A62" s="32" t="s">
        <v>202</v>
      </c>
      <c r="B62" s="26"/>
      <c r="C62" s="26">
        <v>15</v>
      </c>
    </row>
    <row r="63" spans="1:3">
      <c r="A63" s="32" t="s">
        <v>203</v>
      </c>
      <c r="B63" s="26"/>
      <c r="C63" s="26">
        <v>69</v>
      </c>
    </row>
    <row r="64" spans="1:3">
      <c r="A64" s="32" t="s">
        <v>204</v>
      </c>
      <c r="B64" s="26"/>
      <c r="C64" s="26" t="s">
        <v>205</v>
      </c>
    </row>
    <row r="65" spans="1:3">
      <c r="A65" s="3" t="s">
        <v>206</v>
      </c>
      <c r="C65" t="s">
        <v>207</v>
      </c>
    </row>
    <row r="66" spans="1:3">
      <c r="A66" s="3" t="s">
        <v>208</v>
      </c>
      <c r="C66" t="s">
        <v>209</v>
      </c>
    </row>
    <row r="67" spans="1:3">
      <c r="A67" s="3" t="s">
        <v>210</v>
      </c>
      <c r="C67" t="s">
        <v>211</v>
      </c>
    </row>
    <row r="68" spans="1:3">
      <c r="A68" s="1" t="s">
        <v>212</v>
      </c>
      <c r="C68">
        <v>5</v>
      </c>
    </row>
    <row r="69" spans="1:3">
      <c r="A69" s="1" t="s">
        <v>213</v>
      </c>
      <c r="C69">
        <v>0.5</v>
      </c>
    </row>
  </sheetData>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72"/>
  <sheetViews>
    <sheetView workbookViewId="0">
      <selection activeCell="C5" sqref="C5"/>
    </sheetView>
  </sheetViews>
  <sheetFormatPr baseColWidth="10" defaultColWidth="8.83203125" defaultRowHeight="15"/>
  <cols>
    <col min="1" max="1" width="3.83203125" customWidth="1"/>
    <col min="2" max="2" width="29.5" customWidth="1"/>
    <col min="3" max="3" width="35" style="10" customWidth="1"/>
    <col min="4" max="4" width="8.83203125" style="10"/>
    <col min="5" max="5" width="19" style="10" bestFit="1" customWidth="1"/>
    <col min="6" max="6" width="26.83203125" style="10" bestFit="1" customWidth="1"/>
    <col min="7" max="7" width="12.5" style="10" bestFit="1" customWidth="1"/>
    <col min="8" max="8" width="34.5" style="10" customWidth="1"/>
    <col min="9" max="9" width="36.5" bestFit="1" customWidth="1"/>
    <col min="10" max="10" width="13.5" bestFit="1" customWidth="1"/>
    <col min="11" max="11" width="10.1640625" bestFit="1" customWidth="1"/>
  </cols>
  <sheetData>
    <row r="4" spans="2:11">
      <c r="B4" s="17" t="s">
        <v>132</v>
      </c>
      <c r="C4" s="28" t="s">
        <v>135</v>
      </c>
      <c r="D4" s="28" t="s">
        <v>136</v>
      </c>
      <c r="E4" s="28" t="s">
        <v>137</v>
      </c>
      <c r="F4" s="28" t="s">
        <v>138</v>
      </c>
      <c r="G4" s="28" t="s">
        <v>139</v>
      </c>
      <c r="H4" s="28" t="s">
        <v>6</v>
      </c>
      <c r="I4" s="1" t="s">
        <v>140</v>
      </c>
      <c r="J4" s="1" t="s">
        <v>141</v>
      </c>
      <c r="K4" s="1" t="s">
        <v>142</v>
      </c>
    </row>
    <row r="5" spans="2:11">
      <c r="B5" s="15" t="s">
        <v>578</v>
      </c>
      <c r="C5" s="29" t="str">
        <f>IF(all_global_parameter_inputs!A2="",All_global_list!C4,all_global_parameter_inputs!A2)</f>
        <v>cycling_mmet</v>
      </c>
      <c r="D5" s="29" t="str">
        <f>IF(all_global_parameter_inputs!B2="","",all_global_parameter_inputs!B2)</f>
        <v>constant</v>
      </c>
      <c r="E5" s="29">
        <f>all_global_parameter_inputs!C2</f>
        <v>5.8</v>
      </c>
      <c r="F5" s="29">
        <f>IF(OR(D5="alpha",D5="beta",D5="sd",D5="mean"),"--",VLOOKUP(B5,Default!$B:$H,7,FALSE))</f>
        <v>5.8</v>
      </c>
      <c r="G5" s="29" t="str">
        <f>VLOOKUP(B5,Lookup!$C:$D,2, FALSE)</f>
        <v>PA values</v>
      </c>
      <c r="H5" s="29" t="str">
        <f>VLOOKUP(B5,Default!$B:$E,4, FALSE)</f>
        <v>marginal MET value associated with cycling</v>
      </c>
      <c r="I5" t="s">
        <v>214</v>
      </c>
    </row>
    <row r="6" spans="2:11">
      <c r="B6" s="15" t="s">
        <v>578</v>
      </c>
      <c r="C6" s="29" t="str">
        <f>IF(all_global_parameter_inputs!A3="",All_global_list!C5,all_global_parameter_inputs!A3)</f>
        <v>cycling_mmet</v>
      </c>
      <c r="D6" s="29" t="str">
        <f>IF(all_global_parameter_inputs!B3="","",all_global_parameter_inputs!B3)</f>
        <v>mean</v>
      </c>
      <c r="E6" s="29">
        <f>all_global_parameter_inputs!C3</f>
        <v>0</v>
      </c>
      <c r="F6" s="29" t="str">
        <f>IF(OR(D6="alpha",D6="beta",D6="sd",D6="mean"),"--",VLOOKUP(B6,Default!$B:$H,7,FALSE))</f>
        <v>--</v>
      </c>
      <c r="G6" s="29" t="str">
        <f>VLOOKUP(B6,Lookup!$C:$D,2, FALSE)</f>
        <v>PA values</v>
      </c>
      <c r="H6" s="29" t="str">
        <f>VLOOKUP(B6,Default!$B:$E,4, FALSE)</f>
        <v>marginal MET value associated with cycling</v>
      </c>
      <c r="I6" s="42"/>
    </row>
    <row r="7" spans="2:11">
      <c r="B7" s="15" t="s">
        <v>578</v>
      </c>
      <c r="C7" s="29" t="str">
        <f>IF(all_global_parameter_inputs!A4="",All_global_list!C6,all_global_parameter_inputs!A4)</f>
        <v>cycling_mmet</v>
      </c>
      <c r="D7" s="29" t="str">
        <f>IF(all_global_parameter_inputs!B4="","",all_global_parameter_inputs!B4)</f>
        <v>sd</v>
      </c>
      <c r="E7" s="29">
        <f>all_global_parameter_inputs!C4</f>
        <v>0</v>
      </c>
      <c r="F7" s="29" t="str">
        <f>IF(OR(D7="alpha",D7="beta",D7="sd",D7="mean"),"--",VLOOKUP(B7,Default!$B:$H,7,FALSE))</f>
        <v>--</v>
      </c>
      <c r="G7" s="29" t="str">
        <f>VLOOKUP(B7,Lookup!$C:$D,2, FALSE)</f>
        <v>PA values</v>
      </c>
      <c r="H7" s="29" t="str">
        <f>VLOOKUP(B7,Default!$B:$E,4, FALSE)</f>
        <v>marginal MET value associated with cycling</v>
      </c>
      <c r="I7" s="42"/>
    </row>
    <row r="8" spans="2:11">
      <c r="B8" s="15" t="s">
        <v>579</v>
      </c>
      <c r="C8" s="29" t="str">
        <f>IF(all_global_parameter_inputs!A5="",All_global_list!C7,all_global_parameter_inputs!A5)</f>
        <v>walking_mmet</v>
      </c>
      <c r="D8" s="29" t="str">
        <f>IF(all_global_parameter_inputs!B5="","",all_global_parameter_inputs!B5)</f>
        <v>constant</v>
      </c>
      <c r="E8" s="29">
        <f>all_global_parameter_inputs!C5</f>
        <v>2.5</v>
      </c>
      <c r="F8" s="29">
        <f>IF(OR(D8="alpha",D8="beta",D8="sd",D8="mean"),"--",VLOOKUP(B8,Default!$B:$H,7,FALSE))</f>
        <v>2.5</v>
      </c>
      <c r="G8" s="29" t="str">
        <f>VLOOKUP(B8,Lookup!$C:$D,2, FALSE)</f>
        <v>PA values</v>
      </c>
      <c r="H8" s="29" t="str">
        <f>VLOOKUP(B8,Default!$B:$E,4, FALSE)</f>
        <v>marginal MET value associated with walking</v>
      </c>
      <c r="I8" t="s">
        <v>215</v>
      </c>
    </row>
    <row r="9" spans="2:11">
      <c r="B9" s="15" t="s">
        <v>579</v>
      </c>
      <c r="C9" s="29" t="str">
        <f>IF(all_global_parameter_inputs!A6="",All_global_list!C8,all_global_parameter_inputs!A6)</f>
        <v>walking_mmet</v>
      </c>
      <c r="D9" s="29" t="str">
        <f>IF(all_global_parameter_inputs!B6="","",all_global_parameter_inputs!B6)</f>
        <v>mean</v>
      </c>
      <c r="E9" s="29">
        <f>all_global_parameter_inputs!C6</f>
        <v>0</v>
      </c>
      <c r="F9" s="29" t="str">
        <f>IF(OR(D9="alpha",D9="beta",D9="sd",D9="mean"),"--",VLOOKUP(B9,Default!$B:$H,7,FALSE))</f>
        <v>--</v>
      </c>
      <c r="G9" s="29" t="str">
        <f>VLOOKUP(B9,Lookup!$C:$D,2, FALSE)</f>
        <v>PA values</v>
      </c>
      <c r="H9" s="29" t="str">
        <f>VLOOKUP(B9,Default!$B:$E,4, FALSE)</f>
        <v>marginal MET value associated with walking</v>
      </c>
      <c r="I9" s="42"/>
    </row>
    <row r="10" spans="2:11">
      <c r="B10" s="15" t="s">
        <v>579</v>
      </c>
      <c r="C10" s="29" t="str">
        <f>IF(all_global_parameter_inputs!A7="",All_global_list!C9,all_global_parameter_inputs!A7)</f>
        <v>walking_mmet</v>
      </c>
      <c r="D10" s="29" t="str">
        <f>IF(all_global_parameter_inputs!B7="","",all_global_parameter_inputs!B7)</f>
        <v>sd</v>
      </c>
      <c r="E10" s="29">
        <f>all_global_parameter_inputs!C7</f>
        <v>0</v>
      </c>
      <c r="F10" s="29" t="str">
        <f>IF(OR(D10="alpha",D10="beta",D10="sd",D10="mean"),"--",VLOOKUP(B10,Default!$B:$H,7,FALSE))</f>
        <v>--</v>
      </c>
      <c r="G10" s="29" t="str">
        <f>VLOOKUP(B10,Lookup!$C:$D,2, FALSE)</f>
        <v>PA values</v>
      </c>
      <c r="H10" s="29" t="str">
        <f>VLOOKUP(B10,Default!$B:$E,4, FALSE)</f>
        <v>marginal MET value associated with walking</v>
      </c>
      <c r="I10" s="42"/>
    </row>
    <row r="11" spans="2:11">
      <c r="B11" s="15" t="s">
        <v>580</v>
      </c>
      <c r="C11" s="29" t="str">
        <f>IF(all_global_parameter_inputs!A8="",All_global_list!C10,all_global_parameter_inputs!A8)</f>
        <v>passenger_mmet</v>
      </c>
      <c r="D11" s="29" t="str">
        <f>IF(all_global_parameter_inputs!B8="","",all_global_parameter_inputs!B8)</f>
        <v>constant</v>
      </c>
      <c r="E11" s="29">
        <f>all_global_parameter_inputs!C8</f>
        <v>0.3</v>
      </c>
      <c r="F11" s="29">
        <f>IF(OR(D11="alpha",D11="beta",D11="sd",D11="mean"),"--",VLOOKUP(B11,Default!$B:$H,7,FALSE))</f>
        <v>0.3</v>
      </c>
      <c r="G11" s="29" t="str">
        <f>VLOOKUP(B11,Lookup!$C:$D,2, FALSE)</f>
        <v>PA values</v>
      </c>
      <c r="H11" s="29" t="str">
        <f>VLOOKUP(B11,Default!$B:$E,4, FALSE)</f>
        <v>marginal MET value associated with being a passenger on public transport</v>
      </c>
      <c r="I11" t="s">
        <v>216</v>
      </c>
    </row>
    <row r="12" spans="2:11">
      <c r="B12" s="15" t="s">
        <v>580</v>
      </c>
      <c r="C12" s="29" t="str">
        <f>IF(all_global_parameter_inputs!A9="",All_global_list!C11,all_global_parameter_inputs!A9)</f>
        <v>passenger_mmet</v>
      </c>
      <c r="D12" s="29" t="str">
        <f>IF(all_global_parameter_inputs!B9="","",all_global_parameter_inputs!B9)</f>
        <v>mean</v>
      </c>
      <c r="E12" s="29">
        <f>all_global_parameter_inputs!C9</f>
        <v>0</v>
      </c>
      <c r="F12" s="29" t="str">
        <f>IF(OR(D12="alpha",D12="beta",D12="sd",D12="mean"),"--",VLOOKUP(B12,Default!$B:$H,7,FALSE))</f>
        <v>--</v>
      </c>
      <c r="G12" s="29" t="str">
        <f>VLOOKUP(B12,Lookup!$C:$D,2, FALSE)</f>
        <v>PA values</v>
      </c>
      <c r="H12" s="29" t="str">
        <f>VLOOKUP(B12,Default!$B:$E,4, FALSE)</f>
        <v>marginal MET value associated with being a passenger on public transport</v>
      </c>
    </row>
    <row r="13" spans="2:11">
      <c r="B13" s="15" t="s">
        <v>580</v>
      </c>
      <c r="C13" s="29" t="str">
        <f>IF(all_global_parameter_inputs!A10="",All_global_list!C12,all_global_parameter_inputs!A10)</f>
        <v>passenger_mmet</v>
      </c>
      <c r="D13" s="29" t="str">
        <f>IF(all_global_parameter_inputs!B10="","",all_global_parameter_inputs!B10)</f>
        <v>sd</v>
      </c>
      <c r="E13" s="29">
        <f>all_global_parameter_inputs!C10</f>
        <v>0</v>
      </c>
      <c r="F13" s="29" t="str">
        <f>IF(OR(D13="alpha",D13="beta",D13="sd",D13="mean"),"--",VLOOKUP(B13,Default!$B:$H,7,FALSE))</f>
        <v>--</v>
      </c>
      <c r="G13" s="29" t="str">
        <f>VLOOKUP(B13,Lookup!$C:$D,2, FALSE)</f>
        <v>PA values</v>
      </c>
      <c r="H13" s="29" t="str">
        <f>VLOOKUP(B13,Default!$B:$E,4, FALSE)</f>
        <v>marginal MET value associated with being a passenger on public transport</v>
      </c>
    </row>
    <row r="14" spans="2:11">
      <c r="B14" s="15" t="s">
        <v>581</v>
      </c>
      <c r="C14" s="29" t="str">
        <f>IF(all_global_parameter_inputs!A11="",All_global_list!C13,all_global_parameter_inputs!A11)</f>
        <v>car_driver_mmet</v>
      </c>
      <c r="D14" s="29" t="str">
        <f>IF(all_global_parameter_inputs!B11="","",all_global_parameter_inputs!B11)</f>
        <v>constant</v>
      </c>
      <c r="E14" s="29">
        <f>all_global_parameter_inputs!C11</f>
        <v>1.5</v>
      </c>
      <c r="F14" s="29">
        <f>IF(OR(D14="alpha",D14="beta",D14="sd",D14="mean"),"--",VLOOKUP(B14,Default!$B:$H,7,FALSE))</f>
        <v>1.5</v>
      </c>
      <c r="G14" s="29" t="str">
        <f>VLOOKUP(B14,Lookup!$C:$D,2, FALSE)</f>
        <v>PA values</v>
      </c>
      <c r="H14" s="29" t="str">
        <f>VLOOKUP(B14,Default!$B:$E,4, FALSE)</f>
        <v>marginal MET value associated with being a car driver or passenger</v>
      </c>
      <c r="I14" t="s">
        <v>217</v>
      </c>
    </row>
    <row r="15" spans="2:11">
      <c r="B15" s="15" t="s">
        <v>581</v>
      </c>
      <c r="C15" s="29" t="str">
        <f>IF(all_global_parameter_inputs!A12="",All_global_list!C14,all_global_parameter_inputs!A12)</f>
        <v>car_driver_mmet</v>
      </c>
      <c r="D15" s="29" t="str">
        <f>IF(all_global_parameter_inputs!B12="","",all_global_parameter_inputs!B12)</f>
        <v>mean</v>
      </c>
      <c r="E15" s="29">
        <f>all_global_parameter_inputs!C12</f>
        <v>0</v>
      </c>
      <c r="F15" s="29" t="str">
        <f>IF(OR(D15="alpha",D15="beta",D15="sd",D15="mean"),"--",VLOOKUP(B15,Default!$B:$H,7,FALSE))</f>
        <v>--</v>
      </c>
      <c r="G15" s="29" t="str">
        <f>VLOOKUP(B15,Lookup!$C:$D,2, FALSE)</f>
        <v>PA values</v>
      </c>
      <c r="H15" s="29" t="str">
        <f>VLOOKUP(B15,Default!$B:$E,4, FALSE)</f>
        <v>marginal MET value associated with being a car driver or passenger</v>
      </c>
    </row>
    <row r="16" spans="2:11">
      <c r="B16" s="15" t="s">
        <v>581</v>
      </c>
      <c r="C16" s="29" t="str">
        <f>IF(all_global_parameter_inputs!A13="",All_global_list!C15,all_global_parameter_inputs!A13)</f>
        <v>car_driver_mmet</v>
      </c>
      <c r="D16" s="29" t="str">
        <f>IF(all_global_parameter_inputs!B13="","",all_global_parameter_inputs!B13)</f>
        <v>sd</v>
      </c>
      <c r="E16" s="29">
        <f>all_global_parameter_inputs!C13</f>
        <v>0</v>
      </c>
      <c r="F16" s="29" t="str">
        <f>IF(OR(D16="alpha",D16="beta",D16="sd",D16="mean"),"--",VLOOKUP(B16,Default!$B:$H,7,FALSE))</f>
        <v>--</v>
      </c>
      <c r="G16" s="29" t="str">
        <f>VLOOKUP(B16,Lookup!$C:$D,2, FALSE)</f>
        <v>PA values</v>
      </c>
      <c r="H16" s="29" t="str">
        <f>VLOOKUP(B16,Default!$B:$E,4, FALSE)</f>
        <v>marginal MET value associated with being a car driver or passenger</v>
      </c>
    </row>
    <row r="17" spans="2:9">
      <c r="B17" s="15" t="s">
        <v>582</v>
      </c>
      <c r="C17" s="29" t="str">
        <f>IF(all_global_parameter_inputs!A14="",All_global_list!C16,all_global_parameter_inputs!A14)</f>
        <v>motorcyclist_mmet</v>
      </c>
      <c r="D17" s="29" t="str">
        <f>IF(all_global_parameter_inputs!B14="","",all_global_parameter_inputs!B14)</f>
        <v>constant</v>
      </c>
      <c r="E17" s="29">
        <f>all_global_parameter_inputs!C14</f>
        <v>1.8</v>
      </c>
      <c r="F17" s="29">
        <f>IF(OR(D17="alpha",D17="beta",D17="sd",D17="mean"),"--",VLOOKUP(B17,Default!$B:$H,7,FALSE))</f>
        <v>1.8</v>
      </c>
      <c r="G17" s="29" t="str">
        <f>VLOOKUP(B17,Lookup!$C:$D,2, FALSE)</f>
        <v>PA values</v>
      </c>
      <c r="H17" s="29" t="str">
        <f>VLOOKUP(B17,Default!$B:$E,4, FALSE)</f>
        <v>marginal MET value associated with being a motorcyclist</v>
      </c>
      <c r="I17" t="s">
        <v>218</v>
      </c>
    </row>
    <row r="18" spans="2:9">
      <c r="B18" s="15" t="s">
        <v>582</v>
      </c>
      <c r="C18" s="29" t="str">
        <f>IF(all_global_parameter_inputs!A15="",All_global_list!C17,all_global_parameter_inputs!A15)</f>
        <v>motorcyclist_mmet</v>
      </c>
      <c r="D18" s="29" t="str">
        <f>IF(all_global_parameter_inputs!B15="","",all_global_parameter_inputs!B15)</f>
        <v>mean</v>
      </c>
      <c r="E18" s="29">
        <f>all_global_parameter_inputs!C15</f>
        <v>0</v>
      </c>
      <c r="F18" s="29" t="str">
        <f>IF(OR(D18="alpha",D18="beta",D18="sd",D18="mean"),"--",VLOOKUP(B18,Default!$B:$H,7,FALSE))</f>
        <v>--</v>
      </c>
      <c r="G18" s="29" t="str">
        <f>VLOOKUP(B18,Lookup!$C:$D,2, FALSE)</f>
        <v>PA values</v>
      </c>
      <c r="H18" s="29" t="str">
        <f>VLOOKUP(B18,Default!$B:$E,4, FALSE)</f>
        <v>marginal MET value associated with being a motorcyclist</v>
      </c>
    </row>
    <row r="19" spans="2:9">
      <c r="B19" s="15" t="s">
        <v>582</v>
      </c>
      <c r="C19" s="29" t="str">
        <f>IF(all_global_parameter_inputs!A16="",All_global_list!C18,all_global_parameter_inputs!A16)</f>
        <v>motorcyclist_mmet</v>
      </c>
      <c r="D19" s="29" t="str">
        <f>IF(all_global_parameter_inputs!B16="","",all_global_parameter_inputs!B16)</f>
        <v>sd</v>
      </c>
      <c r="E19" s="29">
        <f>all_global_parameter_inputs!C16</f>
        <v>0</v>
      </c>
      <c r="F19" s="29" t="str">
        <f>IF(OR(D19="alpha",D19="beta",D19="sd",D19="mean"),"--",VLOOKUP(B19,Default!$B:$H,7,FALSE))</f>
        <v>--</v>
      </c>
      <c r="G19" s="29" t="str">
        <f>VLOOKUP(B19,Lookup!$C:$D,2, FALSE)</f>
        <v>PA values</v>
      </c>
      <c r="H19" s="29" t="str">
        <f>VLOOKUP(B19,Default!$B:$E,4, FALSE)</f>
        <v>marginal MET value associated with being a motorcyclist</v>
      </c>
    </row>
    <row r="20" spans="2:9">
      <c r="B20" s="15" t="s">
        <v>583</v>
      </c>
      <c r="C20" s="29" t="str">
        <f>IF(all_global_parameter_inputs!A17="",All_global_list!C19,all_global_parameter_inputs!A17)</f>
        <v>sedentary_activity_mmet</v>
      </c>
      <c r="D20" s="29" t="str">
        <f>IF(all_global_parameter_inputs!B17="","",all_global_parameter_inputs!B17)</f>
        <v>constant</v>
      </c>
      <c r="E20" s="29">
        <f>all_global_parameter_inputs!C17</f>
        <v>0.3</v>
      </c>
      <c r="F20" s="29">
        <f>IF(OR(D20="alpha",D20="beta",D20="sd",D20="mean"),"--",VLOOKUP(B20,Default!$B:$H,7,FALSE))</f>
        <v>0.3</v>
      </c>
      <c r="G20" s="29" t="str">
        <f>VLOOKUP(B20,Lookup!$C:$D,2, FALSE)</f>
        <v>PA values</v>
      </c>
      <c r="H20" s="29" t="str">
        <f>VLOOKUP(B20,Default!$B:$E,4, FALSE)</f>
        <v>marginal MET value associated with sedentary activity</v>
      </c>
      <c r="I20" t="s">
        <v>219</v>
      </c>
    </row>
    <row r="21" spans="2:9">
      <c r="B21" s="15" t="s">
        <v>583</v>
      </c>
      <c r="C21" s="29" t="str">
        <f>IF(all_global_parameter_inputs!A18="",All_global_list!C20,all_global_parameter_inputs!A18)</f>
        <v>sedentary_activity_mmet</v>
      </c>
      <c r="D21" s="29" t="str">
        <f>IF(all_global_parameter_inputs!B18="","",all_global_parameter_inputs!B18)</f>
        <v>mean</v>
      </c>
      <c r="E21" s="29">
        <f>all_global_parameter_inputs!C18</f>
        <v>0</v>
      </c>
      <c r="F21" s="29" t="str">
        <f>IF(OR(D21="alpha",D21="beta",D21="sd",D21="mean"),"--",VLOOKUP(B21,Default!$B:$H,7,FALSE))</f>
        <v>--</v>
      </c>
      <c r="G21" s="29" t="str">
        <f>VLOOKUP(B21,Lookup!$C:$D,2, FALSE)</f>
        <v>PA values</v>
      </c>
      <c r="H21" s="29" t="str">
        <f>VLOOKUP(B21,Default!$B:$E,4, FALSE)</f>
        <v>marginal MET value associated with sedentary activity</v>
      </c>
      <c r="I21" s="42"/>
    </row>
    <row r="22" spans="2:9">
      <c r="B22" s="15" t="s">
        <v>583</v>
      </c>
      <c r="C22" s="29" t="str">
        <f>IF(all_global_parameter_inputs!A19="",All_global_list!C21,all_global_parameter_inputs!A19)</f>
        <v>sedentary_activity_mmet</v>
      </c>
      <c r="D22" s="29" t="str">
        <f>IF(all_global_parameter_inputs!B19="","",all_global_parameter_inputs!B19)</f>
        <v>sd</v>
      </c>
      <c r="E22" s="29">
        <f>all_global_parameter_inputs!C19</f>
        <v>0</v>
      </c>
      <c r="F22" s="29" t="str">
        <f>IF(OR(D22="alpha",D22="beta",D22="sd",D22="mean"),"--",VLOOKUP(B22,Default!$B:$H,7,FALSE))</f>
        <v>--</v>
      </c>
      <c r="G22" s="29" t="str">
        <f>VLOOKUP(B22,Lookup!$C:$D,2, FALSE)</f>
        <v>PA values</v>
      </c>
      <c r="H22" s="29" t="str">
        <f>VLOOKUP(B22,Default!$B:$E,4, FALSE)</f>
        <v>marginal MET value associated with sedentary activity</v>
      </c>
      <c r="I22" s="42"/>
    </row>
    <row r="23" spans="2:9">
      <c r="B23" s="15" t="s">
        <v>584</v>
      </c>
      <c r="C23" s="29" t="str">
        <f>IF(all_global_parameter_inputs!A20="",All_global_list!C22,all_global_parameter_inputs!A20)</f>
        <v>light_activity_mmet</v>
      </c>
      <c r="D23" s="29" t="str">
        <f>IF(all_global_parameter_inputs!B20="","",all_global_parameter_inputs!B20)</f>
        <v>constant</v>
      </c>
      <c r="E23" s="29">
        <f>all_global_parameter_inputs!C20</f>
        <v>1</v>
      </c>
      <c r="F23" s="29">
        <f>IF(OR(D23="alpha",D23="beta",D23="sd",D23="mean"),"--",VLOOKUP(B23,Default!$B:$H,7,FALSE))</f>
        <v>1</v>
      </c>
      <c r="G23" s="29" t="str">
        <f>VLOOKUP(B23,Lookup!$C:$D,2, FALSE)</f>
        <v>PA values</v>
      </c>
      <c r="H23" s="29" t="str">
        <f>VLOOKUP(B23,Default!$B:$E,4, FALSE)</f>
        <v>marginal MET value associated with light activity</v>
      </c>
      <c r="I23" t="s">
        <v>220</v>
      </c>
    </row>
    <row r="24" spans="2:9">
      <c r="B24" s="15" t="s">
        <v>584</v>
      </c>
      <c r="C24" s="29" t="str">
        <f>IF(all_global_parameter_inputs!A21="",All_global_list!C23,all_global_parameter_inputs!A21)</f>
        <v>light_activity_mmet</v>
      </c>
      <c r="D24" s="29" t="str">
        <f>IF(all_global_parameter_inputs!B21="","",all_global_parameter_inputs!B21)</f>
        <v>mean</v>
      </c>
      <c r="E24" s="29">
        <f>all_global_parameter_inputs!C21</f>
        <v>0</v>
      </c>
      <c r="F24" s="29" t="str">
        <f>IF(OR(D24="alpha",D24="beta",D24="sd",D24="mean"),"--",VLOOKUP(B24,Default!$B:$H,7,FALSE))</f>
        <v>--</v>
      </c>
      <c r="G24" s="29" t="str">
        <f>VLOOKUP(B24,Lookup!$C:$D,2, FALSE)</f>
        <v>PA values</v>
      </c>
      <c r="H24" s="29" t="str">
        <f>VLOOKUP(B24,Default!$B:$E,4, FALSE)</f>
        <v>marginal MET value associated with light activity</v>
      </c>
      <c r="I24" s="42"/>
    </row>
    <row r="25" spans="2:9">
      <c r="B25" s="15" t="s">
        <v>584</v>
      </c>
      <c r="C25" s="29" t="str">
        <f>IF(all_global_parameter_inputs!A22="",All_global_list!C24,all_global_parameter_inputs!A22)</f>
        <v>light_activity_mmet</v>
      </c>
      <c r="D25" s="29" t="str">
        <f>IF(all_global_parameter_inputs!B22="","",all_global_parameter_inputs!B22)</f>
        <v>sd</v>
      </c>
      <c r="E25" s="29">
        <f>all_global_parameter_inputs!C22</f>
        <v>0</v>
      </c>
      <c r="F25" s="68" t="s">
        <v>221</v>
      </c>
      <c r="G25" s="29" t="str">
        <f>VLOOKUP(B25,Lookup!$C:$D,2, FALSE)</f>
        <v>PA values</v>
      </c>
      <c r="H25" s="29" t="str">
        <f>VLOOKUP(B25,Default!$B:$E,4, FALSE)</f>
        <v>marginal MET value associated with light activity</v>
      </c>
      <c r="I25" s="42"/>
    </row>
    <row r="26" spans="2:9">
      <c r="B26" s="15" t="s">
        <v>585</v>
      </c>
      <c r="C26" s="29" t="str">
        <f>IF(all_global_parameter_inputs!A23="",All_global_list!C25,all_global_parameter_inputs!A23)</f>
        <v>moderate_pa_mmet</v>
      </c>
      <c r="D26" s="29" t="str">
        <f>IF(all_global_parameter_inputs!B23="","",all_global_parameter_inputs!B23)</f>
        <v>constant</v>
      </c>
      <c r="E26" s="29">
        <f>all_global_parameter_inputs!C23</f>
        <v>3</v>
      </c>
      <c r="F26" s="29">
        <f>IF(OR(D26="alpha",D26="beta",D26="sd",D26="mean"),"--",VLOOKUP(B26,Default!$B:$H,7,FALSE))</f>
        <v>3</v>
      </c>
      <c r="G26" s="29" t="str">
        <f>VLOOKUP(B26,Lookup!$C:$D,2, FALSE)</f>
        <v>PA values</v>
      </c>
      <c r="H26" s="29" t="str">
        <f>VLOOKUP(B26,Default!$B:$E,4, FALSE)</f>
        <v>marginal MET value associated with moderate activity</v>
      </c>
      <c r="I26" t="s">
        <v>222</v>
      </c>
    </row>
    <row r="27" spans="2:9">
      <c r="B27" s="15" t="s">
        <v>585</v>
      </c>
      <c r="C27" s="29" t="str">
        <f>IF(all_global_parameter_inputs!A24="",All_global_list!C26,all_global_parameter_inputs!A24)</f>
        <v>moderate_pa_mmet</v>
      </c>
      <c r="D27" s="29" t="str">
        <f>IF(all_global_parameter_inputs!B24="","",all_global_parameter_inputs!B24)</f>
        <v>mean</v>
      </c>
      <c r="E27" s="29">
        <f>all_global_parameter_inputs!C24</f>
        <v>0</v>
      </c>
      <c r="F27" s="29" t="str">
        <f>IF(OR(D27="alpha",D27="beta",D27="sd",D27="mean"),"--",VLOOKUP(B27,Default!$B:$H,7,FALSE))</f>
        <v>--</v>
      </c>
      <c r="G27" s="29" t="str">
        <f>VLOOKUP(B27,Lookup!$C:$D,2, FALSE)</f>
        <v>PA values</v>
      </c>
      <c r="H27" s="29" t="str">
        <f>VLOOKUP(B27,Default!$B:$E,4, FALSE)</f>
        <v>marginal MET value associated with moderate activity</v>
      </c>
      <c r="I27" s="42"/>
    </row>
    <row r="28" spans="2:9">
      <c r="B28" s="15" t="s">
        <v>585</v>
      </c>
      <c r="C28" s="29" t="str">
        <f>IF(all_global_parameter_inputs!A25="",All_global_list!C27,all_global_parameter_inputs!A25)</f>
        <v>moderate_pa_mmet</v>
      </c>
      <c r="D28" s="29" t="str">
        <f>IF(all_global_parameter_inputs!B25="","",all_global_parameter_inputs!B25)</f>
        <v>sd</v>
      </c>
      <c r="E28" s="29">
        <f>all_global_parameter_inputs!C25</f>
        <v>0</v>
      </c>
      <c r="F28" s="29" t="str">
        <f>IF(OR(D28="alpha",D28="beta",D28="sd",D28="mean"),"--",VLOOKUP(B28,Default!$B:$H,7,FALSE))</f>
        <v>--</v>
      </c>
      <c r="G28" s="29" t="str">
        <f>VLOOKUP(B28,Lookup!$C:$D,2, FALSE)</f>
        <v>PA values</v>
      </c>
      <c r="H28" s="29" t="str">
        <f>VLOOKUP(B28,Default!$B:$E,4, FALSE)</f>
        <v>marginal MET value associated with moderate activity</v>
      </c>
      <c r="I28" s="42"/>
    </row>
    <row r="29" spans="2:9">
      <c r="B29" s="15" t="s">
        <v>586</v>
      </c>
      <c r="C29" s="29" t="str">
        <f>IF(all_global_parameter_inputs!A26="",All_global_list!C28,all_global_parameter_inputs!A26)</f>
        <v>vigorous_pa_mmet</v>
      </c>
      <c r="D29" s="29" t="str">
        <f>IF(all_global_parameter_inputs!B26="","",all_global_parameter_inputs!B26)</f>
        <v>constant</v>
      </c>
      <c r="E29" s="29">
        <f>all_global_parameter_inputs!C26</f>
        <v>7</v>
      </c>
      <c r="F29" s="29">
        <f>IF(OR(D29="alpha",D29="beta",D29="sd",D29="mean"),"--",VLOOKUP(B29,Default!$B:$H,7,FALSE))</f>
        <v>7</v>
      </c>
      <c r="G29" s="29" t="str">
        <f>VLOOKUP(B29,Lookup!$C:$D,2, FALSE)</f>
        <v>PA values</v>
      </c>
      <c r="H29" s="29" t="str">
        <f>VLOOKUP(B29,Default!$B:$E,4, FALSE)</f>
        <v>marginal MET value associated with vigorous activity</v>
      </c>
      <c r="I29" t="s">
        <v>222</v>
      </c>
    </row>
    <row r="30" spans="2:9">
      <c r="B30" s="15" t="s">
        <v>586</v>
      </c>
      <c r="C30" s="29" t="str">
        <f>IF(all_global_parameter_inputs!A27="",All_global_list!C29,all_global_parameter_inputs!A27)</f>
        <v>vigorous_pa_mmet</v>
      </c>
      <c r="D30" s="29" t="str">
        <f>IF(all_global_parameter_inputs!B27="","",all_global_parameter_inputs!B27)</f>
        <v>mean</v>
      </c>
      <c r="E30" s="29">
        <f>all_global_parameter_inputs!C27</f>
        <v>0</v>
      </c>
      <c r="F30" s="29" t="str">
        <f>IF(OR(D30="alpha",D30="beta",D30="sd",D30="mean"),"--",VLOOKUP(B30,Default!$B:$H,7,FALSE))</f>
        <v>--</v>
      </c>
      <c r="G30" s="29" t="str">
        <f>VLOOKUP(B30,Lookup!$C:$D,2, FALSE)</f>
        <v>PA values</v>
      </c>
      <c r="H30" s="29" t="str">
        <f>VLOOKUP(B30,Default!$B:$E,4, FALSE)</f>
        <v>marginal MET value associated with vigorous activity</v>
      </c>
      <c r="I30" s="42"/>
    </row>
    <row r="31" spans="2:9">
      <c r="B31" s="15" t="s">
        <v>586</v>
      </c>
      <c r="C31" s="29" t="str">
        <f>IF(all_global_parameter_inputs!A28="",All_global_list!C30,all_global_parameter_inputs!A28)</f>
        <v>vigorous_pa_mmet</v>
      </c>
      <c r="D31" s="29" t="str">
        <f>IF(all_global_parameter_inputs!B28="","",all_global_parameter_inputs!B28)</f>
        <v>sd</v>
      </c>
      <c r="E31" s="29">
        <f>all_global_parameter_inputs!C28</f>
        <v>0</v>
      </c>
      <c r="F31" s="29" t="str">
        <f>IF(OR(D31="alpha",D31="beta",D31="sd",D31="mean"),"--",VLOOKUP(B31,Default!$B:$H,7,FALSE))</f>
        <v>--</v>
      </c>
      <c r="G31" s="29" t="str">
        <f>VLOOKUP(B31,Lookup!$C:$D,2, FALSE)</f>
        <v>PA values</v>
      </c>
      <c r="H31" s="29" t="str">
        <f>VLOOKUP(B31,Default!$B:$E,4, FALSE)</f>
        <v>marginal MET value associated with vigorous activity</v>
      </c>
      <c r="I31" s="42"/>
    </row>
    <row r="32" spans="2:9">
      <c r="B32" s="15" t="s">
        <v>187</v>
      </c>
      <c r="C32" s="29" t="str">
        <f>IF(all_global_parameter_inputs!A29="",All_global_list!C10,all_global_parameter_inputs!A29)</f>
        <v>sin_exponent_sum</v>
      </c>
      <c r="D32" s="29" t="str">
        <f>IF(all_global_parameter_inputs!B29="","",all_global_parameter_inputs!B29)</f>
        <v>constant</v>
      </c>
      <c r="E32" s="29">
        <f>all_global_parameter_inputs!C29</f>
        <v>1.7</v>
      </c>
      <c r="F32" s="29">
        <f>IF(OR(D32="alpha",D32="beta",D32="sd",D32="mean"),"--",VLOOKUP(B32,Default!$B:$H,7,FALSE))</f>
        <v>2</v>
      </c>
      <c r="G32" s="29" t="str">
        <f>VLOOKUP(B32,Lookup!$C:$D,2, FALSE)</f>
        <v>Injury values</v>
      </c>
      <c r="H32" s="29" t="str">
        <f>VLOOKUP(B32,Default!$B:$E,4, FALSE)</f>
        <v>linearity of injuries with respect to two modes. SIN_EXPONENT_SUM=2 means no safety in numbers</v>
      </c>
      <c r="I32" t="s">
        <v>223</v>
      </c>
    </row>
    <row r="33" spans="2:9">
      <c r="B33" s="15" t="s">
        <v>187</v>
      </c>
      <c r="C33" s="29" t="str">
        <f>IF(all_global_parameter_inputs!A30="",All_global_list!C32,all_global_parameter_inputs!A30)</f>
        <v>sin_exponent_sum</v>
      </c>
      <c r="D33" s="29" t="str">
        <f>IF(all_global_parameter_inputs!B30="","",all_global_parameter_inputs!B30)</f>
        <v>mean</v>
      </c>
      <c r="E33" s="29">
        <f>all_global_parameter_inputs!C30</f>
        <v>0</v>
      </c>
      <c r="F33" s="29" t="str">
        <f>IF(OR(D33="alpha",D33="beta",D33="sd",D33="mean"),"--",VLOOKUP(B33,Default!$B:$H,7,FALSE))</f>
        <v>--</v>
      </c>
      <c r="G33" s="29" t="str">
        <f>VLOOKUP(B33,Lookup!$C:$D,2, FALSE)</f>
        <v>Injury values</v>
      </c>
      <c r="H33" s="29"/>
    </row>
    <row r="34" spans="2:9">
      <c r="B34" s="15" t="s">
        <v>187</v>
      </c>
      <c r="C34" s="29" t="str">
        <f>IF(all_global_parameter_inputs!A31="",All_global_list!C33,all_global_parameter_inputs!A31)</f>
        <v>sin_exponent_sum</v>
      </c>
      <c r="D34" s="29" t="str">
        <f>IF(all_global_parameter_inputs!B31="","",all_global_parameter_inputs!B31)</f>
        <v>sd</v>
      </c>
      <c r="E34" s="29">
        <f>all_global_parameter_inputs!C31</f>
        <v>0</v>
      </c>
      <c r="F34" s="29" t="str">
        <f>IF(OR(D34="alpha",D34="beta",D34="sd",D34="mean"),"--",VLOOKUP(B34,Default!$B:$H,7,FALSE))</f>
        <v>--</v>
      </c>
      <c r="G34" s="29" t="str">
        <f>VLOOKUP(B34,Lookup!$C:$D,2, FALSE)</f>
        <v>Injury values</v>
      </c>
      <c r="H34" s="29"/>
    </row>
    <row r="35" spans="2:9">
      <c r="B35" s="15" t="s">
        <v>188</v>
      </c>
      <c r="C35" s="29" t="str">
        <f>IF(all_global_parameter_inputs!A32="",All_global_list!C34,all_global_parameter_inputs!A32)</f>
        <v>casualty_exponent_fraction</v>
      </c>
      <c r="D35" s="29" t="str">
        <f>IF(all_global_parameter_inputs!B32="","",all_global_parameter_inputs!B32)</f>
        <v>constant</v>
      </c>
      <c r="E35" s="29">
        <f>all_global_parameter_inputs!C32</f>
        <v>0.5</v>
      </c>
      <c r="F35" s="29">
        <f>IF(OR(D35="alpha",D35="beta",D35="sd",D35="mean"),"--",VLOOKUP(B35,Default!$B:$H,7,FALSE))</f>
        <v>0.5</v>
      </c>
      <c r="G35" s="29" t="str">
        <f>VLOOKUP(B35,Lookup!$C:$D,2, FALSE)</f>
        <v>Injury values</v>
      </c>
      <c r="H35" s="29" t="str">
        <f>VLOOKUP(B35,Default!$B:$E,4, FALSE)</f>
        <v>fraction of SIN_EXPONENT_SUM attributed to casualy mode</v>
      </c>
      <c r="I35" t="s">
        <v>223</v>
      </c>
    </row>
    <row r="36" spans="2:9">
      <c r="B36" s="15" t="s">
        <v>188</v>
      </c>
      <c r="C36" s="29" t="str">
        <f>IF(all_global_parameter_inputs!A33="",All_global_list!C35,all_global_parameter_inputs!A33)</f>
        <v>casualty_exponent_fraction</v>
      </c>
      <c r="D36" s="29" t="str">
        <f>IF(all_global_parameter_inputs!B33="","",all_global_parameter_inputs!B33)</f>
        <v>alpha</v>
      </c>
      <c r="E36" s="29">
        <f>all_global_parameter_inputs!C33</f>
        <v>0</v>
      </c>
      <c r="F36" s="29" t="str">
        <f>IF(OR(D36="alpha",D36="beta",D36="sd",D36="mean"),"--",VLOOKUP(B36,Default!$B:$H,7,FALSE))</f>
        <v>--</v>
      </c>
      <c r="G36" s="29" t="str">
        <f>VLOOKUP(B36,Lookup!$C:$D,2, FALSE)</f>
        <v>Injury values</v>
      </c>
      <c r="H36" s="29"/>
    </row>
    <row r="37" spans="2:9">
      <c r="B37" s="15" t="s">
        <v>188</v>
      </c>
      <c r="C37" s="29" t="str">
        <f>IF(all_global_parameter_inputs!A34="",All_global_list!C36,all_global_parameter_inputs!A34)</f>
        <v>casualty_exponent_fraction</v>
      </c>
      <c r="D37" s="29" t="str">
        <f>IF(all_global_parameter_inputs!B34="","",all_global_parameter_inputs!B34)</f>
        <v>beta</v>
      </c>
      <c r="E37" s="29">
        <f>all_global_parameter_inputs!C34</f>
        <v>0</v>
      </c>
      <c r="F37" s="29" t="str">
        <f>IF(OR(D37="alpha",D37="beta",D37="sd",D37="mean"),"--",VLOOKUP(B37,Default!$B:$H,7,FALSE))</f>
        <v>--</v>
      </c>
      <c r="G37" s="29" t="str">
        <f>VLOOKUP(B37,Lookup!$C:$D,2, FALSE)</f>
        <v>Injury values</v>
      </c>
      <c r="H37" s="29"/>
    </row>
    <row r="38" spans="2:9">
      <c r="B38" s="15" t="s">
        <v>189</v>
      </c>
      <c r="C38" s="29" t="str">
        <f>IF(all_global_parameter_inputs!A35="",All_global_list!C37,all_global_parameter_inputs!A35)</f>
        <v>sin_exponent_sum_nov</v>
      </c>
      <c r="D38" s="29" t="str">
        <f>IF(all_global_parameter_inputs!B35="","",all_global_parameter_inputs!B35)</f>
        <v>constant</v>
      </c>
      <c r="E38" s="29">
        <f>all_global_parameter_inputs!C35</f>
        <v>0.8</v>
      </c>
      <c r="F38" s="29">
        <f>IF(OR(D38="alpha",D38="beta",D38="sd",D38="mean"),"--",VLOOKUP(B38,Default!$B:$H,7,FALSE))</f>
        <v>1</v>
      </c>
      <c r="G38" s="29" t="str">
        <f>VLOOKUP(B38,Lookup!$C:$D,2, FALSE)</f>
        <v>Injury values</v>
      </c>
      <c r="H38" s="29" t="str">
        <f>VLOOKUP(B38,Default!$B:$E,4, FALSE)</f>
        <v>same as global SIN_EXPONENT_SUM but only applies to NOV fatalities which means that this coefficient is only relevant for casualty mode and does not get split between cas and str modes.</v>
      </c>
      <c r="I38" t="s">
        <v>223</v>
      </c>
    </row>
    <row r="39" spans="2:9">
      <c r="B39" s="15" t="s">
        <v>189</v>
      </c>
      <c r="C39" s="29" t="str">
        <f>IF(all_global_parameter_inputs!A36="",All_global_list!C38,all_global_parameter_inputs!A36)</f>
        <v>sin_exponent_sum_nov</v>
      </c>
      <c r="D39" s="29" t="str">
        <f>IF(all_global_parameter_inputs!B36="","",all_global_parameter_inputs!B36)</f>
        <v>mean</v>
      </c>
      <c r="E39" s="29">
        <f>all_global_parameter_inputs!C36</f>
        <v>0</v>
      </c>
      <c r="F39" s="29" t="str">
        <f>IF(OR(D39="alpha",D39="beta",D39="sd",D39="mean"),"--",VLOOKUP(B39,Default!$B:$H,7,FALSE))</f>
        <v>--</v>
      </c>
      <c r="G39" s="29" t="str">
        <f>VLOOKUP(B39,Lookup!$C:$D,2, FALSE)</f>
        <v>Injury values</v>
      </c>
      <c r="H39" s="29"/>
    </row>
    <row r="40" spans="2:9">
      <c r="B40" s="15" t="s">
        <v>189</v>
      </c>
      <c r="C40" s="29" t="str">
        <f>IF(all_global_parameter_inputs!A37="",All_global_list!C39,all_global_parameter_inputs!A37)</f>
        <v>sin_exponent_sum_nov</v>
      </c>
      <c r="D40" s="29" t="str">
        <f>IF(all_global_parameter_inputs!B37="","",all_global_parameter_inputs!B37)</f>
        <v>sd</v>
      </c>
      <c r="E40" s="29">
        <f>all_global_parameter_inputs!C37</f>
        <v>0</v>
      </c>
      <c r="F40" s="29" t="str">
        <f>IF(OR(D40="alpha",D40="beta",D40="sd",D40="mean"),"--",VLOOKUP(B40,Default!$B:$H,7,FALSE))</f>
        <v>--</v>
      </c>
      <c r="G40" s="29" t="str">
        <f>VLOOKUP(B40,Lookup!$C:$D,2, FALSE)</f>
        <v>Injury values</v>
      </c>
      <c r="H40" s="29"/>
    </row>
    <row r="41" spans="2:9">
      <c r="B41" s="15" t="s">
        <v>190</v>
      </c>
      <c r="C41" s="29" t="str">
        <f>IF(all_global_parameter_inputs!A38="",All_global_list!#REF!,all_global_parameter_inputs!A38)</f>
        <v>sin_exponent_sum_cycle</v>
      </c>
      <c r="D41" s="29" t="str">
        <f>IF(all_global_parameter_inputs!B38="","",all_global_parameter_inputs!B38)</f>
        <v>constant</v>
      </c>
      <c r="E41" s="29">
        <f>all_global_parameter_inputs!C38</f>
        <v>0.8</v>
      </c>
      <c r="F41" s="29">
        <f>IF(OR(D41="alpha",D41="beta",D41="sd",D41="mean"),"--",VLOOKUP(B41,Default!$B:$H,7,FALSE))</f>
        <v>2</v>
      </c>
      <c r="G41" s="29" t="str">
        <f>VLOOKUP(B41,Lookup!$C:$D,2, FALSE)</f>
        <v>Injury values</v>
      </c>
      <c r="H41" s="29" t="str">
        <f>VLOOKUP(B41,Default!$B:$E,4, FALSE)</f>
        <v>same as global SIN_EXPONENT_SUM but only applies to cycle fatalities</v>
      </c>
      <c r="I41" t="s">
        <v>223</v>
      </c>
    </row>
    <row r="42" spans="2:9">
      <c r="B42" s="15" t="s">
        <v>190</v>
      </c>
      <c r="C42" s="29" t="str">
        <f>IF(all_global_parameter_inputs!A39="",All_global_list!C41,all_global_parameter_inputs!A39)</f>
        <v>sin_exponent_sum_cycle</v>
      </c>
      <c r="D42" s="29" t="str">
        <f>IF(all_global_parameter_inputs!B39="","",all_global_parameter_inputs!B39)</f>
        <v>mean</v>
      </c>
      <c r="E42" s="29">
        <f>all_global_parameter_inputs!C39</f>
        <v>0</v>
      </c>
      <c r="F42" s="29" t="str">
        <f>IF(OR(D42="alpha",D42="beta",D42="sd",D42="mean"),"--",VLOOKUP(B42,Default!$B:$H,7,FALSE))</f>
        <v>--</v>
      </c>
      <c r="G42" s="29" t="str">
        <f>VLOOKUP(B42,Lookup!$C:$D,2, FALSE)</f>
        <v>Injury values</v>
      </c>
      <c r="H42" s="29"/>
    </row>
    <row r="43" spans="2:9">
      <c r="B43" s="15" t="s">
        <v>190</v>
      </c>
      <c r="C43" s="29" t="str">
        <f>IF(all_global_parameter_inputs!A40="",All_global_list!C42,all_global_parameter_inputs!A40)</f>
        <v>sin_exponent_sum_cycle</v>
      </c>
      <c r="D43" s="29" t="str">
        <f>IF(all_global_parameter_inputs!B40="","",all_global_parameter_inputs!B40)</f>
        <v>sd</v>
      </c>
      <c r="E43" s="29">
        <f>all_global_parameter_inputs!C40</f>
        <v>0</v>
      </c>
      <c r="F43" s="29" t="str">
        <f>IF(OR(D43="alpha",D43="beta",D43="sd",D43="mean"),"--",VLOOKUP(B43,Default!$B:$H,7,FALSE))</f>
        <v>--</v>
      </c>
      <c r="G43" s="29" t="str">
        <f>VLOOKUP(B43,Lookup!$C:$D,2, FALSE)</f>
        <v>Injury values</v>
      </c>
      <c r="H43" s="29"/>
    </row>
    <row r="44" spans="2:9">
      <c r="B44" s="15" t="s">
        <v>191</v>
      </c>
      <c r="C44" s="29" t="str">
        <f>IF(all_global_parameter_inputs!A41="",All_global_list!C43,all_global_parameter_inputs!A41)</f>
        <v>casualty_exponent_fraction_cycle</v>
      </c>
      <c r="D44" s="29" t="str">
        <f>IF(all_global_parameter_inputs!B41="","",all_global_parameter_inputs!B41)</f>
        <v>constant</v>
      </c>
      <c r="E44" s="29">
        <f>all_global_parameter_inputs!C41</f>
        <v>0.5</v>
      </c>
      <c r="F44" s="29">
        <f>IF(OR(D44="alpha",D44="beta",D44="sd",D44="mean"),"--",VLOOKUP(B44,Default!$B:$H,7,FALSE))</f>
        <v>0.5</v>
      </c>
      <c r="G44" s="29" t="str">
        <f>VLOOKUP(B44,Lookup!$C:$D,2, FALSE)</f>
        <v>Injury values</v>
      </c>
      <c r="H44" s="29" t="str">
        <f>VLOOKUP(B44,Default!$B:$E,4, FALSE)</f>
        <v>same as global CASUALTY_EXPONENT_FRACTION but only applies to cycle fatalities</v>
      </c>
      <c r="I44" t="s">
        <v>223</v>
      </c>
    </row>
    <row r="45" spans="2:9">
      <c r="B45" s="15" t="s">
        <v>191</v>
      </c>
      <c r="C45" s="29" t="str">
        <f>IF(all_global_parameter_inputs!A42="",All_global_list!C44,all_global_parameter_inputs!A42)</f>
        <v>casualty_exponent_fraction_cycle</v>
      </c>
      <c r="D45" s="29" t="str">
        <f>IF(all_global_parameter_inputs!B42="","",all_global_parameter_inputs!B42)</f>
        <v>alpha</v>
      </c>
      <c r="E45" s="29">
        <f>all_global_parameter_inputs!C42</f>
        <v>0</v>
      </c>
      <c r="F45" s="29" t="str">
        <f>IF(OR(D45="alpha",D45="beta",D45="sd",D45="mean"),"--",VLOOKUP(B45,Default!$B:$H,7,FALSE))</f>
        <v>--</v>
      </c>
      <c r="G45" s="29" t="str">
        <f>VLOOKUP(B45,Lookup!$C:$D,2, FALSE)</f>
        <v>Injury values</v>
      </c>
      <c r="H45" s="29"/>
    </row>
    <row r="46" spans="2:9">
      <c r="B46" s="15" t="s">
        <v>191</v>
      </c>
      <c r="C46" s="29" t="str">
        <f>IF(all_global_parameter_inputs!A43="",All_global_list!C45,all_global_parameter_inputs!A43)</f>
        <v>casualty_exponent_fraction_cycle</v>
      </c>
      <c r="D46" s="29" t="str">
        <f>IF(all_global_parameter_inputs!B43="","",all_global_parameter_inputs!B43)</f>
        <v>beta</v>
      </c>
      <c r="E46" s="29">
        <f>all_global_parameter_inputs!C43</f>
        <v>0</v>
      </c>
      <c r="F46" s="29" t="str">
        <f>IF(OR(D46="alpha",D46="beta",D46="sd",D46="mean"),"--",VLOOKUP(B46,Default!$B:$H,7,FALSE))</f>
        <v>--</v>
      </c>
      <c r="G46" s="29" t="str">
        <f>VLOOKUP(B46,Lookup!$C:$D,2, FALSE)</f>
        <v>Injury values</v>
      </c>
      <c r="H46" s="29"/>
    </row>
    <row r="47" spans="2:9">
      <c r="B47" s="15" t="s">
        <v>192</v>
      </c>
      <c r="C47" s="29" t="str">
        <f>IF(all_global_parameter_inputs!A44="",All_global_list!C46,all_global_parameter_inputs!A44)</f>
        <v>sin_exponent_sum_ped</v>
      </c>
      <c r="D47" s="29" t="str">
        <f>IF(all_global_parameter_inputs!B44="","",all_global_parameter_inputs!B44)</f>
        <v>constant</v>
      </c>
      <c r="E47" s="29">
        <f>all_global_parameter_inputs!C44</f>
        <v>0.85</v>
      </c>
      <c r="F47" s="29">
        <f>IF(OR(D47="alpha",D47="beta",D47="sd",D47="mean"),"--",VLOOKUP(B47,Default!$B:$H,7,FALSE))</f>
        <v>2</v>
      </c>
      <c r="G47" s="29" t="str">
        <f>VLOOKUP(B47,Lookup!$C:$D,2, FALSE)</f>
        <v>Injury values</v>
      </c>
      <c r="H47" s="29" t="str">
        <f>VLOOKUP(B47,Default!$B:$E,4, FALSE)</f>
        <v>same as global SIN_EXPONENT_SUM but only applies to pedestrian fatalities</v>
      </c>
      <c r="I47" t="s">
        <v>223</v>
      </c>
    </row>
    <row r="48" spans="2:9">
      <c r="B48" s="15" t="s">
        <v>192</v>
      </c>
      <c r="C48" s="29" t="str">
        <f>IF(all_global_parameter_inputs!A45="",All_global_list!C47,all_global_parameter_inputs!A45)</f>
        <v>sin_exponent_sum_ped</v>
      </c>
      <c r="D48" s="29" t="str">
        <f>IF(all_global_parameter_inputs!B45="","",all_global_parameter_inputs!B45)</f>
        <v>mean</v>
      </c>
      <c r="E48" s="29">
        <f>all_global_parameter_inputs!C45</f>
        <v>0</v>
      </c>
      <c r="F48" s="29" t="str">
        <f>IF(OR(D48="alpha",D48="beta",D48="sd",D48="mean"),"--",VLOOKUP(B48,Default!$B:$H,7,FALSE))</f>
        <v>--</v>
      </c>
      <c r="G48" s="29" t="str">
        <f>VLOOKUP(B48,Lookup!$C:$D,2, FALSE)</f>
        <v>Injury values</v>
      </c>
      <c r="H48" s="29"/>
    </row>
    <row r="49" spans="2:9">
      <c r="B49" s="15" t="s">
        <v>192</v>
      </c>
      <c r="C49" s="29" t="str">
        <f>IF(all_global_parameter_inputs!A46="",All_global_list!C48,all_global_parameter_inputs!A46)</f>
        <v>sin_exponent_sum_ped</v>
      </c>
      <c r="D49" s="29" t="str">
        <f>IF(all_global_parameter_inputs!B46="","",all_global_parameter_inputs!B46)</f>
        <v>sd</v>
      </c>
      <c r="E49" s="29">
        <f>all_global_parameter_inputs!C46</f>
        <v>0</v>
      </c>
      <c r="F49" s="29" t="str">
        <f>IF(OR(D49="alpha",D49="beta",D49="sd",D49="mean"),"--",VLOOKUP(B49,Default!$B:$H,7,FALSE))</f>
        <v>--</v>
      </c>
      <c r="G49" s="29" t="str">
        <f>VLOOKUP(B49,Lookup!$C:$D,2, FALSE)</f>
        <v>Injury values</v>
      </c>
      <c r="H49" s="29"/>
    </row>
    <row r="50" spans="2:9">
      <c r="B50" s="15" t="s">
        <v>193</v>
      </c>
      <c r="C50" s="29" t="str">
        <f>IF(all_global_parameter_inputs!A47="",All_global_list!C49,all_global_parameter_inputs!A47)</f>
        <v>casualty_exponent_fraction_ped</v>
      </c>
      <c r="D50" s="29" t="str">
        <f>IF(all_global_parameter_inputs!B47="","",all_global_parameter_inputs!B47)</f>
        <v>constant</v>
      </c>
      <c r="E50" s="29">
        <f>all_global_parameter_inputs!C47</f>
        <v>0.52941176470588236</v>
      </c>
      <c r="F50" s="29">
        <f>IF(OR(D50="alpha",D50="beta",D50="sd",D50="mean"),"--",VLOOKUP(B50,Default!$B:$H,7,FALSE))</f>
        <v>0.5</v>
      </c>
      <c r="G50" s="29" t="str">
        <f>VLOOKUP(B50,Lookup!$C:$D,2, FALSE)</f>
        <v>Injury values</v>
      </c>
      <c r="H50" s="29" t="str">
        <f>VLOOKUP(B50,Default!$B:$E,4, FALSE)</f>
        <v>same as global CASUALTY_EXPONENT_FRACTION but only applies to pedestrian fatalities</v>
      </c>
      <c r="I50" t="s">
        <v>223</v>
      </c>
    </row>
    <row r="51" spans="2:9">
      <c r="B51" s="15" t="s">
        <v>193</v>
      </c>
      <c r="C51" s="29" t="str">
        <f>IF(all_global_parameter_inputs!A48="",All_global_list!C50,all_global_parameter_inputs!A48)</f>
        <v>casualty_exponent_fraction_ped</v>
      </c>
      <c r="D51" s="29" t="str">
        <f>IF(all_global_parameter_inputs!B48="","",all_global_parameter_inputs!B48)</f>
        <v>alpha</v>
      </c>
      <c r="E51" s="29">
        <f>all_global_parameter_inputs!C48</f>
        <v>0</v>
      </c>
      <c r="F51" s="29" t="str">
        <f>IF(OR(D51="alpha",D51="beta",D51="sd",D51="mean"),"--",VLOOKUP(B51,Default!$B:$H,7,FALSE))</f>
        <v>--</v>
      </c>
      <c r="G51" s="29" t="str">
        <f>VLOOKUP(B51,Lookup!$C:$D,2, FALSE)</f>
        <v>Injury values</v>
      </c>
      <c r="H51" s="29"/>
    </row>
    <row r="52" spans="2:9">
      <c r="B52" s="15" t="s">
        <v>193</v>
      </c>
      <c r="C52" s="29" t="str">
        <f>IF(all_global_parameter_inputs!A49="",All_global_list!C51,all_global_parameter_inputs!A49)</f>
        <v>casualty_exponent_fraction_ped</v>
      </c>
      <c r="D52" s="29" t="str">
        <f>IF(all_global_parameter_inputs!B49="","",all_global_parameter_inputs!B49)</f>
        <v>beta</v>
      </c>
      <c r="E52" s="29">
        <f>all_global_parameter_inputs!C49</f>
        <v>0</v>
      </c>
      <c r="F52" s="29" t="str">
        <f>IF(OR(D52="alpha",D52="beta",D52="sd",D52="mean"),"--",VLOOKUP(B52,Default!$B:$H,7,FALSE))</f>
        <v>--</v>
      </c>
      <c r="G52" s="29" t="str">
        <f>VLOOKUP(B52,Lookup!$C:$D,2, FALSE)</f>
        <v>Injury values</v>
      </c>
      <c r="H52" s="29"/>
    </row>
    <row r="53" spans="2:9">
      <c r="B53" s="15" t="s">
        <v>194</v>
      </c>
      <c r="C53" s="29" t="str">
        <f>IF(all_global_parameter_inputs!A50="",All_global_list!C52,all_global_parameter_inputs!A50)</f>
        <v>sin_exponent_sum_veh</v>
      </c>
      <c r="D53" s="29" t="str">
        <f>IF(all_global_parameter_inputs!B50="","",all_global_parameter_inputs!B50)</f>
        <v>constant</v>
      </c>
      <c r="E53" s="29">
        <f>all_global_parameter_inputs!C50</f>
        <v>1.05</v>
      </c>
      <c r="F53" s="29">
        <f>IF(OR(D53="alpha",D53="beta",D53="sd",D53="mean"),"--",VLOOKUP(B53,Default!$B:$H,7,FALSE))</f>
        <v>2</v>
      </c>
      <c r="G53" s="29" t="str">
        <f>VLOOKUP(B53,Lookup!$C:$D,2, FALSE)</f>
        <v>Injury values</v>
      </c>
      <c r="H53" s="29" t="str">
        <f>VLOOKUP(B53,Default!$B:$E,4, FALSE)</f>
        <v>same as global SIN_EXPONENT_SUM but only applies to vehicle fatalities</v>
      </c>
      <c r="I53" t="s">
        <v>223</v>
      </c>
    </row>
    <row r="54" spans="2:9">
      <c r="B54" s="15" t="s">
        <v>194</v>
      </c>
      <c r="C54" s="29" t="str">
        <f>IF(all_global_parameter_inputs!A51="",All_global_list!C53,all_global_parameter_inputs!A51)</f>
        <v>sin_exponent_sum_veh</v>
      </c>
      <c r="D54" s="29" t="str">
        <f>IF(all_global_parameter_inputs!B51="","",all_global_parameter_inputs!B51)</f>
        <v>mean</v>
      </c>
      <c r="E54" s="29">
        <f>all_global_parameter_inputs!C51</f>
        <v>0</v>
      </c>
      <c r="F54" s="29" t="str">
        <f>IF(OR(D54="alpha",D54="beta",D54="sd",D54="mean"),"--",VLOOKUP(B54,Default!$B:$H,7,FALSE))</f>
        <v>--</v>
      </c>
      <c r="G54" s="29" t="str">
        <f>VLOOKUP(B54,Lookup!$C:$D,2, FALSE)</f>
        <v>Injury values</v>
      </c>
      <c r="H54" s="29"/>
    </row>
    <row r="55" spans="2:9">
      <c r="B55" s="15" t="s">
        <v>194</v>
      </c>
      <c r="C55" s="29" t="str">
        <f>IF(all_global_parameter_inputs!A52="",All_global_list!C54,all_global_parameter_inputs!A52)</f>
        <v>sin_exponent_sum_veh</v>
      </c>
      <c r="D55" s="29" t="str">
        <f>IF(all_global_parameter_inputs!B52="","",all_global_parameter_inputs!B52)</f>
        <v>sd</v>
      </c>
      <c r="E55" s="29">
        <f>all_global_parameter_inputs!C52</f>
        <v>0</v>
      </c>
      <c r="F55" s="29" t="str">
        <f>IF(OR(D55="alpha",D55="beta",D55="sd",D55="mean"),"--",VLOOKUP(B55,Default!$B:$H,7,FALSE))</f>
        <v>--</v>
      </c>
      <c r="G55" s="29" t="str">
        <f>VLOOKUP(B55,Lookup!$C:$D,2, FALSE)</f>
        <v>Injury values</v>
      </c>
      <c r="H55" s="29"/>
    </row>
    <row r="56" spans="2:9">
      <c r="B56" s="15" t="s">
        <v>195</v>
      </c>
      <c r="C56" s="29" t="str">
        <f>IF(all_global_parameter_inputs!A53="",All_global_list!C55,all_global_parameter_inputs!A53)</f>
        <v>casualty_exponent_fraction_veh</v>
      </c>
      <c r="D56" s="29" t="str">
        <f>IF(all_global_parameter_inputs!B53="","",all_global_parameter_inputs!B53)</f>
        <v>constant</v>
      </c>
      <c r="E56" s="29">
        <f>all_global_parameter_inputs!C53</f>
        <v>0.5</v>
      </c>
      <c r="F56" s="29">
        <f>IF(OR(D56="alpha",D56="beta",D56="sd",D56="mean"),"--",VLOOKUP(B56,Default!$B:$H,7,FALSE))</f>
        <v>0.5</v>
      </c>
      <c r="G56" s="29" t="str">
        <f>VLOOKUP(B56,Lookup!$C:$D,2, FALSE)</f>
        <v>Injury values</v>
      </c>
      <c r="H56" s="29" t="str">
        <f>VLOOKUP(B56,Default!$B:$E,4, FALSE)</f>
        <v>same as global CASUALTY_EXPONENT_FRACTION but only applies vehicle fatalities</v>
      </c>
      <c r="I56" t="s">
        <v>223</v>
      </c>
    </row>
    <row r="57" spans="2:9">
      <c r="B57" s="15" t="s">
        <v>195</v>
      </c>
      <c r="C57" s="29" t="str">
        <f>IF(all_global_parameter_inputs!A54="",All_global_list!C56,all_global_parameter_inputs!A54)</f>
        <v>casualty_exponent_fraction_veh</v>
      </c>
      <c r="D57" s="29" t="str">
        <f>IF(all_global_parameter_inputs!B54="","",all_global_parameter_inputs!B54)</f>
        <v>alpha</v>
      </c>
      <c r="E57" s="29">
        <f>all_global_parameter_inputs!C54</f>
        <v>0</v>
      </c>
      <c r="F57" s="29" t="str">
        <f>IF(OR(D57="alpha",D57="beta",D57="sd",D57="mean"),"--",VLOOKUP(B57,Default!$B:$H,7,FALSE))</f>
        <v>--</v>
      </c>
      <c r="G57" s="29" t="str">
        <f>VLOOKUP(B57,Lookup!$C:$D,2, FALSE)</f>
        <v>Injury values</v>
      </c>
      <c r="H57" s="29"/>
    </row>
    <row r="58" spans="2:9">
      <c r="B58" s="15" t="s">
        <v>195</v>
      </c>
      <c r="C58" s="29" t="str">
        <f>IF(all_global_parameter_inputs!A55="",All_global_list!C57,all_global_parameter_inputs!A55)</f>
        <v>casualty_exponent_fraction_veh</v>
      </c>
      <c r="D58" s="29" t="str">
        <f>IF(all_global_parameter_inputs!B55="","",all_global_parameter_inputs!B55)</f>
        <v>beta</v>
      </c>
      <c r="E58" s="29">
        <f>all_global_parameter_inputs!C55</f>
        <v>0</v>
      </c>
      <c r="F58" s="29" t="str">
        <f>IF(OR(D58="alpha",D58="beta",D58="sd",D58="mean"),"--",VLOOKUP(B58,Default!$B:$H,7,FALSE))</f>
        <v>--</v>
      </c>
      <c r="G58" s="29" t="str">
        <f>VLOOKUP(B58,Lookup!$C:$D,2, FALSE)</f>
        <v>Injury values</v>
      </c>
      <c r="H58" s="29"/>
    </row>
    <row r="59" spans="2:9">
      <c r="B59" s="15" t="s">
        <v>196</v>
      </c>
      <c r="C59" s="29" t="str">
        <f>IF(all_global_parameter_inputs!A56="",All_global_list!C58,all_global_parameter_inputs!A56)</f>
        <v>call_individual_sin</v>
      </c>
      <c r="D59" s="29" t="str">
        <f>IF(all_global_parameter_inputs!B56="","",all_global_parameter_inputs!B56)</f>
        <v/>
      </c>
      <c r="E59" s="29" t="str">
        <f>all_global_parameter_inputs!C56</f>
        <v>T</v>
      </c>
      <c r="F59" s="29" t="str">
        <f>IF(OR(D59="alpha",D59="beta",D59="sd",D59="mean"),"--",VLOOKUP(B59,Default!$B:$H,7,FALSE))</f>
        <v>F</v>
      </c>
      <c r="G59" s="29" t="str">
        <f>VLOOKUP(B59,Lookup!$C:$D,2, FALSE)</f>
        <v>Injury values</v>
      </c>
      <c r="H59" s="29" t="str">
        <f>VLOOKUP(B59,Default!$B:$E,4, FALSE)</f>
        <v>flag as to whether to use the overall safety in number parameters or, if if set to TRUE, call the safety in number exponents for different victim modes</v>
      </c>
      <c r="I59" t="s">
        <v>224</v>
      </c>
    </row>
    <row r="60" spans="2:9">
      <c r="B60" s="15" t="s">
        <v>197</v>
      </c>
      <c r="C60" s="29" t="str">
        <f>IF(all_global_parameter_inputs!A57="",All_global_list!#REF!,all_global_parameter_inputs!A57)</f>
        <v>add_truck_drivers</v>
      </c>
      <c r="D60" s="29" t="str">
        <f>IF(all_global_parameter_inputs!B57="","",all_global_parameter_inputs!B57)</f>
        <v/>
      </c>
      <c r="E60" s="29" t="str">
        <f>all_global_parameter_inputs!C57</f>
        <v>T</v>
      </c>
      <c r="F60" s="29" t="str">
        <f>IF(OR(D60="alpha",D60="beta",D60="sd",D60="mean"),"--",VLOOKUP(B60,Default!$B:$H,7,FALSE))</f>
        <v>T</v>
      </c>
      <c r="G60" s="29" t="str">
        <f>VLOOKUP(B60,Lookup!$C:$D,2, FALSE)</f>
        <v>Travel values</v>
      </c>
      <c r="H60" s="29" t="str">
        <f>VLOOKUP(B60,Default!$B:$E,4, FALSE)</f>
        <v>whether to add truck drivers as ghost trips based on the TRUCK_TO_CAR_RATIO</v>
      </c>
      <c r="I60" t="s">
        <v>225</v>
      </c>
    </row>
    <row r="61" spans="2:9">
      <c r="B61" s="15" t="s">
        <v>198</v>
      </c>
      <c r="C61" s="29" t="str">
        <f>IF(all_global_parameter_inputs!A58="",All_global_list!C60,all_global_parameter_inputs!A58)</f>
        <v>add_bus_drivers</v>
      </c>
      <c r="D61" s="29" t="str">
        <f>IF(all_global_parameter_inputs!B58="","",all_global_parameter_inputs!B58)</f>
        <v/>
      </c>
      <c r="E61" s="29" t="str">
        <f>all_global_parameter_inputs!C58</f>
        <v>T</v>
      </c>
      <c r="F61" s="29" t="str">
        <f>IF(OR(D61="alpha",D61="beta",D61="sd",D61="mean"),"--",VLOOKUP(B61,Default!$B:$H,7,FALSE))</f>
        <v>T</v>
      </c>
      <c r="G61" s="29" t="str">
        <f>VLOOKUP(B61,Lookup!$C:$D,2, FALSE)</f>
        <v>Travel values</v>
      </c>
      <c r="H61" s="29" t="str">
        <f>VLOOKUP(B61,Default!$B:$E,4, FALSE)</f>
        <v>whether to add bus drivers, if set to T adds ghost trips, i.e. trips not taken by any participant, using the bus_to_passenger_ratio</v>
      </c>
      <c r="I61" t="s">
        <v>225</v>
      </c>
    </row>
    <row r="62" spans="2:9">
      <c r="B62" s="15" t="s">
        <v>199</v>
      </c>
      <c r="C62" s="29" t="str">
        <f>IF(all_global_parameter_inputs!A59="",All_global_list!C61,all_global_parameter_inputs!A59)</f>
        <v>add_car_drivers</v>
      </c>
      <c r="D62" s="29" t="str">
        <f>IF(all_global_parameter_inputs!B59="","",all_global_parameter_inputs!B59)</f>
        <v/>
      </c>
      <c r="E62" s="29" t="str">
        <f>all_global_parameter_inputs!C59</f>
        <v>T</v>
      </c>
      <c r="F62" s="29" t="str">
        <f>IF(OR(D62="alpha",D62="beta",D62="sd",D62="mean"),"--",VLOOKUP(B62,Default!$B:$H,7,FALSE))</f>
        <v>T</v>
      </c>
      <c r="G62" s="29" t="str">
        <f>VLOOKUP(B62,Lookup!$C:$D,2, FALSE)</f>
        <v>Travel values</v>
      </c>
      <c r="H62" s="29" t="str">
        <f>VLOOKUP(B62,Default!$B:$E,4, FALSE)</f>
        <v>whether or not to add car drivers (or rather look at car numbers). Individual cars are calculated by multiplying total passenger car km by the car_occupancy_ratio</v>
      </c>
      <c r="I62" t="s">
        <v>225</v>
      </c>
    </row>
    <row r="63" spans="2:9">
      <c r="B63" s="15" t="s">
        <v>226</v>
      </c>
      <c r="C63" s="29" t="str">
        <f>IF(all_global_parameter_inputs!A60="",All_global_list!C61,all_global_parameter_inputs!A60)</f>
        <v>pa_dr_quantile_city1</v>
      </c>
      <c r="D63" s="29" t="str">
        <f>IF(all_global_parameter_inputs!B60="","",all_global_parameter_inputs!B60)</f>
        <v/>
      </c>
      <c r="E63" s="29" t="str">
        <f>all_global_parameter_inputs!C60</f>
        <v>T</v>
      </c>
      <c r="F63" s="29" t="str">
        <f>IF(OR(D63="alpha",D63="beta",D63="sd",D63="mean"),"--",VLOOKUP(B63,Default!$B:$H,7,FALSE))</f>
        <v>F</v>
      </c>
      <c r="G63" s="29" t="str">
        <f>VLOOKUP(B63,Lookup!$C:$D,2, FALSE)</f>
        <v>Health values</v>
      </c>
      <c r="H63" s="30" t="s">
        <v>227</v>
      </c>
      <c r="I63" t="s">
        <v>228</v>
      </c>
    </row>
    <row r="64" spans="2:9">
      <c r="B64" s="15" t="s">
        <v>229</v>
      </c>
      <c r="C64" s="29" t="str">
        <f>IF(all_global_parameter_inputs!A61="",All_global_list!C63,all_global_parameter_inputs!A61)</f>
        <v>ap_dr_quantile_city1</v>
      </c>
      <c r="D64" s="29" t="str">
        <f>IF(all_global_parameter_inputs!B61="","",all_global_parameter_inputs!B61)</f>
        <v/>
      </c>
      <c r="E64" s="29" t="str">
        <f>all_global_parameter_inputs!C61</f>
        <v>T</v>
      </c>
      <c r="F64" s="29" t="str">
        <f>IF(OR(D64="alpha",D64="beta",D64="sd",D64="mean"),"--",VLOOKUP(B64,Default!$B:$H,7,FALSE))</f>
        <v>F</v>
      </c>
      <c r="G64" s="29" t="str">
        <f>VLOOKUP(B64,Lookup!$C:$D,2, FALSE)</f>
        <v>Health values</v>
      </c>
      <c r="H64" s="29" t="str">
        <f>VLOOKUP(B64,Default!$B:$E,4, FALSE)</f>
        <v>whether or not to sample from dose response curves</v>
      </c>
      <c r="I64" t="s">
        <v>228</v>
      </c>
    </row>
    <row r="65" spans="2:9" ht="14.75" customHeight="1">
      <c r="B65" s="15" t="s">
        <v>230</v>
      </c>
      <c r="C65" s="29" t="str">
        <f>IF(all_global_parameter_inputs!A62="",All_global_list!C64,all_global_parameter_inputs!A62)</f>
        <v>min_age</v>
      </c>
      <c r="D65" s="29" t="str">
        <f>IF(all_global_parameter_inputs!B62="","",all_global_parameter_inputs!B62)</f>
        <v/>
      </c>
      <c r="E65" s="29">
        <f>all_global_parameter_inputs!C62</f>
        <v>15</v>
      </c>
      <c r="F65" s="29" t="str">
        <f>IF(OR(D65="alpha",D65="beta",D65="sd",D65="mean"),"--",VLOOKUP(B65,Default!$B:$H,7,FALSE))</f>
        <v>c(15,69)</v>
      </c>
      <c r="G65" s="29" t="str">
        <f>VLOOKUP(B65,Lookup!$C:$D,2, FALSE)</f>
        <v>Miscellaneous</v>
      </c>
      <c r="H65" s="29" t="str">
        <f>VLOOKUP(B65,Default!$B:$E,4, FALSE)</f>
        <v>age range considered</v>
      </c>
      <c r="I65" t="s">
        <v>231</v>
      </c>
    </row>
    <row r="66" spans="2:9">
      <c r="B66" s="15" t="s">
        <v>230</v>
      </c>
      <c r="C66" s="29" t="str">
        <f>IF(all_global_parameter_inputs!A63="",All_global_list!C65,all_global_parameter_inputs!A63)</f>
        <v>max_age</v>
      </c>
      <c r="D66" s="29" t="str">
        <f>IF(all_global_parameter_inputs!B63="","",all_global_parameter_inputs!B63)</f>
        <v/>
      </c>
      <c r="E66" s="29">
        <f>all_global_parameter_inputs!C63</f>
        <v>69</v>
      </c>
      <c r="F66" s="29" t="str">
        <f>IF(OR(D66="alpha",D66="beta",D66="sd",D66="mean"),"--",VLOOKUP(B66,Default!$B:$H,7,FALSE))</f>
        <v>c(15,69)</v>
      </c>
      <c r="G66" s="29" t="str">
        <f>VLOOKUP(B66,Lookup!$C:$D,2, FALSE)</f>
        <v>Miscellaneous</v>
      </c>
      <c r="H66" s="29" t="str">
        <f>VLOOKUP(B66,Default!$B:$E,4, FALSE)</f>
        <v>age range considered</v>
      </c>
      <c r="I66" t="s">
        <v>231</v>
      </c>
    </row>
    <row r="67" spans="2:9">
      <c r="B67" s="15" t="s">
        <v>204</v>
      </c>
      <c r="C67" s="29" t="str">
        <f>IF(all_global_parameter_inputs!A64="",All_global_list!C66,all_global_parameter_inputs!A64)</f>
        <v>dist_cat</v>
      </c>
      <c r="D67" s="29" t="str">
        <f>IF(all_global_parameter_inputs!B64="","",all_global_parameter_inputs!B64)</f>
        <v/>
      </c>
      <c r="E67" s="29" t="str">
        <f>all_global_parameter_inputs!C64</f>
        <v>0-2 km, 2-6 km, 6+ km</v>
      </c>
      <c r="F67" s="29" t="str">
        <f>IF(OR(D67="alpha",D67="beta",D67="sd",D67="mean"),"--",VLOOKUP(B67,Default!$B:$H,7,FALSE))</f>
        <v>c("0-2 km", "2-6 km", "6+ km")</v>
      </c>
      <c r="G67" s="29" t="str">
        <f>VLOOKUP(B67,Lookup!$C:$D,2, FALSE)</f>
        <v>Miscellaneous</v>
      </c>
      <c r="H67" s="29" t="str">
        <f>VLOOKUP(B67,Default!$B:$E,4, FALSE)</f>
        <v>distance categories for trip lengths</v>
      </c>
      <c r="I67" t="s">
        <v>232</v>
      </c>
    </row>
    <row r="68" spans="2:9">
      <c r="C68" s="29" t="str">
        <f>IF(all_global_parameter_inputs!A65="",All_global_list!C67,all_global_parameter_inputs!A65)</f>
        <v>outcome_age_min</v>
      </c>
      <c r="D68" s="29" t="str">
        <f>IF(all_global_parameter_inputs!B65="","",all_global_parameter_inputs!B65)</f>
        <v/>
      </c>
      <c r="E68" s="29" t="str">
        <f>all_global_parameter_inputs!C65</f>
        <v>15, 50</v>
      </c>
      <c r="F68" s="30" t="s">
        <v>233</v>
      </c>
      <c r="G68" s="30" t="s">
        <v>234</v>
      </c>
      <c r="H68" s="30" t="s">
        <v>235</v>
      </c>
      <c r="I68" t="s">
        <v>232</v>
      </c>
    </row>
    <row r="69" spans="2:9">
      <c r="C69" s="29" t="str">
        <f>IF(all_global_parameter_inputs!A66="",All_global_list!C68,all_global_parameter_inputs!A66)</f>
        <v>outcome_age_max</v>
      </c>
      <c r="D69" s="29" t="str">
        <f>IF(all_global_parameter_inputs!B66="","",all_global_parameter_inputs!B66)</f>
        <v/>
      </c>
      <c r="E69" s="29" t="str">
        <f>all_global_parameter_inputs!C66</f>
        <v>49, 69</v>
      </c>
      <c r="F69" s="30" t="s">
        <v>233</v>
      </c>
      <c r="G69" s="30" t="s">
        <v>234</v>
      </c>
      <c r="H69" s="30" t="s">
        <v>235</v>
      </c>
      <c r="I69" t="s">
        <v>232</v>
      </c>
    </row>
    <row r="70" spans="2:9">
      <c r="C70" s="29" t="str">
        <f>IF(all_global_parameter_inputs!A67="",All_global_list!C69,all_global_parameter_inputs!A67)</f>
        <v>outcome_age_groups</v>
      </c>
      <c r="D70" s="29" t="str">
        <f>IF(all_global_parameter_inputs!B67="","",all_global_parameter_inputs!B67)</f>
        <v/>
      </c>
      <c r="E70" s="29" t="str">
        <f>all_global_parameter_inputs!C67</f>
        <v>15-49, 50-69</v>
      </c>
      <c r="F70" s="30" t="s">
        <v>233</v>
      </c>
      <c r="G70" s="30" t="s">
        <v>234</v>
      </c>
      <c r="H70" s="30" t="s">
        <v>235</v>
      </c>
      <c r="I70" t="s">
        <v>232</v>
      </c>
    </row>
    <row r="71" spans="2:9">
      <c r="B71" s="15" t="s">
        <v>212</v>
      </c>
      <c r="C71" s="29" t="str">
        <f>IF(all_global_parameter_inputs!A68="",All_global_list!C70,all_global_parameter_inputs!A68)</f>
        <v>minimum_pt_time</v>
      </c>
      <c r="D71" s="29" t="str">
        <f>IF(all_global_parameter_inputs!B68="","",all_global_parameter_inputs!B68)</f>
        <v/>
      </c>
      <c r="E71" s="29">
        <f>all_global_parameter_inputs!C68</f>
        <v>5</v>
      </c>
      <c r="F71" s="29">
        <f>IF(OR(D71="alpha",D71="beta",D71="sd",D71="mean"),"--",VLOOKUP(B71,Default!$B:$H,7,FALSE))</f>
        <v>3</v>
      </c>
      <c r="G71" s="29" t="str">
        <f>VLOOKUP(B71,Lookup!$C:$D,2, FALSE)</f>
        <v>Travel values</v>
      </c>
      <c r="H71" s="29" t="str">
        <f>VLOOKUP(B71,Default!$B:$E,4, FALSE)</f>
        <v>minimum time spent on public transport when adding walking component to public transport trip</v>
      </c>
      <c r="I71" t="s">
        <v>232</v>
      </c>
    </row>
    <row r="72" spans="2:9">
      <c r="B72" s="15" t="s">
        <v>213</v>
      </c>
      <c r="C72" s="29" t="str">
        <f>IF(all_global_parameter_inputs!A69="",All_global_list!C71,all_global_parameter_inputs!A69)</f>
        <v>moderate_pa_contribution</v>
      </c>
      <c r="D72" s="29" t="str">
        <f>IF(all_global_parameter_inputs!B69="","",all_global_parameter_inputs!B69)</f>
        <v/>
      </c>
      <c r="E72" s="29">
        <f>all_global_parameter_inputs!C69</f>
        <v>0.5</v>
      </c>
      <c r="F72" s="29">
        <f>IF(OR(D72="alpha",D72="beta",D72="sd",D72="mean"),"--",VLOOKUP(B72,Default!$B:$H,7,FALSE))</f>
        <v>0.5</v>
      </c>
      <c r="G72" s="29" t="str">
        <f>VLOOKUP(B72,Lookup!$C:$D,2, FALSE)</f>
        <v>Health values</v>
      </c>
      <c r="H72" s="29" t="str">
        <f>VLOOKUP(B72,Default!$B:$E,4, FALSE)</f>
        <v>To reverse  time spent in moderate and vigorous activities from mmet values</v>
      </c>
      <c r="I72" t="s">
        <v>232</v>
      </c>
    </row>
  </sheetData>
  <phoneticPr fontId="17"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38"/>
  <sheetViews>
    <sheetView topLeftCell="A17" zoomScale="80" zoomScaleNormal="80" workbookViewId="0">
      <selection activeCell="J39" sqref="J39"/>
    </sheetView>
  </sheetViews>
  <sheetFormatPr baseColWidth="10" defaultColWidth="8.83203125" defaultRowHeight="15"/>
  <cols>
    <col min="1" max="1" width="4.5" customWidth="1"/>
    <col min="2" max="2" width="13.5" style="15" customWidth="1"/>
    <col min="4" max="4" width="36.5" bestFit="1" customWidth="1"/>
    <col min="5" max="5" width="12.5" style="23" customWidth="1"/>
    <col min="6" max="6" width="16.5" customWidth="1"/>
    <col min="7" max="7" width="11.5" customWidth="1"/>
    <col min="8" max="8" width="7.5" customWidth="1"/>
    <col min="9" max="9" width="18" bestFit="1" customWidth="1"/>
  </cols>
  <sheetData>
    <row r="2" spans="2:16">
      <c r="F2" s="25" t="s">
        <v>236</v>
      </c>
      <c r="G2" s="26"/>
      <c r="H2" s="26"/>
      <c r="I2" s="26"/>
      <c r="J2" s="26"/>
      <c r="K2" s="26"/>
      <c r="L2" s="26"/>
      <c r="M2" s="26"/>
      <c r="N2" s="26"/>
      <c r="O2" s="26"/>
      <c r="P2" s="26"/>
    </row>
    <row r="3" spans="2:16">
      <c r="B3" s="15" t="s">
        <v>237</v>
      </c>
    </row>
    <row r="4" spans="2:16" ht="16">
      <c r="B4" s="1" t="s">
        <v>238</v>
      </c>
      <c r="C4" s="3" t="s">
        <v>139</v>
      </c>
      <c r="D4" s="1" t="s">
        <v>135</v>
      </c>
      <c r="E4" s="24" t="s">
        <v>6</v>
      </c>
      <c r="F4" s="1" t="s">
        <v>239</v>
      </c>
      <c r="G4" s="1" t="s">
        <v>240</v>
      </c>
      <c r="H4" s="1" t="s">
        <v>241</v>
      </c>
      <c r="I4" s="1" t="s">
        <v>242</v>
      </c>
      <c r="J4" s="1" t="s">
        <v>140</v>
      </c>
      <c r="K4" s="1" t="s">
        <v>141</v>
      </c>
      <c r="L4" s="1" t="s">
        <v>142</v>
      </c>
    </row>
    <row r="5" spans="2:16" ht="27" customHeight="1">
      <c r="B5" s="16" t="str">
        <f>VLOOKUP(D5,Lookup!$B$5:$C$78,2,FALSE)</f>
        <v>pm_conc_base</v>
      </c>
      <c r="C5" s="108" t="s">
        <v>243</v>
      </c>
      <c r="D5" s="2" t="s">
        <v>244</v>
      </c>
      <c r="E5" s="23" t="s">
        <v>245</v>
      </c>
      <c r="F5" t="s">
        <v>246</v>
      </c>
      <c r="G5" t="s">
        <v>247</v>
      </c>
      <c r="H5" s="44">
        <v>12.69</v>
      </c>
      <c r="I5" t="s">
        <v>248</v>
      </c>
      <c r="J5" s="47" t="s">
        <v>149</v>
      </c>
      <c r="K5" s="18" t="s">
        <v>150</v>
      </c>
      <c r="L5" s="18" t="s">
        <v>249</v>
      </c>
    </row>
    <row r="6" spans="2:16" ht="44" customHeight="1">
      <c r="B6" s="16" t="str">
        <f>VLOOKUP(D6,Lookup!$B$5:$C$78,2,FALSE)</f>
        <v>pm_trans_share</v>
      </c>
      <c r="C6" s="108"/>
      <c r="D6" s="2" t="s">
        <v>250</v>
      </c>
      <c r="E6" s="23" t="s">
        <v>251</v>
      </c>
      <c r="F6" t="s">
        <v>246</v>
      </c>
      <c r="G6" t="s">
        <v>252</v>
      </c>
      <c r="H6" s="41">
        <v>0.42</v>
      </c>
      <c r="I6" t="s">
        <v>253</v>
      </c>
      <c r="J6" s="48" t="s">
        <v>254</v>
      </c>
      <c r="K6" s="18" t="s">
        <v>255</v>
      </c>
      <c r="L6" s="18" t="s">
        <v>249</v>
      </c>
    </row>
    <row r="7" spans="2:16" ht="43.25" customHeight="1">
      <c r="B7" s="16" t="str">
        <f>VLOOKUP(D7,Lookup!$B$5:$C$78,2,FALSE)</f>
        <v>PM_emission_confidence</v>
      </c>
      <c r="C7" s="108"/>
      <c r="D7" t="s">
        <v>256</v>
      </c>
      <c r="E7" s="23" t="s">
        <v>257</v>
      </c>
      <c r="F7" t="s">
        <v>246</v>
      </c>
      <c r="G7" t="s">
        <v>258</v>
      </c>
      <c r="H7">
        <v>1</v>
      </c>
      <c r="I7" t="s">
        <v>253</v>
      </c>
      <c r="J7" s="18" t="s">
        <v>259</v>
      </c>
      <c r="K7" s="19"/>
      <c r="L7" s="18"/>
    </row>
    <row r="8" spans="2:16">
      <c r="B8" s="15" t="s">
        <v>260</v>
      </c>
      <c r="C8" s="108"/>
      <c r="D8" t="s">
        <v>261</v>
      </c>
      <c r="E8" s="109" t="s">
        <v>262</v>
      </c>
      <c r="F8" s="111" t="s">
        <v>263</v>
      </c>
      <c r="G8" t="s">
        <v>258</v>
      </c>
      <c r="H8" s="41">
        <v>2.3031654375338189E-3</v>
      </c>
      <c r="I8" t="s">
        <v>253</v>
      </c>
      <c r="J8" s="49" t="s">
        <v>144</v>
      </c>
      <c r="K8" s="18" t="s">
        <v>145</v>
      </c>
      <c r="L8" s="18" t="s">
        <v>249</v>
      </c>
    </row>
    <row r="9" spans="2:16">
      <c r="B9" s="15" t="s">
        <v>264</v>
      </c>
      <c r="C9" s="108"/>
      <c r="D9" t="s">
        <v>265</v>
      </c>
      <c r="E9" s="109"/>
      <c r="F9" s="111"/>
      <c r="G9" t="s">
        <v>258</v>
      </c>
      <c r="H9" s="41">
        <v>8.1980352806225759E-2</v>
      </c>
      <c r="I9" t="s">
        <v>253</v>
      </c>
      <c r="J9" s="49" t="s">
        <v>144</v>
      </c>
      <c r="K9" s="18" t="s">
        <v>266</v>
      </c>
      <c r="L9" s="18" t="s">
        <v>249</v>
      </c>
    </row>
    <row r="10" spans="2:16">
      <c r="B10" s="15" t="s">
        <v>267</v>
      </c>
      <c r="C10" s="108"/>
      <c r="D10" t="s">
        <v>268</v>
      </c>
      <c r="E10" s="109"/>
      <c r="F10" s="111"/>
      <c r="G10" t="s">
        <v>258</v>
      </c>
      <c r="H10" s="41">
        <v>0.12246677425253254</v>
      </c>
      <c r="I10" t="s">
        <v>253</v>
      </c>
      <c r="J10" s="49" t="s">
        <v>144</v>
      </c>
      <c r="K10" s="18" t="s">
        <v>269</v>
      </c>
      <c r="L10" s="18" t="s">
        <v>249</v>
      </c>
    </row>
    <row r="11" spans="2:16">
      <c r="B11" s="15" t="s">
        <v>270</v>
      </c>
      <c r="C11" s="108"/>
      <c r="D11" t="s">
        <v>271</v>
      </c>
      <c r="E11" s="109"/>
      <c r="F11" s="111"/>
      <c r="G11" t="s">
        <v>258</v>
      </c>
      <c r="H11" s="41">
        <v>0.45445403783708543</v>
      </c>
      <c r="I11" t="s">
        <v>253</v>
      </c>
      <c r="J11" s="49" t="s">
        <v>144</v>
      </c>
      <c r="K11" s="18" t="s">
        <v>272</v>
      </c>
      <c r="L11" s="18" t="s">
        <v>249</v>
      </c>
    </row>
    <row r="12" spans="2:16">
      <c r="B12" s="15" t="s">
        <v>273</v>
      </c>
      <c r="C12" s="108"/>
      <c r="D12" t="s">
        <v>274</v>
      </c>
      <c r="E12" s="109"/>
      <c r="F12" s="111"/>
      <c r="G12" t="s">
        <v>258</v>
      </c>
      <c r="H12" s="41">
        <v>0.33879566966662278</v>
      </c>
      <c r="I12" t="s">
        <v>253</v>
      </c>
      <c r="J12" s="49" t="s">
        <v>144</v>
      </c>
      <c r="K12" s="18" t="s">
        <v>275</v>
      </c>
      <c r="L12" s="18" t="s">
        <v>249</v>
      </c>
    </row>
    <row r="13" spans="2:16">
      <c r="B13" s="15" t="s">
        <v>276</v>
      </c>
      <c r="C13" s="108"/>
      <c r="D13" t="s">
        <v>277</v>
      </c>
      <c r="E13" s="109"/>
      <c r="F13" s="111"/>
      <c r="G13" t="s">
        <v>258</v>
      </c>
      <c r="H13" s="41">
        <v>0</v>
      </c>
      <c r="I13" t="s">
        <v>253</v>
      </c>
      <c r="J13" s="49" t="s">
        <v>144</v>
      </c>
      <c r="K13" s="18" t="s">
        <v>278</v>
      </c>
      <c r="L13" s="18" t="s">
        <v>249</v>
      </c>
    </row>
    <row r="14" spans="2:16">
      <c r="B14" s="15" t="s">
        <v>279</v>
      </c>
      <c r="C14" s="108"/>
      <c r="D14" t="s">
        <v>280</v>
      </c>
      <c r="E14" s="109"/>
      <c r="F14" s="111"/>
      <c r="G14" t="s">
        <v>258</v>
      </c>
      <c r="H14" s="41">
        <v>0</v>
      </c>
      <c r="I14" t="s">
        <v>253</v>
      </c>
      <c r="J14" s="49" t="s">
        <v>144</v>
      </c>
      <c r="K14" s="18" t="s">
        <v>281</v>
      </c>
      <c r="L14" s="18" t="s">
        <v>249</v>
      </c>
    </row>
    <row r="15" spans="2:16">
      <c r="B15" s="15" t="s">
        <v>282</v>
      </c>
      <c r="C15" s="108"/>
      <c r="D15" t="s">
        <v>283</v>
      </c>
      <c r="E15" s="109"/>
      <c r="F15" s="111"/>
      <c r="G15" t="s">
        <v>258</v>
      </c>
      <c r="H15" s="41">
        <v>0</v>
      </c>
      <c r="I15" t="s">
        <v>253</v>
      </c>
      <c r="J15" s="49" t="s">
        <v>144</v>
      </c>
      <c r="K15" s="18" t="s">
        <v>284</v>
      </c>
      <c r="L15" s="18" t="s">
        <v>249</v>
      </c>
    </row>
    <row r="16" spans="2:16">
      <c r="B16" s="15" t="s">
        <v>285</v>
      </c>
      <c r="C16" s="108"/>
      <c r="D16" t="s">
        <v>286</v>
      </c>
      <c r="E16" s="109"/>
      <c r="F16" s="111"/>
      <c r="G16" t="s">
        <v>258</v>
      </c>
      <c r="H16" s="41">
        <v>0</v>
      </c>
      <c r="I16" t="s">
        <v>253</v>
      </c>
      <c r="J16" s="49" t="s">
        <v>144</v>
      </c>
      <c r="K16" s="18" t="s">
        <v>287</v>
      </c>
      <c r="L16" s="18" t="s">
        <v>249</v>
      </c>
    </row>
    <row r="17" spans="2:12" ht="52.25" customHeight="1">
      <c r="B17" s="16" t="str">
        <f>VLOOKUP(D17,Lookup!$B$5:$C$78,2,FALSE)</f>
        <v>CO2_emission_confidence</v>
      </c>
      <c r="C17" s="108"/>
      <c r="D17" t="s">
        <v>288</v>
      </c>
      <c r="E17" s="23" t="s">
        <v>289</v>
      </c>
      <c r="F17" t="s">
        <v>246</v>
      </c>
      <c r="G17" t="s">
        <v>258</v>
      </c>
      <c r="H17">
        <v>1</v>
      </c>
      <c r="I17" t="s">
        <v>253</v>
      </c>
      <c r="J17" s="18" t="s">
        <v>259</v>
      </c>
      <c r="K17" s="19"/>
      <c r="L17" s="18"/>
    </row>
    <row r="18" spans="2:12">
      <c r="B18" s="15" t="s">
        <v>290</v>
      </c>
      <c r="C18" s="108"/>
      <c r="D18" t="s">
        <v>291</v>
      </c>
      <c r="E18" s="109" t="s">
        <v>292</v>
      </c>
      <c r="F18" s="111" t="s">
        <v>263</v>
      </c>
      <c r="G18" t="s">
        <v>258</v>
      </c>
      <c r="H18" s="41">
        <v>30033.571810000001</v>
      </c>
      <c r="I18" t="s">
        <v>253</v>
      </c>
      <c r="J18" s="49" t="s">
        <v>144</v>
      </c>
      <c r="K18" s="18" t="s">
        <v>145</v>
      </c>
      <c r="L18" s="18" t="s">
        <v>249</v>
      </c>
    </row>
    <row r="19" spans="2:12">
      <c r="B19" s="15" t="s">
        <v>293</v>
      </c>
      <c r="C19" s="108"/>
      <c r="D19" t="s">
        <v>294</v>
      </c>
      <c r="E19" s="109"/>
      <c r="F19" s="111"/>
      <c r="G19" t="s">
        <v>258</v>
      </c>
      <c r="H19" s="41">
        <v>1033377.341</v>
      </c>
      <c r="I19" t="s">
        <v>253</v>
      </c>
      <c r="J19" s="49" t="s">
        <v>144</v>
      </c>
      <c r="K19" s="18" t="s">
        <v>266</v>
      </c>
      <c r="L19" s="18" t="s">
        <v>249</v>
      </c>
    </row>
    <row r="20" spans="2:12">
      <c r="B20" s="15" t="s">
        <v>295</v>
      </c>
      <c r="C20" s="108"/>
      <c r="D20" t="s">
        <v>296</v>
      </c>
      <c r="E20" s="109"/>
      <c r="F20" s="111"/>
      <c r="G20" t="s">
        <v>258</v>
      </c>
      <c r="H20" s="41">
        <v>100429.7216</v>
      </c>
      <c r="I20" t="s">
        <v>253</v>
      </c>
      <c r="J20" s="49" t="s">
        <v>144</v>
      </c>
      <c r="K20" s="18" t="s">
        <v>269</v>
      </c>
      <c r="L20" s="18" t="s">
        <v>249</v>
      </c>
    </row>
    <row r="21" spans="2:12">
      <c r="B21" s="15" t="s">
        <v>297</v>
      </c>
      <c r="C21" s="108"/>
      <c r="D21" t="s">
        <v>298</v>
      </c>
      <c r="E21" s="109"/>
      <c r="F21" s="111"/>
      <c r="G21" t="s">
        <v>258</v>
      </c>
      <c r="H21" s="41">
        <v>259655.32449999999</v>
      </c>
      <c r="I21" t="s">
        <v>253</v>
      </c>
      <c r="J21" s="49" t="s">
        <v>144</v>
      </c>
      <c r="K21" s="18" t="s">
        <v>272</v>
      </c>
      <c r="L21" s="18" t="s">
        <v>249</v>
      </c>
    </row>
    <row r="22" spans="2:12">
      <c r="B22" s="15" t="s">
        <v>299</v>
      </c>
      <c r="C22" s="108"/>
      <c r="D22" t="s">
        <v>300</v>
      </c>
      <c r="E22" s="109"/>
      <c r="F22" s="111"/>
      <c r="G22" t="s">
        <v>258</v>
      </c>
      <c r="H22" s="41">
        <v>163516.11319999999</v>
      </c>
      <c r="I22" t="s">
        <v>253</v>
      </c>
      <c r="J22" s="49" t="s">
        <v>144</v>
      </c>
      <c r="K22" s="18" t="s">
        <v>275</v>
      </c>
      <c r="L22" s="18" t="s">
        <v>249</v>
      </c>
    </row>
    <row r="23" spans="2:12">
      <c r="B23" s="15" t="s">
        <v>301</v>
      </c>
      <c r="C23" s="108"/>
      <c r="D23" t="s">
        <v>302</v>
      </c>
      <c r="E23" s="109"/>
      <c r="F23" s="111"/>
      <c r="G23" t="s">
        <v>258</v>
      </c>
      <c r="H23" s="41">
        <v>0</v>
      </c>
      <c r="I23" t="s">
        <v>253</v>
      </c>
      <c r="J23" s="49" t="s">
        <v>144</v>
      </c>
      <c r="K23" s="18" t="s">
        <v>278</v>
      </c>
      <c r="L23" s="18" t="s">
        <v>249</v>
      </c>
    </row>
    <row r="24" spans="2:12">
      <c r="B24" s="15" t="s">
        <v>303</v>
      </c>
      <c r="C24" s="108"/>
      <c r="D24" t="s">
        <v>304</v>
      </c>
      <c r="E24" s="109"/>
      <c r="F24" s="111"/>
      <c r="G24" t="s">
        <v>258</v>
      </c>
      <c r="H24" s="41">
        <v>1906.893448</v>
      </c>
      <c r="I24" t="s">
        <v>253</v>
      </c>
      <c r="J24" s="49" t="s">
        <v>144</v>
      </c>
      <c r="K24" s="18" t="s">
        <v>281</v>
      </c>
      <c r="L24" s="18" t="s">
        <v>249</v>
      </c>
    </row>
    <row r="25" spans="2:12">
      <c r="B25" s="15" t="s">
        <v>305</v>
      </c>
      <c r="C25" s="108"/>
      <c r="D25" t="s">
        <v>306</v>
      </c>
      <c r="E25" s="109"/>
      <c r="F25" s="111"/>
      <c r="G25" t="s">
        <v>258</v>
      </c>
      <c r="H25" s="41">
        <v>0</v>
      </c>
      <c r="I25" t="s">
        <v>253</v>
      </c>
      <c r="J25" s="49" t="s">
        <v>144</v>
      </c>
      <c r="K25" s="18" t="s">
        <v>284</v>
      </c>
      <c r="L25" s="18" t="s">
        <v>249</v>
      </c>
    </row>
    <row r="26" spans="2:12">
      <c r="B26" s="15" t="s">
        <v>307</v>
      </c>
      <c r="C26" s="108"/>
      <c r="D26" t="s">
        <v>308</v>
      </c>
      <c r="E26" s="109"/>
      <c r="F26" s="111"/>
      <c r="G26" t="s">
        <v>258</v>
      </c>
      <c r="H26" s="41">
        <v>0</v>
      </c>
      <c r="I26" t="s">
        <v>253</v>
      </c>
      <c r="J26" s="49" t="s">
        <v>144</v>
      </c>
      <c r="K26" s="18" t="s">
        <v>287</v>
      </c>
      <c r="L26" s="18"/>
    </row>
    <row r="27" spans="2:12" ht="96">
      <c r="B27" s="16" t="str">
        <f>VLOOKUP(D27,Lookup!$B$5:$C$78,2,FALSE)</f>
        <v>treat_taxi_as_car</v>
      </c>
      <c r="C27" s="108"/>
      <c r="D27" t="s">
        <v>573</v>
      </c>
      <c r="E27" s="69" t="s">
        <v>574</v>
      </c>
      <c r="F27" s="70" t="s">
        <v>575</v>
      </c>
      <c r="G27" t="s">
        <v>367</v>
      </c>
      <c r="H27" s="41" t="s">
        <v>126</v>
      </c>
      <c r="I27" t="s">
        <v>253</v>
      </c>
      <c r="J27" s="49"/>
      <c r="K27" s="18"/>
      <c r="L27" s="18"/>
    </row>
    <row r="28" spans="2:12">
      <c r="C28" s="2"/>
      <c r="J28" s="18"/>
      <c r="K28" s="18"/>
      <c r="L28" s="18"/>
    </row>
    <row r="29" spans="2:12" ht="37.25" customHeight="1">
      <c r="B29" s="16" t="str">
        <f>VLOOKUP(D29,Lookup!$B$5:$C$78,2,FALSE)</f>
        <v>background_pa_confidence</v>
      </c>
      <c r="C29" s="108" t="s">
        <v>309</v>
      </c>
      <c r="D29" s="2" t="s">
        <v>310</v>
      </c>
      <c r="E29" s="23" t="s">
        <v>311</v>
      </c>
      <c r="F29" t="s">
        <v>263</v>
      </c>
      <c r="G29" t="s">
        <v>312</v>
      </c>
      <c r="H29">
        <v>1</v>
      </c>
      <c r="I29" t="s">
        <v>253</v>
      </c>
      <c r="J29" s="18" t="s">
        <v>313</v>
      </c>
      <c r="K29" s="18"/>
      <c r="L29" s="18"/>
    </row>
    <row r="30" spans="2:12" ht="23" customHeight="1">
      <c r="B30" s="16" t="str">
        <f>VLOOKUP(D30,Lookup!$B$5:$C$78,2,FALSE)</f>
        <v>background_pa_scalar</v>
      </c>
      <c r="C30" s="108"/>
      <c r="D30" s="2" t="s">
        <v>314</v>
      </c>
      <c r="E30" s="23" t="s">
        <v>315</v>
      </c>
      <c r="F30" t="s">
        <v>263</v>
      </c>
      <c r="G30" t="s">
        <v>247</v>
      </c>
      <c r="H30">
        <v>1</v>
      </c>
      <c r="I30" t="s">
        <v>253</v>
      </c>
      <c r="J30" s="18" t="s">
        <v>316</v>
      </c>
      <c r="K30" s="18"/>
      <c r="L30" s="18"/>
    </row>
    <row r="31" spans="2:12" ht="30" customHeight="1">
      <c r="B31" s="16" t="str">
        <f>VLOOKUP(D31,Lookup!$B$5:$C$78,2,FALSE)</f>
        <v>cycling_mmet</v>
      </c>
      <c r="C31" s="108"/>
      <c r="D31" s="2" t="s">
        <v>587</v>
      </c>
      <c r="E31" s="23" t="s">
        <v>596</v>
      </c>
      <c r="F31" t="s">
        <v>317</v>
      </c>
      <c r="G31" t="s">
        <v>247</v>
      </c>
      <c r="H31">
        <v>5.8</v>
      </c>
      <c r="I31" t="s">
        <v>318</v>
      </c>
      <c r="J31" s="18" t="s">
        <v>319</v>
      </c>
      <c r="K31" s="18" t="s">
        <v>320</v>
      </c>
      <c r="L31" s="18"/>
    </row>
    <row r="32" spans="2:12" ht="17" customHeight="1">
      <c r="B32" s="16" t="str">
        <f>VLOOKUP(D32,Lookup!$B$5:$C$78,2,FALSE)</f>
        <v>walking_mmet</v>
      </c>
      <c r="C32" s="108"/>
      <c r="D32" s="2" t="s">
        <v>588</v>
      </c>
      <c r="E32" s="23" t="s">
        <v>597</v>
      </c>
      <c r="F32" t="s">
        <v>317</v>
      </c>
      <c r="G32" t="s">
        <v>247</v>
      </c>
      <c r="H32">
        <v>2.5</v>
      </c>
      <c r="I32" t="s">
        <v>318</v>
      </c>
      <c r="J32" s="18" t="s">
        <v>321</v>
      </c>
      <c r="K32" s="18" t="s">
        <v>322</v>
      </c>
      <c r="L32" s="18"/>
    </row>
    <row r="33" spans="2:12" ht="17" customHeight="1">
      <c r="B33" s="16" t="str">
        <f>VLOOKUP(D33,Lookup!$B$5:$C$78,2,FALSE)</f>
        <v>passenger_mmet</v>
      </c>
      <c r="C33" s="108"/>
      <c r="D33" s="2" t="s">
        <v>589</v>
      </c>
      <c r="E33" s="23" t="s">
        <v>598</v>
      </c>
      <c r="F33" t="s">
        <v>317</v>
      </c>
      <c r="G33" t="s">
        <v>247</v>
      </c>
      <c r="H33">
        <v>0.3</v>
      </c>
      <c r="I33" t="s">
        <v>318</v>
      </c>
      <c r="J33" s="18" t="s">
        <v>323</v>
      </c>
      <c r="K33" s="18" t="s">
        <v>324</v>
      </c>
      <c r="L33" s="18"/>
    </row>
    <row r="34" spans="2:12" ht="17" customHeight="1">
      <c r="B34" s="16" t="str">
        <f>VLOOKUP(D34,Lookup!$B$5:$C$78,2,FALSE)</f>
        <v>car_driver_mmet</v>
      </c>
      <c r="C34" s="108"/>
      <c r="D34" s="2" t="s">
        <v>590</v>
      </c>
      <c r="E34" s="23" t="s">
        <v>599</v>
      </c>
      <c r="F34" t="s">
        <v>317</v>
      </c>
      <c r="G34" t="s">
        <v>247</v>
      </c>
      <c r="H34">
        <v>1.5</v>
      </c>
      <c r="I34" t="s">
        <v>318</v>
      </c>
      <c r="J34" s="18" t="s">
        <v>325</v>
      </c>
      <c r="K34" s="18" t="s">
        <v>326</v>
      </c>
      <c r="L34" s="18"/>
    </row>
    <row r="35" spans="2:12" ht="17" customHeight="1">
      <c r="B35" s="16" t="str">
        <f>VLOOKUP(D35,Lookup!$B$5:$C$78,2,FALSE)</f>
        <v>motorcyclist_mmet</v>
      </c>
      <c r="C35" s="108"/>
      <c r="D35" s="2" t="s">
        <v>591</v>
      </c>
      <c r="E35" s="23" t="s">
        <v>600</v>
      </c>
      <c r="F35" t="s">
        <v>317</v>
      </c>
      <c r="G35" t="s">
        <v>247</v>
      </c>
      <c r="H35">
        <v>1.8</v>
      </c>
      <c r="I35" t="s">
        <v>318</v>
      </c>
      <c r="J35" s="18" t="s">
        <v>327</v>
      </c>
      <c r="K35" s="18" t="s">
        <v>328</v>
      </c>
      <c r="L35" s="18"/>
    </row>
    <row r="36" spans="2:12" ht="17" customHeight="1">
      <c r="B36" s="16" t="str">
        <f>VLOOKUP(D36,Lookup!$B$5:$C$78,2,FALSE)</f>
        <v>sedentary_activity_mmet</v>
      </c>
      <c r="C36" s="108"/>
      <c r="D36" s="2" t="s">
        <v>592</v>
      </c>
      <c r="E36" s="23" t="s">
        <v>601</v>
      </c>
      <c r="F36" t="s">
        <v>317</v>
      </c>
      <c r="G36" t="s">
        <v>247</v>
      </c>
      <c r="H36">
        <v>0.3</v>
      </c>
      <c r="I36" t="s">
        <v>318</v>
      </c>
      <c r="J36" s="18" t="s">
        <v>329</v>
      </c>
      <c r="K36" s="18" t="s">
        <v>330</v>
      </c>
      <c r="L36" s="18"/>
    </row>
    <row r="37" spans="2:12" ht="17" customHeight="1">
      <c r="B37" s="16" t="str">
        <f>VLOOKUP(D37,Lookup!$B$5:$C$78,2,FALSE)</f>
        <v>light_activity_mmet</v>
      </c>
      <c r="C37" s="108"/>
      <c r="D37" s="2" t="s">
        <v>593</v>
      </c>
      <c r="E37" s="23" t="s">
        <v>602</v>
      </c>
      <c r="F37" t="s">
        <v>317</v>
      </c>
      <c r="G37" t="s">
        <v>247</v>
      </c>
      <c r="H37">
        <v>1</v>
      </c>
      <c r="I37" t="s">
        <v>318</v>
      </c>
      <c r="J37" s="18" t="s">
        <v>331</v>
      </c>
      <c r="K37" s="18" t="s">
        <v>330</v>
      </c>
      <c r="L37" s="18"/>
    </row>
    <row r="38" spans="2:12" ht="17" customHeight="1">
      <c r="B38" s="16" t="str">
        <f>VLOOKUP(D38,Lookup!$B$5:$C$78,2,FALSE)</f>
        <v>moderate_pa_mmet</v>
      </c>
      <c r="C38" s="108"/>
      <c r="D38" s="2" t="s">
        <v>594</v>
      </c>
      <c r="E38" s="23" t="s">
        <v>603</v>
      </c>
      <c r="F38" t="s">
        <v>317</v>
      </c>
      <c r="G38" t="s">
        <v>247</v>
      </c>
      <c r="H38">
        <v>3</v>
      </c>
      <c r="I38" t="s">
        <v>318</v>
      </c>
      <c r="J38" s="18" t="s">
        <v>332</v>
      </c>
      <c r="K38" s="18" t="s">
        <v>333</v>
      </c>
      <c r="L38" s="18"/>
    </row>
    <row r="39" spans="2:12" ht="17" customHeight="1">
      <c r="B39" s="16" t="str">
        <f>VLOOKUP(D39,Lookup!$B$5:$C$78,2,FALSE)</f>
        <v>vigorous_pa_mmet</v>
      </c>
      <c r="C39" s="108"/>
      <c r="D39" s="2" t="s">
        <v>595</v>
      </c>
      <c r="E39" s="23" t="s">
        <v>604</v>
      </c>
      <c r="F39" t="s">
        <v>317</v>
      </c>
      <c r="G39" t="s">
        <v>247</v>
      </c>
      <c r="H39">
        <v>7</v>
      </c>
      <c r="I39" t="s">
        <v>318</v>
      </c>
      <c r="J39" s="18" t="s">
        <v>332</v>
      </c>
      <c r="K39" s="18" t="s">
        <v>333</v>
      </c>
      <c r="L39" s="18"/>
    </row>
    <row r="40" spans="2:12" ht="17" customHeight="1">
      <c r="B40" s="16" t="str">
        <f>VLOOKUP(D40,Lookup!$B$5:$C$78,2,FALSE)</f>
        <v>moderate_pa_contribution</v>
      </c>
      <c r="C40" s="108"/>
      <c r="D40" t="s">
        <v>334</v>
      </c>
      <c r="E40" s="45" t="s">
        <v>335</v>
      </c>
      <c r="F40" t="s">
        <v>317</v>
      </c>
      <c r="G40" t="s">
        <v>336</v>
      </c>
      <c r="H40">
        <v>0.5</v>
      </c>
      <c r="I40" t="s">
        <v>186</v>
      </c>
      <c r="J40" s="18" t="s">
        <v>337</v>
      </c>
      <c r="K40" s="18"/>
      <c r="L40" s="18" t="s">
        <v>338</v>
      </c>
    </row>
    <row r="41" spans="2:12" ht="17" customHeight="1">
      <c r="B41" s="16"/>
      <c r="C41" s="46"/>
      <c r="D41" s="2"/>
      <c r="J41" s="18"/>
      <c r="K41" s="18"/>
      <c r="L41" s="18"/>
    </row>
    <row r="42" spans="2:12" ht="47.75" customHeight="1">
      <c r="B42" s="16" t="str">
        <f>VLOOKUP(D42,Lookup!$B$5:$C$78,2,FALSE)</f>
        <v>bus_walk_time</v>
      </c>
      <c r="C42" s="108" t="s">
        <v>339</v>
      </c>
      <c r="D42" s="2" t="s">
        <v>340</v>
      </c>
      <c r="E42" s="23" t="s">
        <v>341</v>
      </c>
      <c r="F42" t="s">
        <v>342</v>
      </c>
      <c r="G42" t="s">
        <v>247</v>
      </c>
      <c r="H42">
        <v>16</v>
      </c>
      <c r="I42" t="s">
        <v>253</v>
      </c>
      <c r="J42" s="18" t="s">
        <v>155</v>
      </c>
      <c r="K42" s="18" t="s">
        <v>156</v>
      </c>
      <c r="L42" s="18" t="s">
        <v>249</v>
      </c>
    </row>
    <row r="43" spans="2:12" ht="22.25" customHeight="1">
      <c r="B43" s="16" t="str">
        <f>VLOOKUP(D43,Lookup!$B$5:$C$78,2,FALSE)</f>
        <v>rail_walk_time</v>
      </c>
      <c r="C43" s="108"/>
      <c r="D43" t="s">
        <v>343</v>
      </c>
      <c r="E43" s="23" t="s">
        <v>344</v>
      </c>
      <c r="F43" t="s">
        <v>342</v>
      </c>
      <c r="G43" t="s">
        <v>247</v>
      </c>
      <c r="H43">
        <v>12.5</v>
      </c>
      <c r="I43" t="s">
        <v>253</v>
      </c>
      <c r="J43" s="50" t="s">
        <v>157</v>
      </c>
      <c r="K43" s="18" t="s">
        <v>158</v>
      </c>
      <c r="L43" s="18" t="s">
        <v>249</v>
      </c>
    </row>
    <row r="44" spans="2:12" ht="23.75" customHeight="1">
      <c r="B44" s="16" t="str">
        <f>VLOOKUP(D44,Lookup!$B$5:$C$78,2,FALSE)</f>
        <v>day_to_week_scalar</v>
      </c>
      <c r="C44" s="108"/>
      <c r="D44" t="s">
        <v>345</v>
      </c>
      <c r="E44" s="23" t="s">
        <v>346</v>
      </c>
      <c r="F44" t="s">
        <v>317</v>
      </c>
      <c r="G44" t="s">
        <v>258</v>
      </c>
      <c r="H44">
        <v>7</v>
      </c>
      <c r="I44" t="s">
        <v>253</v>
      </c>
      <c r="J44" s="18" t="s">
        <v>347</v>
      </c>
      <c r="K44" s="18"/>
      <c r="L44" s="18"/>
    </row>
    <row r="45" spans="2:12" ht="23.75" customHeight="1">
      <c r="B45" s="16" t="str">
        <f>VLOOKUP(D45,Lookup!$B$5:$C$78,2,FALSE)</f>
        <v>bus_to_passenger_ratio</v>
      </c>
      <c r="C45" s="108"/>
      <c r="D45" s="2" t="s">
        <v>348</v>
      </c>
      <c r="E45" s="23" t="s">
        <v>349</v>
      </c>
      <c r="F45" t="s">
        <v>263</v>
      </c>
      <c r="G45" t="s">
        <v>252</v>
      </c>
      <c r="H45" s="41">
        <v>3.8910505836575897E-2</v>
      </c>
      <c r="I45" t="s">
        <v>253</v>
      </c>
      <c r="J45" s="50" t="s">
        <v>165</v>
      </c>
      <c r="K45" s="51" t="s">
        <v>166</v>
      </c>
      <c r="L45" s="18" t="s">
        <v>249</v>
      </c>
    </row>
    <row r="46" spans="2:12" ht="24" customHeight="1">
      <c r="B46" s="16" t="s">
        <v>106</v>
      </c>
      <c r="C46" s="108"/>
      <c r="D46" s="2" t="s">
        <v>350</v>
      </c>
      <c r="E46" s="23" t="s">
        <v>351</v>
      </c>
      <c r="F46" t="s">
        <v>263</v>
      </c>
      <c r="G46" t="s">
        <v>252</v>
      </c>
      <c r="H46" s="41">
        <v>0.625</v>
      </c>
      <c r="I46" t="s">
        <v>253</v>
      </c>
      <c r="J46" s="47" t="s">
        <v>170</v>
      </c>
      <c r="K46" s="18" t="s">
        <v>171</v>
      </c>
      <c r="L46" s="18" t="s">
        <v>249</v>
      </c>
    </row>
    <row r="47" spans="2:12" ht="29" customHeight="1">
      <c r="B47" s="16" t="str">
        <f>VLOOKUP(D47,Lookup!$B$5:$C$78,2,FALSE)</f>
        <v>truck_to_car_ratio</v>
      </c>
      <c r="C47" s="108"/>
      <c r="D47" s="2" t="s">
        <v>352</v>
      </c>
      <c r="E47" s="23" t="s">
        <v>353</v>
      </c>
      <c r="F47" t="s">
        <v>263</v>
      </c>
      <c r="G47" t="s">
        <v>252</v>
      </c>
      <c r="H47">
        <v>0.3</v>
      </c>
      <c r="I47" t="s">
        <v>253</v>
      </c>
      <c r="J47" s="50" t="s">
        <v>167</v>
      </c>
      <c r="K47" s="18" t="s">
        <v>168</v>
      </c>
      <c r="L47" s="18" t="s">
        <v>249</v>
      </c>
    </row>
    <row r="48" spans="2:12" ht="26.75" customHeight="1">
      <c r="B48" s="16" t="str">
        <f>VLOOKUP(D48,Lookup!$B$5:$C$78,2,FALSE)</f>
        <v>distance_scalar_car_taxi</v>
      </c>
      <c r="C48" s="108"/>
      <c r="D48" s="2" t="s">
        <v>354</v>
      </c>
      <c r="E48" s="23" t="s">
        <v>355</v>
      </c>
      <c r="F48" t="s">
        <v>263</v>
      </c>
      <c r="G48" t="s">
        <v>247</v>
      </c>
      <c r="H48">
        <v>1</v>
      </c>
      <c r="I48" t="s">
        <v>253</v>
      </c>
      <c r="J48" s="18" t="s">
        <v>356</v>
      </c>
      <c r="K48" s="19"/>
      <c r="L48" s="18"/>
    </row>
    <row r="49" spans="2:12" ht="27.5" customHeight="1">
      <c r="B49" s="16" t="str">
        <f>VLOOKUP(D49,Lookup!$B$5:$C$78,2,FALSE)</f>
        <v>distance_scalar_walking</v>
      </c>
      <c r="C49" s="108"/>
      <c r="D49" s="2" t="s">
        <v>357</v>
      </c>
      <c r="E49" s="23" t="s">
        <v>358</v>
      </c>
      <c r="F49" t="s">
        <v>263</v>
      </c>
      <c r="G49" t="s">
        <v>247</v>
      </c>
      <c r="H49">
        <v>1</v>
      </c>
      <c r="I49" t="s">
        <v>253</v>
      </c>
      <c r="J49" s="18" t="s">
        <v>356</v>
      </c>
      <c r="K49" s="18"/>
      <c r="L49" s="18"/>
    </row>
    <row r="50" spans="2:12" ht="23.75" customHeight="1">
      <c r="B50" s="16" t="str">
        <f>VLOOKUP(D50,Lookup!$B$5:$C$78,2,FALSE)</f>
        <v>distance_scalar_pt</v>
      </c>
      <c r="C50" s="108"/>
      <c r="D50" s="2" t="s">
        <v>359</v>
      </c>
      <c r="E50" s="23" t="s">
        <v>360</v>
      </c>
      <c r="F50" t="s">
        <v>263</v>
      </c>
      <c r="G50" t="s">
        <v>247</v>
      </c>
      <c r="H50">
        <v>1</v>
      </c>
      <c r="I50" t="s">
        <v>253</v>
      </c>
      <c r="J50" s="18" t="s">
        <v>356</v>
      </c>
      <c r="K50" s="18"/>
      <c r="L50" s="18"/>
    </row>
    <row r="51" spans="2:12" ht="27" customHeight="1">
      <c r="B51" s="16" t="str">
        <f>VLOOKUP(D51,Lookup!$B$5:$C$78,2,FALSE)</f>
        <v>distance_scalar_cycling</v>
      </c>
      <c r="C51" s="108"/>
      <c r="D51" s="2" t="s">
        <v>361</v>
      </c>
      <c r="E51" s="23" t="s">
        <v>362</v>
      </c>
      <c r="F51" t="s">
        <v>263</v>
      </c>
      <c r="G51" t="s">
        <v>247</v>
      </c>
      <c r="H51">
        <v>1</v>
      </c>
      <c r="I51" t="s">
        <v>253</v>
      </c>
      <c r="J51" s="18" t="s">
        <v>356</v>
      </c>
      <c r="K51" s="18"/>
      <c r="L51" s="18"/>
    </row>
    <row r="52" spans="2:12" ht="23.75" customHeight="1">
      <c r="B52" s="16" t="str">
        <f>VLOOKUP(D52,Lookup!$B$5:$C$78,2,FALSE)</f>
        <v>distance_scalar_motorcycle</v>
      </c>
      <c r="C52" s="108"/>
      <c r="D52" s="2" t="s">
        <v>363</v>
      </c>
      <c r="E52" s="23" t="s">
        <v>364</v>
      </c>
      <c r="F52" t="s">
        <v>263</v>
      </c>
      <c r="G52" t="s">
        <v>247</v>
      </c>
      <c r="H52">
        <v>1</v>
      </c>
      <c r="I52" t="s">
        <v>253</v>
      </c>
      <c r="J52" s="18" t="s">
        <v>356</v>
      </c>
      <c r="K52" s="18"/>
      <c r="L52" s="18"/>
    </row>
    <row r="53" spans="2:12" ht="24.5" customHeight="1">
      <c r="B53" s="16" t="str">
        <f>VLOOKUP(D53,Lookup!$B$5:$C$78,2,FALSE)</f>
        <v>add_truck_drivers</v>
      </c>
      <c r="C53" s="108"/>
      <c r="D53" s="2" t="s">
        <v>365</v>
      </c>
      <c r="E53" s="23" t="s">
        <v>366</v>
      </c>
      <c r="F53" t="s">
        <v>317</v>
      </c>
      <c r="G53" t="s">
        <v>367</v>
      </c>
      <c r="H53" t="s">
        <v>91</v>
      </c>
      <c r="I53" t="s">
        <v>318</v>
      </c>
      <c r="J53" s="20" t="s">
        <v>368</v>
      </c>
      <c r="K53" s="18"/>
      <c r="L53" s="18"/>
    </row>
    <row r="54" spans="2:12" ht="19.25" customHeight="1">
      <c r="B54" s="16" t="str">
        <f>VLOOKUP(D54,Lookup!$B$5:$C$78,2,FALSE)</f>
        <v>add_bus_drivers</v>
      </c>
      <c r="C54" s="108"/>
      <c r="D54" s="2" t="s">
        <v>369</v>
      </c>
      <c r="E54" s="23" t="s">
        <v>370</v>
      </c>
      <c r="F54" t="s">
        <v>317</v>
      </c>
      <c r="G54" t="s">
        <v>367</v>
      </c>
      <c r="H54" t="s">
        <v>91</v>
      </c>
      <c r="I54" t="s">
        <v>318</v>
      </c>
      <c r="J54" s="20" t="s">
        <v>368</v>
      </c>
      <c r="K54" s="18"/>
      <c r="L54" s="18"/>
    </row>
    <row r="55" spans="2:12" ht="22.25" customHeight="1">
      <c r="B55" s="16" t="str">
        <f>VLOOKUP(D55,Lookup!$B$5:$C$78,2,FALSE)</f>
        <v>add_car_drivers</v>
      </c>
      <c r="C55" s="108"/>
      <c r="D55" s="2" t="s">
        <v>371</v>
      </c>
      <c r="E55" s="23" t="s">
        <v>372</v>
      </c>
      <c r="F55" t="s">
        <v>317</v>
      </c>
      <c r="G55" t="s">
        <v>367</v>
      </c>
      <c r="H55" t="s">
        <v>91</v>
      </c>
      <c r="I55" t="s">
        <v>318</v>
      </c>
      <c r="J55" s="20" t="s">
        <v>373</v>
      </c>
      <c r="K55" s="18"/>
      <c r="L55" s="18"/>
    </row>
    <row r="56" spans="2:12" ht="32.75" customHeight="1">
      <c r="B56" s="16" t="str">
        <f>VLOOKUP(D56,Lookup!$B$5:$C$78,2,FALSE)</f>
        <v>add_walk_to_pt_trips</v>
      </c>
      <c r="C56" s="108"/>
      <c r="D56" s="2" t="s">
        <v>374</v>
      </c>
      <c r="E56" s="23" t="s">
        <v>375</v>
      </c>
      <c r="F56" t="s">
        <v>263</v>
      </c>
      <c r="G56" t="s">
        <v>376</v>
      </c>
      <c r="H56" t="s">
        <v>91</v>
      </c>
      <c r="I56" t="s">
        <v>253</v>
      </c>
      <c r="J56" s="18" t="s">
        <v>377</v>
      </c>
      <c r="K56" s="18"/>
      <c r="L56" s="18"/>
    </row>
    <row r="57" spans="2:12" ht="50" customHeight="1">
      <c r="B57" s="16" t="str">
        <f>VLOOKUP(D57,Lookup!$B$5:$C$78,2,FALSE)</f>
        <v>add_personal_motorcycle_trips</v>
      </c>
      <c r="C57" s="108"/>
      <c r="D57" s="2" t="s">
        <v>378</v>
      </c>
      <c r="E57" s="23" t="s">
        <v>379</v>
      </c>
      <c r="G57" t="s">
        <v>380</v>
      </c>
      <c r="H57" t="s">
        <v>88</v>
      </c>
      <c r="I57" t="s">
        <v>253</v>
      </c>
      <c r="J57" s="18" t="s">
        <v>381</v>
      </c>
      <c r="K57" s="18"/>
      <c r="L57" s="18"/>
    </row>
    <row r="58" spans="2:12" ht="32" customHeight="1">
      <c r="B58" s="16" t="str">
        <f>VLOOKUP(D58,Lookup!$B$5:$C$78,2,FALSE)</f>
        <v>proportion_motorcycle_trips</v>
      </c>
      <c r="C58" s="108"/>
      <c r="D58" s="2" t="s">
        <v>382</v>
      </c>
      <c r="E58" s="23" t="s">
        <v>383</v>
      </c>
      <c r="G58" t="s">
        <v>252</v>
      </c>
      <c r="H58">
        <v>0</v>
      </c>
      <c r="I58" t="s">
        <v>253</v>
      </c>
      <c r="J58" s="18" t="s">
        <v>384</v>
      </c>
      <c r="K58" s="18"/>
      <c r="L58" s="18"/>
    </row>
    <row r="59" spans="2:12" ht="30" customHeight="1">
      <c r="B59" s="16" t="str">
        <f>VLOOKUP(D59,Lookup!$B$5:$C$78,2,FALSE)</f>
        <v>add_motorcycle_fleet</v>
      </c>
      <c r="C59" s="108"/>
      <c r="D59" s="2" t="s">
        <v>385</v>
      </c>
      <c r="E59" s="23" t="s">
        <v>386</v>
      </c>
      <c r="F59" t="s">
        <v>263</v>
      </c>
      <c r="G59" t="s">
        <v>367</v>
      </c>
      <c r="H59" t="s">
        <v>91</v>
      </c>
      <c r="I59" t="s">
        <v>253</v>
      </c>
      <c r="J59" s="18" t="s">
        <v>387</v>
      </c>
      <c r="K59" s="18"/>
      <c r="L59" s="18"/>
    </row>
    <row r="60" spans="2:12" ht="38.75" customHeight="1">
      <c r="B60" s="16" t="str">
        <f>VLOOKUP(D60,Lookup!$B$5:$C$78,2,FALSE)</f>
        <v>fleet_to_motorcycle_ratio</v>
      </c>
      <c r="C60" s="108"/>
      <c r="D60" s="2" t="s">
        <v>388</v>
      </c>
      <c r="E60" s="23" t="s">
        <v>389</v>
      </c>
      <c r="F60" t="s">
        <v>263</v>
      </c>
      <c r="G60" t="s">
        <v>252</v>
      </c>
      <c r="H60" s="41">
        <v>0.441176470588235</v>
      </c>
      <c r="I60" t="s">
        <v>253</v>
      </c>
      <c r="J60" s="47" t="s">
        <v>161</v>
      </c>
      <c r="K60" s="18" t="s">
        <v>162</v>
      </c>
      <c r="L60" s="18" t="s">
        <v>249</v>
      </c>
    </row>
    <row r="61" spans="2:12" ht="38.75" customHeight="1">
      <c r="B61" s="16" t="s">
        <v>111</v>
      </c>
      <c r="C61" s="108"/>
      <c r="D61" s="2" t="s">
        <v>390</v>
      </c>
      <c r="E61" s="23" t="s">
        <v>391</v>
      </c>
      <c r="F61" t="s">
        <v>263</v>
      </c>
      <c r="G61" t="s">
        <v>392</v>
      </c>
      <c r="H61">
        <v>0.98</v>
      </c>
      <c r="I61" t="s">
        <v>253</v>
      </c>
      <c r="J61" s="47" t="s">
        <v>393</v>
      </c>
      <c r="K61" s="51" t="s">
        <v>173</v>
      </c>
      <c r="L61" s="18" t="s">
        <v>249</v>
      </c>
    </row>
    <row r="62" spans="2:12" ht="38.75" customHeight="1">
      <c r="B62" s="16" t="s">
        <v>112</v>
      </c>
      <c r="C62" s="108"/>
      <c r="D62" s="2" t="s">
        <v>394</v>
      </c>
      <c r="E62" s="23" t="s">
        <v>395</v>
      </c>
      <c r="F62" t="s">
        <v>263</v>
      </c>
      <c r="G62" t="s">
        <v>380</v>
      </c>
      <c r="H62" t="s">
        <v>396</v>
      </c>
      <c r="I62" t="s">
        <v>253</v>
      </c>
      <c r="J62" s="47" t="s">
        <v>397</v>
      </c>
      <c r="K62" s="51" t="s">
        <v>398</v>
      </c>
      <c r="L62" s="18" t="s">
        <v>249</v>
      </c>
    </row>
    <row r="63" spans="2:12" ht="38.75" customHeight="1">
      <c r="B63" s="16" t="s">
        <v>114</v>
      </c>
      <c r="C63" s="108"/>
      <c r="D63" s="2" t="s">
        <v>399</v>
      </c>
      <c r="E63" s="23" t="s">
        <v>400</v>
      </c>
      <c r="F63" t="s">
        <v>263</v>
      </c>
      <c r="G63" t="s">
        <v>380</v>
      </c>
      <c r="H63" t="s">
        <v>396</v>
      </c>
      <c r="I63" t="s">
        <v>253</v>
      </c>
      <c r="J63" s="47" t="s">
        <v>397</v>
      </c>
      <c r="K63" s="51" t="s">
        <v>398</v>
      </c>
      <c r="L63" s="18" t="s">
        <v>249</v>
      </c>
    </row>
    <row r="64" spans="2:12" ht="38.75" customHeight="1">
      <c r="B64" s="16" t="s">
        <v>116</v>
      </c>
      <c r="C64" s="108"/>
      <c r="D64" s="2" t="s">
        <v>401</v>
      </c>
      <c r="E64" s="23" t="s">
        <v>402</v>
      </c>
      <c r="F64" t="s">
        <v>263</v>
      </c>
      <c r="G64" t="s">
        <v>392</v>
      </c>
      <c r="H64">
        <v>0.98</v>
      </c>
      <c r="I64" t="s">
        <v>253</v>
      </c>
      <c r="J64" s="18" t="s">
        <v>403</v>
      </c>
      <c r="K64" s="18"/>
      <c r="L64" s="18" t="s">
        <v>249</v>
      </c>
    </row>
    <row r="65" spans="2:14" ht="38.75" customHeight="1">
      <c r="B65" s="16" t="s">
        <v>117</v>
      </c>
      <c r="C65" s="108"/>
      <c r="D65" s="2" t="s">
        <v>404</v>
      </c>
      <c r="E65" s="23" t="s">
        <v>405</v>
      </c>
      <c r="F65" t="s">
        <v>263</v>
      </c>
      <c r="G65" t="s">
        <v>380</v>
      </c>
      <c r="H65" t="s">
        <v>406</v>
      </c>
      <c r="I65" t="s">
        <v>253</v>
      </c>
      <c r="J65" s="18" t="s">
        <v>407</v>
      </c>
      <c r="K65" s="18"/>
      <c r="L65" s="18" t="s">
        <v>249</v>
      </c>
    </row>
    <row r="66" spans="2:14" ht="38.75" customHeight="1">
      <c r="B66" s="16" t="s">
        <v>119</v>
      </c>
      <c r="C66" s="108"/>
      <c r="D66" s="2" t="s">
        <v>408</v>
      </c>
      <c r="E66" s="23" t="s">
        <v>409</v>
      </c>
      <c r="F66" t="s">
        <v>263</v>
      </c>
      <c r="G66" t="s">
        <v>380</v>
      </c>
      <c r="H66" t="s">
        <v>406</v>
      </c>
      <c r="I66" t="s">
        <v>253</v>
      </c>
      <c r="J66" s="18" t="s">
        <v>410</v>
      </c>
      <c r="K66" s="18"/>
      <c r="L66" s="18" t="s">
        <v>249</v>
      </c>
    </row>
    <row r="67" spans="2:14" ht="38.75" customHeight="1">
      <c r="B67" s="16" t="s">
        <v>121</v>
      </c>
      <c r="C67" s="108"/>
      <c r="D67" s="2" t="s">
        <v>411</v>
      </c>
      <c r="E67" s="23" t="s">
        <v>412</v>
      </c>
      <c r="F67" t="s">
        <v>263</v>
      </c>
      <c r="G67" t="s">
        <v>392</v>
      </c>
      <c r="H67">
        <v>0.99</v>
      </c>
      <c r="I67" t="s">
        <v>253</v>
      </c>
      <c r="J67" s="47" t="s">
        <v>161</v>
      </c>
      <c r="K67" s="18" t="s">
        <v>162</v>
      </c>
      <c r="L67" s="18" t="s">
        <v>249</v>
      </c>
    </row>
    <row r="68" spans="2:14" ht="38.75" customHeight="1">
      <c r="B68" s="16" t="s">
        <v>122</v>
      </c>
      <c r="C68" s="108"/>
      <c r="D68" s="2" t="s">
        <v>413</v>
      </c>
      <c r="E68" s="23" t="s">
        <v>414</v>
      </c>
      <c r="F68" t="s">
        <v>263</v>
      </c>
      <c r="G68" t="s">
        <v>380</v>
      </c>
      <c r="H68" t="s">
        <v>406</v>
      </c>
      <c r="I68" t="s">
        <v>253</v>
      </c>
      <c r="J68" s="47" t="s">
        <v>161</v>
      </c>
      <c r="K68" s="18" t="s">
        <v>415</v>
      </c>
      <c r="L68" s="18" t="s">
        <v>249</v>
      </c>
    </row>
    <row r="69" spans="2:14" ht="38.75" customHeight="1">
      <c r="B69" s="16" t="s">
        <v>123</v>
      </c>
      <c r="C69" s="108"/>
      <c r="D69" s="2" t="s">
        <v>416</v>
      </c>
      <c r="E69" s="23" t="s">
        <v>417</v>
      </c>
      <c r="F69" t="s">
        <v>263</v>
      </c>
      <c r="G69" t="s">
        <v>380</v>
      </c>
      <c r="H69" t="s">
        <v>406</v>
      </c>
      <c r="I69" t="s">
        <v>253</v>
      </c>
      <c r="J69" s="47" t="s">
        <v>161</v>
      </c>
      <c r="K69" s="18" t="s">
        <v>418</v>
      </c>
      <c r="L69" s="18" t="s">
        <v>249</v>
      </c>
    </row>
    <row r="70" spans="2:14" ht="38.75" customHeight="1">
      <c r="B70" s="16" t="s">
        <v>212</v>
      </c>
      <c r="C70" s="108"/>
      <c r="D70" s="2" t="s">
        <v>419</v>
      </c>
      <c r="E70" s="23" t="s">
        <v>420</v>
      </c>
      <c r="F70" t="s">
        <v>317</v>
      </c>
      <c r="G70" t="s">
        <v>392</v>
      </c>
      <c r="H70">
        <v>3</v>
      </c>
      <c r="I70" t="s">
        <v>318</v>
      </c>
      <c r="J70" s="18" t="s">
        <v>421</v>
      </c>
      <c r="K70" s="18"/>
      <c r="L70" s="18"/>
    </row>
    <row r="71" spans="2:14">
      <c r="B71" s="16" t="s">
        <v>422</v>
      </c>
      <c r="C71" s="108"/>
      <c r="D71" s="2" t="s">
        <v>422</v>
      </c>
      <c r="E71" s="109" t="s">
        <v>423</v>
      </c>
      <c r="F71" s="112" t="s">
        <v>263</v>
      </c>
      <c r="G71" t="s">
        <v>258</v>
      </c>
      <c r="H71" s="41">
        <v>8.1</v>
      </c>
      <c r="I71" s="112" t="s">
        <v>253</v>
      </c>
      <c r="J71" s="26"/>
      <c r="K71" s="20" t="s">
        <v>143</v>
      </c>
      <c r="L71" s="18" t="s">
        <v>249</v>
      </c>
      <c r="N71" s="41"/>
    </row>
    <row r="72" spans="2:14">
      <c r="B72" s="16" t="s">
        <v>424</v>
      </c>
      <c r="C72" s="108"/>
      <c r="D72" s="2" t="s">
        <v>424</v>
      </c>
      <c r="E72" s="110"/>
      <c r="F72" s="112"/>
      <c r="G72" t="s">
        <v>258</v>
      </c>
      <c r="H72" s="41">
        <v>8.1</v>
      </c>
      <c r="I72" s="112"/>
      <c r="J72" s="18"/>
      <c r="K72" s="18"/>
      <c r="L72" s="18" t="s">
        <v>425</v>
      </c>
      <c r="N72" s="41"/>
    </row>
    <row r="73" spans="2:14">
      <c r="B73" s="16" t="s">
        <v>426</v>
      </c>
      <c r="C73" s="108"/>
      <c r="D73" s="2" t="s">
        <v>426</v>
      </c>
      <c r="E73" s="110"/>
      <c r="F73" s="112"/>
      <c r="G73" t="s">
        <v>258</v>
      </c>
      <c r="H73" s="41">
        <v>8.1</v>
      </c>
      <c r="I73" s="112"/>
      <c r="J73" s="18"/>
      <c r="K73" s="18"/>
      <c r="L73" s="18" t="s">
        <v>425</v>
      </c>
      <c r="N73" s="41"/>
    </row>
    <row r="74" spans="2:14">
      <c r="B74" s="16" t="s">
        <v>427</v>
      </c>
      <c r="C74" s="108"/>
      <c r="D74" s="2" t="s">
        <v>427</v>
      </c>
      <c r="E74" s="110"/>
      <c r="F74" s="112"/>
      <c r="G74" t="s">
        <v>258</v>
      </c>
      <c r="H74" s="41">
        <v>8.1</v>
      </c>
      <c r="I74" s="112"/>
      <c r="J74" s="18"/>
      <c r="K74" s="18"/>
      <c r="L74" s="18" t="s">
        <v>425</v>
      </c>
      <c r="N74" s="41"/>
    </row>
    <row r="75" spans="2:14">
      <c r="B75" s="16" t="s">
        <v>428</v>
      </c>
      <c r="C75" s="108"/>
      <c r="D75" s="2" t="s">
        <v>428</v>
      </c>
      <c r="E75" s="110"/>
      <c r="F75" s="112"/>
      <c r="G75" t="s">
        <v>258</v>
      </c>
      <c r="H75" s="41">
        <v>13.8</v>
      </c>
      <c r="I75" s="112"/>
      <c r="J75" s="26"/>
      <c r="K75" s="20" t="s">
        <v>143</v>
      </c>
      <c r="L75" s="18" t="s">
        <v>249</v>
      </c>
      <c r="N75" s="41"/>
    </row>
    <row r="76" spans="2:14">
      <c r="B76" s="16" t="s">
        <v>429</v>
      </c>
      <c r="C76" s="108"/>
      <c r="D76" s="2" t="s">
        <v>429</v>
      </c>
      <c r="E76" s="110"/>
      <c r="F76" s="112"/>
      <c r="G76" t="s">
        <v>258</v>
      </c>
      <c r="H76" s="41">
        <v>13.8</v>
      </c>
      <c r="I76" s="112"/>
      <c r="J76" s="18"/>
      <c r="K76" s="18"/>
      <c r="L76" s="18" t="s">
        <v>430</v>
      </c>
      <c r="N76" s="41"/>
    </row>
    <row r="77" spans="2:14">
      <c r="B77" s="16" t="s">
        <v>431</v>
      </c>
      <c r="C77" s="108"/>
      <c r="D77" s="2" t="s">
        <v>431</v>
      </c>
      <c r="E77" s="110"/>
      <c r="F77" s="112"/>
      <c r="G77" t="s">
        <v>258</v>
      </c>
      <c r="H77" s="41">
        <v>13.8</v>
      </c>
      <c r="I77" s="112"/>
      <c r="J77" s="18"/>
      <c r="K77" s="18"/>
      <c r="L77" s="18" t="s">
        <v>430</v>
      </c>
      <c r="N77" s="41"/>
    </row>
    <row r="78" spans="2:14">
      <c r="B78" s="16" t="s">
        <v>432</v>
      </c>
      <c r="C78" s="108"/>
      <c r="D78" s="2" t="s">
        <v>432</v>
      </c>
      <c r="E78" s="110"/>
      <c r="F78" s="112"/>
      <c r="G78" t="s">
        <v>258</v>
      </c>
      <c r="H78" s="2">
        <v>2.5</v>
      </c>
      <c r="I78" s="112"/>
      <c r="J78" s="26"/>
      <c r="K78" s="20" t="s">
        <v>143</v>
      </c>
      <c r="L78" s="18" t="s">
        <v>249</v>
      </c>
      <c r="N78" s="41"/>
    </row>
    <row r="79" spans="2:14">
      <c r="B79" s="16" t="s">
        <v>433</v>
      </c>
      <c r="C79" s="108"/>
      <c r="D79" s="2" t="s">
        <v>433</v>
      </c>
      <c r="E79" s="110"/>
      <c r="F79" s="112"/>
      <c r="G79" t="s">
        <v>258</v>
      </c>
      <c r="H79" s="2">
        <v>2.5</v>
      </c>
      <c r="I79" s="112"/>
      <c r="J79" s="18"/>
      <c r="K79" s="18"/>
      <c r="L79" s="18" t="s">
        <v>434</v>
      </c>
      <c r="N79" s="41"/>
    </row>
    <row r="80" spans="2:14">
      <c r="B80" s="16" t="s">
        <v>435</v>
      </c>
      <c r="C80" s="108"/>
      <c r="D80" s="2" t="s">
        <v>435</v>
      </c>
      <c r="E80" s="110"/>
      <c r="F80" s="112"/>
      <c r="G80" t="s">
        <v>258</v>
      </c>
      <c r="H80" s="41">
        <v>7.2</v>
      </c>
      <c r="I80" s="112"/>
      <c r="J80" s="26"/>
      <c r="K80" s="20" t="s">
        <v>143</v>
      </c>
      <c r="L80" s="18" t="s">
        <v>436</v>
      </c>
      <c r="N80" s="41"/>
    </row>
    <row r="81" spans="2:14">
      <c r="B81" s="16" t="s">
        <v>437</v>
      </c>
      <c r="C81" s="108"/>
      <c r="D81" s="2" t="s">
        <v>437</v>
      </c>
      <c r="E81" s="110"/>
      <c r="F81" s="112"/>
      <c r="G81" t="s">
        <v>258</v>
      </c>
      <c r="H81" s="41">
        <v>15.2</v>
      </c>
      <c r="I81" s="112"/>
      <c r="J81" s="26"/>
      <c r="K81" s="20" t="s">
        <v>143</v>
      </c>
      <c r="L81" s="18" t="s">
        <v>436</v>
      </c>
      <c r="N81" s="41"/>
    </row>
    <row r="82" spans="2:14">
      <c r="B82" s="16" t="s">
        <v>438</v>
      </c>
      <c r="C82" s="108"/>
      <c r="D82" s="2" t="s">
        <v>438</v>
      </c>
      <c r="E82" s="110"/>
      <c r="F82" s="112"/>
      <c r="G82" t="s">
        <v>258</v>
      </c>
      <c r="H82" s="41">
        <v>8.1</v>
      </c>
      <c r="I82" s="112"/>
      <c r="J82" s="18"/>
      <c r="K82" s="18"/>
      <c r="L82" s="18" t="s">
        <v>425</v>
      </c>
      <c r="N82" s="41"/>
    </row>
    <row r="83" spans="2:14">
      <c r="B83" s="16" t="s">
        <v>439</v>
      </c>
      <c r="C83" s="108"/>
      <c r="D83" s="2" t="s">
        <v>439</v>
      </c>
      <c r="E83" s="110"/>
      <c r="F83" s="112"/>
      <c r="G83" t="s">
        <v>258</v>
      </c>
      <c r="H83" s="2">
        <v>13.8</v>
      </c>
      <c r="I83" s="112"/>
      <c r="J83" s="18"/>
      <c r="K83" s="18"/>
      <c r="L83" s="18" t="s">
        <v>430</v>
      </c>
    </row>
    <row r="84" spans="2:14">
      <c r="B84" s="16" t="s">
        <v>440</v>
      </c>
      <c r="C84" s="108"/>
      <c r="D84" s="2" t="s">
        <v>440</v>
      </c>
      <c r="E84" s="110"/>
      <c r="F84" s="112"/>
      <c r="G84" t="s">
        <v>258</v>
      </c>
      <c r="H84" s="41">
        <v>18.100000000000001</v>
      </c>
      <c r="I84" s="112"/>
      <c r="J84" s="26"/>
      <c r="K84" s="20" t="s">
        <v>143</v>
      </c>
      <c r="L84" s="18" t="s">
        <v>249</v>
      </c>
    </row>
    <row r="85" spans="2:14">
      <c r="B85" s="16" t="s">
        <v>441</v>
      </c>
      <c r="C85" s="108"/>
      <c r="D85" s="2" t="s">
        <v>441</v>
      </c>
      <c r="E85" s="110"/>
      <c r="F85" s="112"/>
      <c r="G85" t="s">
        <v>258</v>
      </c>
      <c r="H85" s="41">
        <v>21.9</v>
      </c>
      <c r="I85" s="112"/>
      <c r="J85" s="26"/>
      <c r="K85" s="20" t="s">
        <v>143</v>
      </c>
      <c r="L85" s="18" t="s">
        <v>249</v>
      </c>
    </row>
    <row r="86" spans="2:14">
      <c r="B86" s="16" t="s">
        <v>442</v>
      </c>
      <c r="C86" s="108"/>
      <c r="D86" s="2" t="s">
        <v>442</v>
      </c>
      <c r="E86" s="110"/>
      <c r="F86" s="112"/>
      <c r="G86" t="s">
        <v>258</v>
      </c>
      <c r="H86" s="2">
        <v>4</v>
      </c>
      <c r="I86" s="112"/>
      <c r="J86" s="26"/>
      <c r="K86" s="20" t="s">
        <v>443</v>
      </c>
      <c r="L86" s="18" t="s">
        <v>444</v>
      </c>
    </row>
    <row r="87" spans="2:14">
      <c r="B87" s="16" t="s">
        <v>445</v>
      </c>
      <c r="C87" s="108"/>
      <c r="D87" s="2" t="s">
        <v>445</v>
      </c>
      <c r="E87" s="110"/>
      <c r="F87" s="112"/>
      <c r="G87" t="s">
        <v>258</v>
      </c>
      <c r="H87" s="41">
        <v>13.8</v>
      </c>
      <c r="I87" s="112"/>
      <c r="J87" s="18"/>
      <c r="K87" s="18"/>
      <c r="L87" s="18" t="s">
        <v>430</v>
      </c>
    </row>
    <row r="88" spans="2:14">
      <c r="B88" s="16" t="s">
        <v>446</v>
      </c>
      <c r="C88" s="108"/>
      <c r="D88" s="2" t="s">
        <v>446</v>
      </c>
      <c r="E88" s="110"/>
      <c r="F88" s="112"/>
      <c r="G88" t="s">
        <v>258</v>
      </c>
      <c r="H88" s="41">
        <v>13.8</v>
      </c>
      <c r="I88" s="112"/>
      <c r="J88" s="18"/>
      <c r="K88" s="18"/>
      <c r="L88" s="18" t="s">
        <v>430</v>
      </c>
    </row>
    <row r="89" spans="2:14">
      <c r="B89" s="16" t="s">
        <v>447</v>
      </c>
      <c r="C89" s="108"/>
      <c r="D89" s="2" t="s">
        <v>447</v>
      </c>
      <c r="E89" s="110"/>
      <c r="F89" s="112"/>
      <c r="G89" t="s">
        <v>258</v>
      </c>
      <c r="H89" s="2">
        <v>4</v>
      </c>
      <c r="I89" s="112"/>
      <c r="J89" s="26"/>
      <c r="K89" s="20"/>
      <c r="L89" s="18" t="s">
        <v>448</v>
      </c>
    </row>
    <row r="90" spans="2:14">
      <c r="B90" s="16" t="s">
        <v>449</v>
      </c>
      <c r="C90" s="108"/>
      <c r="D90" s="2" t="s">
        <v>449</v>
      </c>
      <c r="E90" s="110"/>
      <c r="F90" s="112"/>
      <c r="G90" t="s">
        <v>258</v>
      </c>
      <c r="H90" s="41">
        <v>9.1</v>
      </c>
      <c r="J90" s="26"/>
      <c r="K90" s="20" t="s">
        <v>143</v>
      </c>
      <c r="L90" s="18" t="s">
        <v>249</v>
      </c>
    </row>
    <row r="91" spans="2:14">
      <c r="B91" s="17"/>
      <c r="C91" s="3"/>
      <c r="D91" s="1"/>
      <c r="E91" s="24"/>
      <c r="F91" s="1"/>
      <c r="G91" s="1"/>
      <c r="I91" s="1"/>
      <c r="J91" s="18"/>
      <c r="K91" s="19"/>
      <c r="L91" s="18"/>
    </row>
    <row r="92" spans="2:14" ht="64">
      <c r="B92" s="16" t="str">
        <f>VLOOKUP(D92,Lookup!$B$5:$C$78,2,FALSE)</f>
        <v>pa_dose_response_quantile</v>
      </c>
      <c r="C92" s="108" t="s">
        <v>450</v>
      </c>
      <c r="D92" s="2" t="s">
        <v>451</v>
      </c>
      <c r="E92" s="23" t="s">
        <v>452</v>
      </c>
      <c r="F92" t="s">
        <v>317</v>
      </c>
      <c r="G92" t="s">
        <v>376</v>
      </c>
      <c r="H92" t="s">
        <v>126</v>
      </c>
      <c r="I92" t="s">
        <v>318</v>
      </c>
      <c r="J92" s="18" t="s">
        <v>453</v>
      </c>
      <c r="K92" s="19"/>
      <c r="L92" s="18"/>
    </row>
    <row r="93" spans="2:14" ht="64">
      <c r="B93" s="16" t="str">
        <f>VLOOKUP(D93,Lookup!$B$5:$C$78,2,FALSE)</f>
        <v>ap_dose_response_quantile</v>
      </c>
      <c r="C93" s="108"/>
      <c r="D93" s="2" t="s">
        <v>454</v>
      </c>
      <c r="E93" s="23" t="s">
        <v>452</v>
      </c>
      <c r="F93" t="s">
        <v>317</v>
      </c>
      <c r="G93" t="s">
        <v>376</v>
      </c>
      <c r="H93" t="s">
        <v>126</v>
      </c>
      <c r="I93" t="s">
        <v>318</v>
      </c>
      <c r="J93" s="18" t="s">
        <v>453</v>
      </c>
      <c r="K93" s="18"/>
      <c r="L93" s="18"/>
    </row>
    <row r="94" spans="2:14" ht="32">
      <c r="B94" s="16" t="str">
        <f>VLOOKUP(D94,Lookup!$B$5:$C$78,2,FALSE)</f>
        <v>chronic_disease_scalar</v>
      </c>
      <c r="C94" s="108"/>
      <c r="D94" s="2" t="s">
        <v>455</v>
      </c>
      <c r="E94" s="23" t="s">
        <v>456</v>
      </c>
      <c r="F94" t="s">
        <v>263</v>
      </c>
      <c r="G94" t="s">
        <v>247</v>
      </c>
      <c r="H94">
        <v>1</v>
      </c>
      <c r="I94" t="s">
        <v>253</v>
      </c>
      <c r="J94" s="20" t="s">
        <v>457</v>
      </c>
      <c r="K94" s="18"/>
      <c r="L94" s="18"/>
    </row>
    <row r="95" spans="2:14">
      <c r="B95" s="16"/>
      <c r="C95" s="3"/>
      <c r="D95" s="1"/>
      <c r="E95" s="24"/>
      <c r="F95" s="1"/>
      <c r="G95" s="1"/>
      <c r="I95" s="1"/>
      <c r="J95" s="20"/>
      <c r="K95" s="18"/>
      <c r="L95" s="18"/>
    </row>
    <row r="96" spans="2:14" ht="48">
      <c r="B96" s="16" t="str">
        <f>VLOOKUP(D96,Lookup!$B$5:$C$78,2,FALSE)</f>
        <v>injury_reporting_rate</v>
      </c>
      <c r="C96" s="108" t="s">
        <v>458</v>
      </c>
      <c r="D96" s="2" t="s">
        <v>459</v>
      </c>
      <c r="E96" s="23" t="s">
        <v>460</v>
      </c>
      <c r="F96" t="s">
        <v>263</v>
      </c>
      <c r="G96" t="s">
        <v>252</v>
      </c>
      <c r="H96">
        <v>1</v>
      </c>
      <c r="I96" t="s">
        <v>253</v>
      </c>
      <c r="J96" s="20" t="s">
        <v>461</v>
      </c>
      <c r="K96" s="18"/>
      <c r="L96" s="18"/>
    </row>
    <row r="97" spans="2:12" ht="144">
      <c r="B97" s="16" t="str">
        <f>VLOOKUP(D97,Lookup!$B$5:$C$78,2,FALSE)</f>
        <v>sin_exponent_sum</v>
      </c>
      <c r="C97" s="108"/>
      <c r="D97" s="2" t="s">
        <v>462</v>
      </c>
      <c r="E97" s="23" t="s">
        <v>463</v>
      </c>
      <c r="F97" t="s">
        <v>317</v>
      </c>
      <c r="G97" t="s">
        <v>247</v>
      </c>
      <c r="H97">
        <v>2</v>
      </c>
      <c r="I97" t="s">
        <v>318</v>
      </c>
      <c r="J97" s="20" t="s">
        <v>464</v>
      </c>
      <c r="K97" s="20"/>
      <c r="L97" s="18"/>
    </row>
    <row r="98" spans="2:12" ht="80">
      <c r="B98" s="16" t="str">
        <f>VLOOKUP(D98,Lookup!$B$5:$C$78,2,FALSE)</f>
        <v>casualty_exponent_fraction</v>
      </c>
      <c r="C98" s="108"/>
      <c r="D98" s="2" t="s">
        <v>465</v>
      </c>
      <c r="E98" s="23" t="s">
        <v>466</v>
      </c>
      <c r="F98" t="s">
        <v>317</v>
      </c>
      <c r="G98" t="s">
        <v>252</v>
      </c>
      <c r="H98">
        <v>0.5</v>
      </c>
      <c r="I98" t="s">
        <v>318</v>
      </c>
      <c r="J98" s="20" t="s">
        <v>467</v>
      </c>
      <c r="K98" s="18"/>
      <c r="L98" s="18"/>
    </row>
    <row r="99" spans="2:12" ht="48" customHeight="1">
      <c r="B99" s="16" t="str">
        <f>VLOOKUP(D99,Lookup!$B$5:$C$78,2,FALSE)</f>
        <v>sin_exponent_sum_nov</v>
      </c>
      <c r="C99" s="108"/>
      <c r="D99" s="2" t="s">
        <v>468</v>
      </c>
      <c r="E99" s="23" t="s">
        <v>469</v>
      </c>
      <c r="F99" t="s">
        <v>317</v>
      </c>
      <c r="G99" t="s">
        <v>247</v>
      </c>
      <c r="H99">
        <v>1</v>
      </c>
      <c r="I99" t="s">
        <v>318</v>
      </c>
      <c r="J99" s="20" t="s">
        <v>470</v>
      </c>
      <c r="K99" s="18"/>
      <c r="L99" s="18"/>
    </row>
    <row r="100" spans="2:12" ht="44.75" customHeight="1">
      <c r="B100" s="16" t="str">
        <f>VLOOKUP(D100,Lookup!$B$5:$C$78,2,FALSE)</f>
        <v>sin_exponent_sum_cycle</v>
      </c>
      <c r="C100" s="108"/>
      <c r="D100" s="2" t="s">
        <v>471</v>
      </c>
      <c r="E100" s="23" t="s">
        <v>472</v>
      </c>
      <c r="F100" t="s">
        <v>317</v>
      </c>
      <c r="G100" t="s">
        <v>247</v>
      </c>
      <c r="H100">
        <v>2</v>
      </c>
      <c r="I100" t="s">
        <v>318</v>
      </c>
      <c r="J100" s="20" t="s">
        <v>464</v>
      </c>
      <c r="K100" s="18"/>
      <c r="L100" s="18"/>
    </row>
    <row r="101" spans="2:12" ht="39" customHeight="1">
      <c r="B101" s="16" t="str">
        <f>VLOOKUP(D101,Lookup!$B$5:$C$78,2,FALSE)</f>
        <v>casualty_exponent_fraction_cycle</v>
      </c>
      <c r="C101" s="108"/>
      <c r="D101" s="2" t="s">
        <v>473</v>
      </c>
      <c r="E101" s="23" t="s">
        <v>474</v>
      </c>
      <c r="F101" t="s">
        <v>317</v>
      </c>
      <c r="G101" t="s">
        <v>252</v>
      </c>
      <c r="H101">
        <v>0.5</v>
      </c>
      <c r="I101" t="s">
        <v>318</v>
      </c>
      <c r="J101" s="20" t="s">
        <v>467</v>
      </c>
      <c r="K101" s="18"/>
      <c r="L101" s="18"/>
    </row>
    <row r="102" spans="2:12" ht="30" customHeight="1">
      <c r="B102" s="16" t="str">
        <f>VLOOKUP(D102,Lookup!$B$5:$C$78,2,FALSE)</f>
        <v>sin_exponent_sum_ped</v>
      </c>
      <c r="C102" s="108"/>
      <c r="D102" s="2" t="s">
        <v>475</v>
      </c>
      <c r="E102" s="23" t="s">
        <v>476</v>
      </c>
      <c r="F102" t="s">
        <v>317</v>
      </c>
      <c r="G102" t="s">
        <v>247</v>
      </c>
      <c r="H102">
        <v>2</v>
      </c>
      <c r="I102" t="s">
        <v>318</v>
      </c>
      <c r="J102" s="20" t="s">
        <v>464</v>
      </c>
      <c r="K102" s="18"/>
      <c r="L102" s="18"/>
    </row>
    <row r="103" spans="2:12" ht="39.5" customHeight="1">
      <c r="B103" s="16" t="str">
        <f>VLOOKUP(D103,Lookup!$B$5:$C$78,2,FALSE)</f>
        <v>casualty_exponent_fraction_ped</v>
      </c>
      <c r="C103" s="108"/>
      <c r="D103" s="2" t="s">
        <v>477</v>
      </c>
      <c r="E103" s="23" t="s">
        <v>478</v>
      </c>
      <c r="F103" t="s">
        <v>317</v>
      </c>
      <c r="G103" t="s">
        <v>252</v>
      </c>
      <c r="H103">
        <v>0.5</v>
      </c>
      <c r="I103" t="s">
        <v>318</v>
      </c>
      <c r="J103" s="20" t="s">
        <v>467</v>
      </c>
      <c r="K103" s="18"/>
      <c r="L103" s="18"/>
    </row>
    <row r="104" spans="2:12" ht="32.75" customHeight="1">
      <c r="B104" s="16" t="str">
        <f>VLOOKUP(D104,Lookup!$B$5:$C$78,2,FALSE)</f>
        <v>sin_exponent_sum_veh</v>
      </c>
      <c r="C104" s="108"/>
      <c r="D104" s="2" t="s">
        <v>479</v>
      </c>
      <c r="E104" s="23" t="s">
        <v>480</v>
      </c>
      <c r="F104" t="s">
        <v>317</v>
      </c>
      <c r="G104" t="s">
        <v>247</v>
      </c>
      <c r="H104">
        <v>2</v>
      </c>
      <c r="I104" t="s">
        <v>318</v>
      </c>
      <c r="J104" s="20" t="s">
        <v>464</v>
      </c>
      <c r="K104" s="18"/>
      <c r="L104" s="18"/>
    </row>
    <row r="105" spans="2:12" ht="31.25" customHeight="1">
      <c r="B105" s="16" t="str">
        <f>VLOOKUP(D105,Lookup!$B$5:$C$78,2,FALSE)</f>
        <v>casualty_exponent_fraction_veh</v>
      </c>
      <c r="C105" s="108"/>
      <c r="D105" s="2" t="s">
        <v>481</v>
      </c>
      <c r="E105" s="23" t="s">
        <v>482</v>
      </c>
      <c r="F105" t="s">
        <v>317</v>
      </c>
      <c r="G105" t="s">
        <v>252</v>
      </c>
      <c r="H105">
        <v>0.5</v>
      </c>
      <c r="I105" t="s">
        <v>318</v>
      </c>
      <c r="J105" s="20" t="s">
        <v>467</v>
      </c>
      <c r="K105" s="18"/>
      <c r="L105" s="18"/>
    </row>
    <row r="106" spans="2:12" ht="31.25" customHeight="1">
      <c r="B106" s="16" t="str">
        <f>VLOOKUP(D106,Lookup!$B$5:$C$78,2,FALSE)</f>
        <v>call_individual_sin</v>
      </c>
      <c r="C106" s="108"/>
      <c r="D106" s="2" t="s">
        <v>483</v>
      </c>
      <c r="E106" s="23" t="s">
        <v>484</v>
      </c>
      <c r="F106" t="s">
        <v>317</v>
      </c>
      <c r="G106" t="s">
        <v>376</v>
      </c>
      <c r="H106" t="s">
        <v>126</v>
      </c>
      <c r="I106" t="s">
        <v>318</v>
      </c>
      <c r="J106" s="18" t="s">
        <v>485</v>
      </c>
      <c r="K106" s="18"/>
      <c r="L106" s="18"/>
    </row>
    <row r="107" spans="2:12">
      <c r="C107" s="3"/>
      <c r="D107" s="1"/>
      <c r="E107" s="24"/>
      <c r="F107" s="1"/>
      <c r="G107" s="1"/>
      <c r="I107" s="1"/>
      <c r="J107" s="18"/>
      <c r="K107" s="18"/>
      <c r="L107" s="18"/>
    </row>
    <row r="108" spans="2:12" ht="66.5" customHeight="1">
      <c r="B108" s="16" t="str">
        <f>VLOOKUP(D108,Lookup!$B$5:$C$78,2,FALSE)</f>
        <v>scenario_name</v>
      </c>
      <c r="C108" s="108" t="s">
        <v>486</v>
      </c>
      <c r="D108" s="2" t="s">
        <v>487</v>
      </c>
      <c r="E108" s="23" t="s">
        <v>488</v>
      </c>
      <c r="F108" t="s">
        <v>489</v>
      </c>
      <c r="G108" t="s">
        <v>376</v>
      </c>
      <c r="H108" t="s">
        <v>490</v>
      </c>
      <c r="I108" t="s">
        <v>318</v>
      </c>
      <c r="J108" s="18" t="s">
        <v>491</v>
      </c>
      <c r="K108" s="18"/>
      <c r="L108" s="18"/>
    </row>
    <row r="109" spans="2:12" ht="192">
      <c r="B109" s="16" t="str">
        <f>VLOOKUP(D109,Lookup!$B$5:$C$78,2,FALSE)</f>
        <v>reference_scenario</v>
      </c>
      <c r="C109" s="108"/>
      <c r="D109" s="2" t="s">
        <v>492</v>
      </c>
      <c r="E109" s="23" t="s">
        <v>493</v>
      </c>
      <c r="F109" t="s">
        <v>494</v>
      </c>
      <c r="G109" t="s">
        <v>495</v>
      </c>
      <c r="H109" s="7" t="s">
        <v>496</v>
      </c>
      <c r="I109" t="s">
        <v>318</v>
      </c>
      <c r="J109" s="18" t="s">
        <v>497</v>
      </c>
      <c r="K109" s="18"/>
      <c r="L109" s="18"/>
    </row>
    <row r="110" spans="2:12">
      <c r="C110" s="3"/>
      <c r="D110" s="1"/>
      <c r="E110" s="24"/>
      <c r="F110" s="1"/>
      <c r="G110" s="1"/>
      <c r="I110" s="1"/>
      <c r="J110" s="18"/>
      <c r="K110" s="18"/>
      <c r="L110" s="18"/>
    </row>
    <row r="111" spans="2:12" ht="30" customHeight="1">
      <c r="B111" s="16" t="str">
        <f>VLOOKUP(D111,Lookup!$B$5:$C$78,2,FALSE)</f>
        <v>country</v>
      </c>
      <c r="C111" s="108" t="s">
        <v>498</v>
      </c>
      <c r="D111" s="2" t="s">
        <v>499</v>
      </c>
      <c r="E111" s="23" t="s">
        <v>500</v>
      </c>
      <c r="F111" t="s">
        <v>501</v>
      </c>
      <c r="G111" t="s">
        <v>495</v>
      </c>
      <c r="H111" s="7" t="s">
        <v>502</v>
      </c>
      <c r="I111" t="s">
        <v>503</v>
      </c>
      <c r="J111" s="18" t="s">
        <v>504</v>
      </c>
      <c r="K111" s="18"/>
      <c r="L111" s="18"/>
    </row>
    <row r="112" spans="2:12" ht="16">
      <c r="B112" s="16" t="str">
        <f>VLOOKUP(D112,Lookup!$B$5:$C$78,2,FALSE)</f>
        <v>continent</v>
      </c>
      <c r="C112" s="108"/>
      <c r="D112" s="2" t="s">
        <v>505</v>
      </c>
      <c r="E112" s="23" t="s">
        <v>109</v>
      </c>
      <c r="F112" t="s">
        <v>501</v>
      </c>
      <c r="G112" t="s">
        <v>495</v>
      </c>
      <c r="H112" s="41" t="s">
        <v>110</v>
      </c>
      <c r="I112" t="s">
        <v>503</v>
      </c>
      <c r="J112" s="18" t="s">
        <v>504</v>
      </c>
      <c r="K112" s="18"/>
      <c r="L112" s="18"/>
    </row>
    <row r="113" spans="2:12" ht="48">
      <c r="B113" s="16" t="str">
        <f>VLOOKUP(D113,Lookup!$B$5:$C$78,2,FALSE)</f>
        <v>dist_cat</v>
      </c>
      <c r="C113" s="108"/>
      <c r="D113" s="2" t="s">
        <v>506</v>
      </c>
      <c r="E113" s="23" t="s">
        <v>507</v>
      </c>
      <c r="F113" t="s">
        <v>317</v>
      </c>
      <c r="G113" t="s">
        <v>508</v>
      </c>
      <c r="H113" s="2" t="s">
        <v>509</v>
      </c>
      <c r="I113" t="s">
        <v>318</v>
      </c>
      <c r="J113" s="18" t="s">
        <v>510</v>
      </c>
      <c r="K113" s="18"/>
      <c r="L113" s="18"/>
    </row>
    <row r="114" spans="2:12" ht="32">
      <c r="B114" s="16" t="str">
        <f>VLOOKUP(D114,Lookup!$B$5:$C$78,2,FALSE)</f>
        <v>age_range</v>
      </c>
      <c r="C114" s="108"/>
      <c r="D114" s="2" t="s">
        <v>511</v>
      </c>
      <c r="E114" s="23" t="s">
        <v>512</v>
      </c>
      <c r="F114" t="s">
        <v>317</v>
      </c>
      <c r="G114" t="s">
        <v>508</v>
      </c>
      <c r="H114" t="s">
        <v>513</v>
      </c>
      <c r="I114" t="s">
        <v>318</v>
      </c>
      <c r="J114" s="18" t="s">
        <v>514</v>
      </c>
      <c r="K114" s="18"/>
      <c r="L114" s="18"/>
    </row>
    <row r="115" spans="2:12">
      <c r="C115" s="2"/>
      <c r="D115" s="2"/>
      <c r="F115" s="2"/>
    </row>
    <row r="116" spans="2:12">
      <c r="B116"/>
      <c r="C116" s="2"/>
    </row>
    <row r="117" spans="2:12">
      <c r="B117"/>
    </row>
    <row r="118" spans="2:12">
      <c r="B118"/>
    </row>
    <row r="119" spans="2:12">
      <c r="B119"/>
    </row>
    <row r="120" spans="2:12">
      <c r="B120"/>
    </row>
    <row r="121" spans="2:12">
      <c r="B121"/>
    </row>
    <row r="122" spans="2:12">
      <c r="B122"/>
    </row>
    <row r="123" spans="2:12">
      <c r="B123"/>
    </row>
    <row r="124" spans="2:12">
      <c r="B124"/>
    </row>
    <row r="125" spans="2:12">
      <c r="B125"/>
    </row>
    <row r="126" spans="2:12">
      <c r="B126"/>
    </row>
    <row r="127" spans="2:12">
      <c r="B127"/>
    </row>
    <row r="135" spans="2:2">
      <c r="B135"/>
    </row>
    <row r="136" spans="2:2">
      <c r="B136"/>
    </row>
    <row r="137" spans="2:2">
      <c r="B137"/>
    </row>
    <row r="138" spans="2:2">
      <c r="B138"/>
    </row>
  </sheetData>
  <mergeCells count="14">
    <mergeCell ref="F8:F16"/>
    <mergeCell ref="F18:F26"/>
    <mergeCell ref="F71:F90"/>
    <mergeCell ref="I71:I89"/>
    <mergeCell ref="C96:C106"/>
    <mergeCell ref="C29:C40"/>
    <mergeCell ref="C111:C114"/>
    <mergeCell ref="C108:C109"/>
    <mergeCell ref="E71:E90"/>
    <mergeCell ref="E8:E16"/>
    <mergeCell ref="E18:E26"/>
    <mergeCell ref="C42:C90"/>
    <mergeCell ref="C92:C94"/>
    <mergeCell ref="C5:C27"/>
  </mergeCells>
  <phoneticPr fontId="8" type="noConversion"/>
  <hyperlinks>
    <hyperlink ref="J5" r:id="rId1" display="https://www.who.int/publications/m/item/who-air-quality-database-2022" xr:uid="{ABBAEEA6-3646-42F8-992C-A3F92DC50D89}"/>
    <hyperlink ref="J8" r:id="rId2" xr:uid="{C786A505-D4E8-43A8-88E0-F4EAFE0C2193}"/>
    <hyperlink ref="J9:J16" r:id="rId3" display="https://edgar.jrc.ec.europa.eu/, obtained values based on private correspondence" xr:uid="{FC80263A-1B96-4E21-AEFA-31309E8E4101}"/>
    <hyperlink ref="J18" r:id="rId4" xr:uid="{F1897AC1-3CAE-45A5-B9EA-84C71D7811E0}"/>
    <hyperlink ref="J19:J26" r:id="rId5" display="https://edgar.jrc.ec.europa.eu/, obtained values based on private correspondence" xr:uid="{E70281F8-0282-435C-9570-984BD8492E63}"/>
    <hyperlink ref="J46" r:id="rId6" display="https://www.autofact.com.co/blog/mi-carro/actividades/carpooling-colombia" xr:uid="{0FA2DE4C-DCAC-487D-8470-D0FD5229C31F}"/>
    <hyperlink ref="J60" r:id="rId7" display="https://scioteca.caf.com/bitstream/handle/123456789/754/CAF LIBRO motos digital.pdf?sequence=1&amp;isAllowed=y" xr:uid="{0002A529-A4FC-4368-8ACE-B3637613E243}"/>
    <hyperlink ref="J67" r:id="rId8" display="https://scioteca.caf.com/bitstream/handle/123456789/754/CAF LIBRO motos digital.pdf?sequence=1&amp;isAllowed=y" xr:uid="{BF8E8939-F8AB-4EA2-A50D-94BEA3DCA361}"/>
    <hyperlink ref="J68" r:id="rId9" display="https://scioteca.caf.com/bitstream/handle/123456789/754/CAF LIBRO motos digital.pdf?sequence=1&amp;isAllowed=y" xr:uid="{FABBC8DB-66A5-41C6-95D2-F4CCBE562462}"/>
    <hyperlink ref="J69" r:id="rId10" display="https://scioteca.caf.com/bitstream/handle/123456789/754/CAF LIBRO motos digital.pdf?sequence=1&amp;isAllowed=y" xr:uid="{257937B7-F74E-4B5C-A9A3-487A2841D523}"/>
    <hyperlink ref="J61" r:id="rId11" display="http://www.despacio.org/hacemos" xr:uid="{207D3284-89F0-482A-B3FE-8AB549511AE2}"/>
    <hyperlink ref="J62" r:id="rId12" xr:uid="{C9E250C3-846D-4C5F-B558-3EDB4F55655A}"/>
    <hyperlink ref="J63" r:id="rId13" xr:uid="{2521201A-7EC8-4929-95D1-7C781C15657B}"/>
  </hyperlinks>
  <pageMargins left="0.7" right="0.7" top="0.75" bottom="0.75" header="0.3" footer="0.3"/>
  <pageSetup orientation="portrait"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L26"/>
  <sheetViews>
    <sheetView workbookViewId="0">
      <selection activeCell="M34" sqref="M34"/>
    </sheetView>
  </sheetViews>
  <sheetFormatPr baseColWidth="10" defaultColWidth="8.83203125" defaultRowHeight="15"/>
  <sheetData>
    <row r="4" spans="2:12">
      <c r="B4" s="1" t="s">
        <v>515</v>
      </c>
    </row>
    <row r="7" spans="2:12">
      <c r="B7" t="s">
        <v>516</v>
      </c>
      <c r="L7" s="31" t="s">
        <v>517</v>
      </c>
    </row>
    <row r="11" spans="2:12">
      <c r="B11" s="1" t="s">
        <v>318</v>
      </c>
    </row>
    <row r="13" spans="2:12">
      <c r="B13" t="s">
        <v>518</v>
      </c>
      <c r="E13" t="s">
        <v>519</v>
      </c>
      <c r="K13" t="s">
        <v>520</v>
      </c>
    </row>
    <row r="16" spans="2:12">
      <c r="B16" s="1" t="s">
        <v>521</v>
      </c>
    </row>
    <row r="18" spans="2:11">
      <c r="B18" t="s">
        <v>522</v>
      </c>
      <c r="E18" t="s">
        <v>523</v>
      </c>
      <c r="K18" t="s">
        <v>524</v>
      </c>
    </row>
    <row r="20" spans="2:11">
      <c r="B20" t="s">
        <v>525</v>
      </c>
      <c r="E20" t="s">
        <v>526</v>
      </c>
    </row>
    <row r="22" spans="2:11">
      <c r="B22" t="s">
        <v>527</v>
      </c>
      <c r="E22" t="s">
        <v>528</v>
      </c>
    </row>
    <row r="24" spans="2:11">
      <c r="B24" t="s">
        <v>529</v>
      </c>
      <c r="E24" t="s">
        <v>530</v>
      </c>
    </row>
    <row r="26" spans="2:11">
      <c r="B26" t="s">
        <v>531</v>
      </c>
      <c r="E26" t="s">
        <v>532</v>
      </c>
    </row>
  </sheetData>
  <phoneticPr fontId="17" type="noConversion"/>
  <hyperlinks>
    <hyperlink ref="L7" r:id="rId1" display="https://www.dropbox.com/home/ITHIM Global/Methods and Processes" xr:uid="{00000000-0004-0000-0700-000000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15694"/>
  <sheetViews>
    <sheetView workbookViewId="0">
      <selection activeCell="L59" sqref="L59"/>
    </sheetView>
  </sheetViews>
  <sheetFormatPr baseColWidth="10" defaultColWidth="8.83203125" defaultRowHeight="15"/>
  <cols>
    <col min="4" max="4" width="22.1640625" bestFit="1" customWidth="1"/>
    <col min="5" max="5" width="19.5" customWidth="1"/>
    <col min="6" max="6" width="4.5" customWidth="1"/>
    <col min="7" max="7" width="17.5" customWidth="1"/>
    <col min="8" max="8" width="16.5" bestFit="1" customWidth="1"/>
  </cols>
  <sheetData>
    <row r="2" spans="2:9">
      <c r="B2" t="s">
        <v>533</v>
      </c>
    </row>
    <row r="3" spans="2:9">
      <c r="B3" t="s">
        <v>534</v>
      </c>
    </row>
    <row r="4" spans="2:9">
      <c r="B4" t="s">
        <v>535</v>
      </c>
    </row>
    <row r="5" spans="2:9">
      <c r="E5" s="1"/>
      <c r="F5" s="1"/>
    </row>
    <row r="6" spans="2:9">
      <c r="C6" s="1" t="s">
        <v>536</v>
      </c>
      <c r="D6" s="1" t="s">
        <v>135</v>
      </c>
      <c r="E6" s="1" t="s">
        <v>503</v>
      </c>
      <c r="F6" s="1" t="s">
        <v>537</v>
      </c>
      <c r="G6" s="1" t="s">
        <v>538</v>
      </c>
    </row>
    <row r="7" spans="2:9">
      <c r="C7" s="5" t="str">
        <f t="shared" ref="C7:C12" si="0">D7&amp;"_"&amp;E7</f>
        <v>PM_emission_inventories_bogota</v>
      </c>
      <c r="D7" s="33" t="s">
        <v>72</v>
      </c>
      <c r="E7" s="25" t="s">
        <v>58</v>
      </c>
      <c r="F7" s="25" t="e">
        <f ca="1">MATCH(C7,All_city_list!$D:$D,0)</f>
        <v>#N/A</v>
      </c>
      <c r="G7" s="4" t="e">
        <f ca="1">"All_city_list!L"&amp;$F7</f>
        <v>#N/A</v>
      </c>
      <c r="H7" s="4" t="e">
        <f ca="1">"All_city_list!M"&amp;$F7</f>
        <v>#N/A</v>
      </c>
      <c r="I7" s="4" t="e">
        <f ca="1">"All_city_list!N"&amp;$F7</f>
        <v>#N/A</v>
      </c>
    </row>
    <row r="8" spans="2:9">
      <c r="C8" s="5" t="str">
        <f t="shared" si="0"/>
        <v>PM_emission_inventories_city2</v>
      </c>
      <c r="D8" s="7" t="s">
        <v>72</v>
      </c>
      <c r="E8" t="s">
        <v>539</v>
      </c>
      <c r="G8" t="e">
        <f ca="1">G7</f>
        <v>#N/A</v>
      </c>
      <c r="H8" t="e">
        <f t="shared" ref="H8:I8" ca="1" si="1">H7</f>
        <v>#N/A</v>
      </c>
      <c r="I8" t="e">
        <f t="shared" ca="1" si="1"/>
        <v>#N/A</v>
      </c>
    </row>
    <row r="9" spans="2:9">
      <c r="C9" s="5" t="str">
        <f t="shared" si="0"/>
        <v>chronic_disease_scalar_bogota</v>
      </c>
      <c r="D9" s="25" t="s">
        <v>79</v>
      </c>
      <c r="E9" s="25" t="s">
        <v>58</v>
      </c>
      <c r="F9" s="25" t="e">
        <f ca="1">MATCH(C9,All_city_list!$D:$D,0)</f>
        <v>#N/A</v>
      </c>
      <c r="G9" s="4" t="e">
        <f t="shared" ref="G9" ca="1" si="2">"All_city_list!L"&amp;F9</f>
        <v>#N/A</v>
      </c>
      <c r="H9" s="4" t="e">
        <f t="shared" ref="H9" ca="1" si="3">"All_city_list!M"&amp;$F9</f>
        <v>#N/A</v>
      </c>
      <c r="I9" s="4" t="e">
        <f t="shared" ref="I9" ca="1" si="4">"All_city_list!N"&amp;$F9</f>
        <v>#N/A</v>
      </c>
    </row>
    <row r="10" spans="2:9">
      <c r="C10" s="5" t="str">
        <f t="shared" si="0"/>
        <v>chronic_disease_scalar_city2</v>
      </c>
      <c r="D10" t="s">
        <v>79</v>
      </c>
      <c r="E10" t="s">
        <v>539</v>
      </c>
      <c r="G10" t="e">
        <f t="shared" ref="G10" ca="1" si="5">G9</f>
        <v>#N/A</v>
      </c>
      <c r="H10" t="e">
        <f t="shared" ref="H10" ca="1" si="6">H9</f>
        <v>#N/A</v>
      </c>
      <c r="I10" t="e">
        <f t="shared" ref="I10" ca="1" si="7">I9</f>
        <v>#N/A</v>
      </c>
    </row>
    <row r="11" spans="2:9">
      <c r="C11" s="5" t="str">
        <f t="shared" si="0"/>
        <v>pm_conc_base_bogota</v>
      </c>
      <c r="D11" s="25" t="s">
        <v>82</v>
      </c>
      <c r="E11" s="25" t="s">
        <v>58</v>
      </c>
      <c r="F11" s="25" t="e">
        <f ca="1">MATCH(C11,All_city_list!$D:$D,0)</f>
        <v>#N/A</v>
      </c>
      <c r="G11" s="4" t="e">
        <f t="shared" ref="G11" ca="1" si="8">"All_city_list!L"&amp;F11</f>
        <v>#N/A</v>
      </c>
      <c r="H11" s="4" t="e">
        <f t="shared" ref="H11" ca="1" si="9">"All_city_list!M"&amp;$F11</f>
        <v>#N/A</v>
      </c>
      <c r="I11" s="4" t="e">
        <f t="shared" ref="I11" ca="1" si="10">"All_city_list!N"&amp;$F11</f>
        <v>#N/A</v>
      </c>
    </row>
    <row r="12" spans="2:9">
      <c r="C12" s="5" t="str">
        <f t="shared" si="0"/>
        <v>pm_conc_base_city2</v>
      </c>
      <c r="D12" t="s">
        <v>82</v>
      </c>
      <c r="E12" t="s">
        <v>539</v>
      </c>
      <c r="G12" t="e">
        <f t="shared" ref="G12" ca="1" si="11">G11</f>
        <v>#N/A</v>
      </c>
      <c r="H12" t="e">
        <f t="shared" ref="H12" ca="1" si="12">H11</f>
        <v>#N/A</v>
      </c>
      <c r="I12" t="e">
        <f t="shared" ref="I12" ca="1" si="13">I11</f>
        <v>#N/A</v>
      </c>
    </row>
    <row r="13" spans="2:9">
      <c r="C13" s="5" t="str">
        <f t="shared" ref="C13:C18" si="14">D13&amp;"_"&amp;E13</f>
        <v>pm_trans_share_bogota</v>
      </c>
      <c r="D13" s="25" t="s">
        <v>83</v>
      </c>
      <c r="E13" s="25" t="s">
        <v>58</v>
      </c>
      <c r="F13" s="25" t="e">
        <f ca="1">MATCH(C13,All_city_list!$D:$D,0)</f>
        <v>#N/A</v>
      </c>
      <c r="G13" s="4" t="e">
        <f t="shared" ref="G13" ca="1" si="15">"All_city_list!L"&amp;F13</f>
        <v>#N/A</v>
      </c>
      <c r="H13" s="4" t="e">
        <f t="shared" ref="H13" ca="1" si="16">"All_city_list!M"&amp;$F13</f>
        <v>#N/A</v>
      </c>
      <c r="I13" s="4" t="e">
        <f t="shared" ref="I13" ca="1" si="17">"All_city_list!N"&amp;$F13</f>
        <v>#N/A</v>
      </c>
    </row>
    <row r="14" spans="2:9">
      <c r="C14" s="5" t="str">
        <f t="shared" si="14"/>
        <v>pm_trans_share_city2</v>
      </c>
      <c r="D14" t="s">
        <v>83</v>
      </c>
      <c r="E14" t="s">
        <v>539</v>
      </c>
      <c r="G14" t="e">
        <f t="shared" ref="G14" ca="1" si="18">G13</f>
        <v>#N/A</v>
      </c>
      <c r="H14" t="e">
        <f t="shared" ref="H14" ca="1" si="19">H13</f>
        <v>#N/A</v>
      </c>
      <c r="I14" t="e">
        <f t="shared" ref="I14" ca="1" si="20">I13</f>
        <v>#N/A</v>
      </c>
    </row>
    <row r="15" spans="2:9">
      <c r="C15" s="5" t="str">
        <f t="shared" si="14"/>
        <v>background_pa_scalar_bogota</v>
      </c>
      <c r="D15" s="25" t="s">
        <v>84</v>
      </c>
      <c r="E15" s="25" t="s">
        <v>58</v>
      </c>
      <c r="F15" s="25" t="e">
        <f ca="1">MATCH(C15,All_city_list!$D:$D,0)</f>
        <v>#N/A</v>
      </c>
      <c r="G15" s="4" t="e">
        <f t="shared" ref="G15" ca="1" si="21">"All_city_list!L"&amp;F15</f>
        <v>#N/A</v>
      </c>
      <c r="H15" s="4" t="e">
        <f t="shared" ref="H15" ca="1" si="22">"All_city_list!M"&amp;$F15</f>
        <v>#N/A</v>
      </c>
      <c r="I15" s="4" t="e">
        <f t="shared" ref="I15" ca="1" si="23">"All_city_list!N"&amp;$F15</f>
        <v>#N/A</v>
      </c>
    </row>
    <row r="16" spans="2:9">
      <c r="C16" s="5" t="str">
        <f t="shared" si="14"/>
        <v>background_pa_scalar_city2</v>
      </c>
      <c r="D16" t="s">
        <v>84</v>
      </c>
      <c r="E16" t="s">
        <v>539</v>
      </c>
      <c r="G16" t="e">
        <f t="shared" ref="G16" ca="1" si="24">G15</f>
        <v>#N/A</v>
      </c>
      <c r="H16" t="e">
        <f t="shared" ref="H16" ca="1" si="25">H15</f>
        <v>#N/A</v>
      </c>
      <c r="I16" t="e">
        <f t="shared" ref="I16" ca="1" si="26">I15</f>
        <v>#N/A</v>
      </c>
    </row>
    <row r="17" spans="3:9">
      <c r="C17" s="5" t="str">
        <f>D17&amp;"_"&amp;E17</f>
        <v>bus_to_passenger_ratio_bogota</v>
      </c>
      <c r="D17" s="25" t="s">
        <v>96</v>
      </c>
      <c r="E17" s="25" t="s">
        <v>58</v>
      </c>
      <c r="F17" s="25" t="e">
        <f ca="1">MATCH(C17,All_city_list!$D:$D,0)</f>
        <v>#N/A</v>
      </c>
      <c r="G17" s="4" t="e">
        <f t="shared" ref="G17" ca="1" si="27">"All_city_list!L"&amp;F17</f>
        <v>#N/A</v>
      </c>
      <c r="H17" s="4" t="e">
        <f t="shared" ref="H17" ca="1" si="28">"All_city_list!M"&amp;$F17</f>
        <v>#N/A</v>
      </c>
      <c r="I17" s="4" t="e">
        <f t="shared" ref="I17" ca="1" si="29">"All_city_list!N"&amp;$F17</f>
        <v>#N/A</v>
      </c>
    </row>
    <row r="18" spans="3:9">
      <c r="C18" s="5" t="str">
        <f t="shared" si="14"/>
        <v>bus_to_passenger_ratio_city2</v>
      </c>
      <c r="D18" t="s">
        <v>96</v>
      </c>
      <c r="E18" t="s">
        <v>539</v>
      </c>
      <c r="G18" t="e">
        <f t="shared" ref="G18" ca="1" si="30">G17</f>
        <v>#N/A</v>
      </c>
      <c r="H18" t="e">
        <f t="shared" ref="H18" ca="1" si="31">H17</f>
        <v>#N/A</v>
      </c>
      <c r="I18" t="e">
        <f t="shared" ref="I18" ca="1" si="32">I17</f>
        <v>#N/A</v>
      </c>
    </row>
    <row r="19" spans="3:9">
      <c r="C19" s="5" t="str">
        <f t="shared" ref="C19:C22" si="33">D19&amp;"_"&amp;E19</f>
        <v>truck_to_car_ratio_bogota</v>
      </c>
      <c r="D19" s="25" t="s">
        <v>97</v>
      </c>
      <c r="E19" s="25" t="s">
        <v>58</v>
      </c>
      <c r="F19" s="25" t="e">
        <f ca="1">MATCH(C19,All_city_list!$D:$D,0)</f>
        <v>#N/A</v>
      </c>
      <c r="G19" s="4" t="e">
        <f t="shared" ref="G19" ca="1" si="34">"All_city_list!L"&amp;F19</f>
        <v>#N/A</v>
      </c>
      <c r="H19" s="4" t="e">
        <f t="shared" ref="H19" ca="1" si="35">"All_city_list!M"&amp;$F19</f>
        <v>#N/A</v>
      </c>
      <c r="I19" s="4" t="e">
        <f t="shared" ref="I19" ca="1" si="36">"All_city_list!N"&amp;$F19</f>
        <v>#N/A</v>
      </c>
    </row>
    <row r="20" spans="3:9">
      <c r="C20" s="5" t="str">
        <f t="shared" si="33"/>
        <v>truck_to_car_ratio_city2</v>
      </c>
      <c r="D20" t="s">
        <v>97</v>
      </c>
      <c r="E20" t="s">
        <v>539</v>
      </c>
      <c r="G20" t="e">
        <f t="shared" ref="G20" ca="1" si="37">G19</f>
        <v>#N/A</v>
      </c>
      <c r="H20" t="e">
        <f t="shared" ref="H20" ca="1" si="38">H19</f>
        <v>#N/A</v>
      </c>
      <c r="I20" t="e">
        <f t="shared" ref="I20" ca="1" si="39">I19</f>
        <v>#N/A</v>
      </c>
    </row>
    <row r="21" spans="3:9">
      <c r="C21" s="5" t="str">
        <f t="shared" si="33"/>
        <v>distance_scalar_car_taxi_bogota</v>
      </c>
      <c r="D21" s="25" t="s">
        <v>99</v>
      </c>
      <c r="E21" s="25" t="s">
        <v>58</v>
      </c>
      <c r="F21" s="25" t="e">
        <f ca="1">MATCH(C21,All_city_list!$D:$D,0)</f>
        <v>#N/A</v>
      </c>
      <c r="G21" s="4" t="e">
        <f t="shared" ref="G21" ca="1" si="40">"All_city_list!L"&amp;F21</f>
        <v>#N/A</v>
      </c>
      <c r="H21" s="4" t="e">
        <f t="shared" ref="H21" ca="1" si="41">"All_city_list!M"&amp;$F21</f>
        <v>#N/A</v>
      </c>
      <c r="I21" s="4" t="e">
        <f t="shared" ref="I21" ca="1" si="42">"All_city_list!N"&amp;$F21</f>
        <v>#N/A</v>
      </c>
    </row>
    <row r="22" spans="3:9">
      <c r="C22" s="5" t="str">
        <f t="shared" si="33"/>
        <v>distance_scalar_car_taxi_city2</v>
      </c>
      <c r="D22" s="7" t="s">
        <v>99</v>
      </c>
      <c r="E22" t="s">
        <v>539</v>
      </c>
      <c r="G22" t="e">
        <f t="shared" ref="G22" ca="1" si="43">G21</f>
        <v>#N/A</v>
      </c>
      <c r="H22" t="e">
        <f t="shared" ref="H22" ca="1" si="44">H21</f>
        <v>#N/A</v>
      </c>
      <c r="I22" t="e">
        <f t="shared" ref="I22" ca="1" si="45">I21</f>
        <v>#N/A</v>
      </c>
    </row>
    <row r="23" spans="3:9">
      <c r="C23" s="5" t="str">
        <f t="shared" ref="C23:C28" si="46">D23&amp;"_"&amp;E23</f>
        <v>distance_scalar_motorcycle_bogota</v>
      </c>
      <c r="D23" s="25" t="s">
        <v>100</v>
      </c>
      <c r="E23" s="25" t="s">
        <v>58</v>
      </c>
      <c r="F23" s="25" t="e">
        <f ca="1">MATCH(C23,All_city_list!$D:$D,0)</f>
        <v>#N/A</v>
      </c>
      <c r="G23" s="4" t="e">
        <f t="shared" ref="G23" ca="1" si="47">"All_city_list!L"&amp;F23</f>
        <v>#N/A</v>
      </c>
      <c r="H23" s="4" t="e">
        <f t="shared" ref="H23" ca="1" si="48">"All_city_list!M"&amp;$F23</f>
        <v>#N/A</v>
      </c>
      <c r="I23" s="4" t="e">
        <f t="shared" ref="I23" ca="1" si="49">"All_city_list!N"&amp;$F23</f>
        <v>#N/A</v>
      </c>
    </row>
    <row r="24" spans="3:9">
      <c r="C24" s="5" t="str">
        <f t="shared" si="46"/>
        <v>distance_scalar_motorcycle_city2</v>
      </c>
      <c r="D24" s="7" t="s">
        <v>100</v>
      </c>
      <c r="E24" t="s">
        <v>539</v>
      </c>
      <c r="G24" t="e">
        <f t="shared" ref="G24" ca="1" si="50">G23</f>
        <v>#N/A</v>
      </c>
      <c r="H24" t="e">
        <f t="shared" ref="H24" ca="1" si="51">H23</f>
        <v>#N/A</v>
      </c>
      <c r="I24" t="e">
        <f t="shared" ref="I24" ca="1" si="52">I23</f>
        <v>#N/A</v>
      </c>
    </row>
    <row r="25" spans="3:9">
      <c r="C25" s="5" t="str">
        <f t="shared" si="46"/>
        <v>distance_scalar_pt_bogota</v>
      </c>
      <c r="D25" s="25" t="s">
        <v>101</v>
      </c>
      <c r="E25" s="25" t="s">
        <v>58</v>
      </c>
      <c r="F25" s="25" t="e">
        <f ca="1">MATCH(C25,All_city_list!$D:$D,0)</f>
        <v>#N/A</v>
      </c>
      <c r="G25" s="4" t="e">
        <f t="shared" ref="G25" ca="1" si="53">"All_city_list!L"&amp;F25</f>
        <v>#N/A</v>
      </c>
      <c r="H25" s="4" t="e">
        <f t="shared" ref="H25" ca="1" si="54">"All_city_list!M"&amp;$F25</f>
        <v>#N/A</v>
      </c>
      <c r="I25" s="4" t="e">
        <f t="shared" ref="I25" ca="1" si="55">"All_city_list!N"&amp;$F25</f>
        <v>#N/A</v>
      </c>
    </row>
    <row r="26" spans="3:9">
      <c r="C26" s="5" t="str">
        <f t="shared" si="46"/>
        <v>distance_scalar_pt_city2</v>
      </c>
      <c r="D26" s="7" t="s">
        <v>101</v>
      </c>
      <c r="E26" t="s">
        <v>539</v>
      </c>
      <c r="G26" t="e">
        <f t="shared" ref="G26" ca="1" si="56">G25</f>
        <v>#N/A</v>
      </c>
      <c r="H26" t="e">
        <f t="shared" ref="H26" ca="1" si="57">H25</f>
        <v>#N/A</v>
      </c>
      <c r="I26" t="e">
        <f t="shared" ref="I26" ca="1" si="58">I25</f>
        <v>#N/A</v>
      </c>
    </row>
    <row r="27" spans="3:9">
      <c r="C27" s="5" t="str">
        <f t="shared" si="46"/>
        <v>distance_scalar_walking_bogota</v>
      </c>
      <c r="D27" s="25" t="s">
        <v>102</v>
      </c>
      <c r="E27" s="25" t="s">
        <v>58</v>
      </c>
      <c r="F27" s="25" t="e">
        <f ca="1">MATCH(C27,All_city_list!$D:$D,0)</f>
        <v>#N/A</v>
      </c>
      <c r="G27" s="4" t="e">
        <f t="shared" ref="G27" ca="1" si="59">"All_city_list!L"&amp;F27</f>
        <v>#N/A</v>
      </c>
      <c r="H27" s="4" t="e">
        <f t="shared" ref="H27" ca="1" si="60">"All_city_list!M"&amp;$F27</f>
        <v>#N/A</v>
      </c>
      <c r="I27" s="4" t="e">
        <f t="shared" ref="I27" ca="1" si="61">"All_city_list!N"&amp;$F27</f>
        <v>#N/A</v>
      </c>
    </row>
    <row r="28" spans="3:9">
      <c r="C28" s="5" t="str">
        <f t="shared" si="46"/>
        <v>distance_scalar_walking_city2</v>
      </c>
      <c r="D28" s="7" t="s">
        <v>102</v>
      </c>
      <c r="E28" t="s">
        <v>539</v>
      </c>
      <c r="G28" t="e">
        <f t="shared" ref="G28" ca="1" si="62">G27</f>
        <v>#N/A</v>
      </c>
      <c r="H28" t="e">
        <f t="shared" ref="H28" ca="1" si="63">H27</f>
        <v>#N/A</v>
      </c>
      <c r="I28" t="e">
        <f t="shared" ref="I28" ca="1" si="64">I27</f>
        <v>#N/A</v>
      </c>
    </row>
    <row r="29" spans="3:9">
      <c r="C29" s="5" t="str">
        <f t="shared" ref="C29:C30" si="65">D29&amp;"_"&amp;E29</f>
        <v>distance_scalar_cycling_bogota</v>
      </c>
      <c r="D29" s="33" t="s">
        <v>103</v>
      </c>
      <c r="E29" s="25" t="s">
        <v>58</v>
      </c>
      <c r="F29" s="25" t="e">
        <f ca="1">MATCH(C29,All_city_list!$D:$D,0)</f>
        <v>#N/A</v>
      </c>
      <c r="G29" s="4" t="e">
        <f t="shared" ref="G29" ca="1" si="66">"All_city_list!L"&amp;F29</f>
        <v>#N/A</v>
      </c>
      <c r="H29" s="4" t="e">
        <f t="shared" ref="H29" ca="1" si="67">"All_city_list!M"&amp;$F29</f>
        <v>#N/A</v>
      </c>
      <c r="I29" s="4" t="e">
        <f t="shared" ref="I29" ca="1" si="68">"All_city_list!N"&amp;$F29</f>
        <v>#N/A</v>
      </c>
    </row>
    <row r="30" spans="3:9">
      <c r="C30" s="5" t="str">
        <f t="shared" si="65"/>
        <v>distance_scalar_cycling_city2</v>
      </c>
      <c r="D30" s="7" t="s">
        <v>103</v>
      </c>
      <c r="E30" t="s">
        <v>539</v>
      </c>
      <c r="G30" t="e">
        <f t="shared" ref="G30" ca="1" si="69">G29</f>
        <v>#N/A</v>
      </c>
      <c r="H30" t="e">
        <f t="shared" ref="H30" ca="1" si="70">H29</f>
        <v>#N/A</v>
      </c>
      <c r="I30" t="e">
        <f t="shared" ref="I30" ca="1" si="71">I29</f>
        <v>#N/A</v>
      </c>
    </row>
    <row r="31" spans="3:9">
      <c r="C31" s="5" t="str">
        <f t="shared" ref="C31:C32" si="72">D31&amp;"_"&amp;E31</f>
        <v>injury_reporting_rate_bogota</v>
      </c>
      <c r="D31" s="33" t="s">
        <v>75</v>
      </c>
      <c r="E31" s="25" t="s">
        <v>58</v>
      </c>
      <c r="F31" s="25" t="e">
        <f ca="1">MATCH(C31,All_city_list!$D:$D,0)</f>
        <v>#N/A</v>
      </c>
      <c r="G31" s="4" t="e">
        <f t="shared" ref="G31" ca="1" si="73">"All_city_list!L"&amp;F31</f>
        <v>#N/A</v>
      </c>
      <c r="H31" s="4" t="e">
        <f t="shared" ref="H31" ca="1" si="74">"All_city_list!M"&amp;$F31</f>
        <v>#N/A</v>
      </c>
      <c r="I31" s="4" t="e">
        <f t="shared" ref="I31" ca="1" si="75">"All_city_list!N"&amp;$F31</f>
        <v>#N/A</v>
      </c>
    </row>
    <row r="32" spans="3:9">
      <c r="C32" s="5" t="str">
        <f t="shared" si="72"/>
        <v>injury_reporting_rate_city2</v>
      </c>
      <c r="D32" s="7" t="s">
        <v>75</v>
      </c>
      <c r="E32" t="s">
        <v>539</v>
      </c>
      <c r="G32" t="e">
        <f t="shared" ref="G32:G36" ca="1" si="76">G31</f>
        <v>#N/A</v>
      </c>
      <c r="H32" t="e">
        <f t="shared" ref="H32" ca="1" si="77">H31</f>
        <v>#N/A</v>
      </c>
      <c r="I32" t="e">
        <f t="shared" ref="I32" ca="1" si="78">I31</f>
        <v>#N/A</v>
      </c>
    </row>
    <row r="33" spans="3:9">
      <c r="C33" s="5" t="str">
        <f t="shared" ref="C33" si="79">D33&amp;"_"&amp;E33</f>
        <v>car_occupancy_ratio_bogota</v>
      </c>
      <c r="D33" s="33" t="s">
        <v>106</v>
      </c>
      <c r="E33" s="25" t="s">
        <v>58</v>
      </c>
      <c r="F33" s="25" t="e">
        <f ca="1">MATCH(C33,All_city_list!$D:$D,0)</f>
        <v>#N/A</v>
      </c>
      <c r="G33" s="4" t="e">
        <f t="shared" ref="G33" ca="1" si="80">"All_city_list!L"&amp;F33</f>
        <v>#N/A</v>
      </c>
      <c r="H33" s="4" t="e">
        <f t="shared" ref="H33" ca="1" si="81">"All_city_list!M"&amp;$F33</f>
        <v>#N/A</v>
      </c>
      <c r="I33" s="4" t="e">
        <f t="shared" ref="I33" ca="1" si="82">"All_city_list!N"&amp;$F33</f>
        <v>#N/A</v>
      </c>
    </row>
    <row r="34" spans="3:9">
      <c r="C34" s="5" t="str">
        <f t="shared" ref="C34:C35" si="83">D34&amp;"_"&amp;E34</f>
        <v>car_occupancy_ratio_city2</v>
      </c>
      <c r="D34" s="7" t="s">
        <v>106</v>
      </c>
      <c r="E34" t="s">
        <v>539</v>
      </c>
      <c r="G34" t="e">
        <f t="shared" ca="1" si="76"/>
        <v>#N/A</v>
      </c>
      <c r="H34" t="e">
        <f t="shared" ref="H34" ca="1" si="84">H33</f>
        <v>#N/A</v>
      </c>
      <c r="I34" t="e">
        <f t="shared" ref="I34" ca="1" si="85">I33</f>
        <v>#N/A</v>
      </c>
    </row>
    <row r="35" spans="3:9">
      <c r="C35" s="5" t="str">
        <f t="shared" si="83"/>
        <v>bus_walk_time_bogota</v>
      </c>
      <c r="D35" s="33" t="s">
        <v>85</v>
      </c>
      <c r="E35" s="25" t="s">
        <v>58</v>
      </c>
      <c r="F35" s="25" t="e">
        <f ca="1">MATCH(C35,All_city_list!$D:$D,0)</f>
        <v>#N/A</v>
      </c>
      <c r="G35" s="4" t="e">
        <f t="shared" ref="G35" ca="1" si="86">"All_city_list!L"&amp;F35</f>
        <v>#N/A</v>
      </c>
      <c r="H35" s="4" t="e">
        <f t="shared" ref="H35" ca="1" si="87">"All_city_list!M"&amp;$F35</f>
        <v>#N/A</v>
      </c>
      <c r="I35" s="4" t="e">
        <f t="shared" ref="I35" ca="1" si="88">"All_city_list!N"&amp;$F35</f>
        <v>#N/A</v>
      </c>
    </row>
    <row r="36" spans="3:9">
      <c r="C36" s="5" t="str">
        <f t="shared" ref="C36:C37" si="89">D36&amp;"_"&amp;E36</f>
        <v>bus_walk_time_city2</v>
      </c>
      <c r="D36" s="7" t="s">
        <v>85</v>
      </c>
      <c r="E36" t="s">
        <v>539</v>
      </c>
      <c r="G36" t="e">
        <f t="shared" ca="1" si="76"/>
        <v>#N/A</v>
      </c>
      <c r="H36" t="e">
        <f t="shared" ref="H36" ca="1" si="90">H35</f>
        <v>#N/A</v>
      </c>
      <c r="I36" t="e">
        <f t="shared" ref="I36" ca="1" si="91">I35</f>
        <v>#N/A</v>
      </c>
    </row>
    <row r="37" spans="3:9">
      <c r="C37" s="5" t="str">
        <f t="shared" si="89"/>
        <v>rail_walk_time_bogota</v>
      </c>
      <c r="D37" s="33" t="s">
        <v>86</v>
      </c>
      <c r="E37" s="25" t="s">
        <v>58</v>
      </c>
      <c r="F37" s="25" t="e">
        <f ca="1">MATCH(C37,All_city_list!$D:$D,0)</f>
        <v>#N/A</v>
      </c>
      <c r="G37" s="4" t="e">
        <f t="shared" ref="G37" ca="1" si="92">"All_city_list!L"&amp;F37</f>
        <v>#N/A</v>
      </c>
      <c r="H37" s="4" t="e">
        <f t="shared" ref="H37" ca="1" si="93">"All_city_list!M"&amp;$F37</f>
        <v>#N/A</v>
      </c>
      <c r="I37" s="4" t="e">
        <f t="shared" ref="I37" ca="1" si="94">"All_city_list!N"&amp;$F37</f>
        <v>#N/A</v>
      </c>
    </row>
    <row r="38" spans="3:9">
      <c r="C38" s="5" t="str">
        <f t="shared" ref="C38:C39" si="95">D38&amp;"_"&amp;E38</f>
        <v>rail_walk_time_city2</v>
      </c>
      <c r="D38" s="7" t="s">
        <v>86</v>
      </c>
      <c r="E38" t="s">
        <v>539</v>
      </c>
      <c r="G38" t="e">
        <f t="shared" ref="G38:G42" ca="1" si="96">G37</f>
        <v>#N/A</v>
      </c>
      <c r="H38" t="e">
        <f t="shared" ref="H38" ca="1" si="97">H37</f>
        <v>#N/A</v>
      </c>
      <c r="I38" t="e">
        <f t="shared" ref="I38" ca="1" si="98">I37</f>
        <v>#N/A</v>
      </c>
    </row>
    <row r="39" spans="3:9">
      <c r="C39" s="5" t="str">
        <f t="shared" si="95"/>
        <v>add_motorcycle_fleet_bogota</v>
      </c>
      <c r="D39" s="33" t="s">
        <v>90</v>
      </c>
      <c r="E39" s="25" t="s">
        <v>58</v>
      </c>
      <c r="F39" s="25" t="e">
        <f ca="1">MATCH(C39,All_city_list!$D:$D,0)</f>
        <v>#N/A</v>
      </c>
      <c r="G39" s="4" t="e">
        <f t="shared" ref="G39" ca="1" si="99">"All_city_list!L"&amp;F39</f>
        <v>#N/A</v>
      </c>
      <c r="H39" s="4" t="e">
        <f t="shared" ref="H39" ca="1" si="100">"All_city_list!M"&amp;$F39</f>
        <v>#N/A</v>
      </c>
      <c r="I39" s="4" t="e">
        <f t="shared" ref="I39" ca="1" si="101">"All_city_list!N"&amp;$F39</f>
        <v>#N/A</v>
      </c>
    </row>
    <row r="40" spans="3:9">
      <c r="C40" s="5" t="str">
        <f t="shared" ref="C40:C42" si="102">D40&amp;"_"&amp;E40</f>
        <v>add_motorcycle_fleet_city2</v>
      </c>
      <c r="D40" s="7" t="s">
        <v>90</v>
      </c>
      <c r="E40" t="s">
        <v>539</v>
      </c>
      <c r="G40" t="e">
        <f t="shared" ca="1" si="96"/>
        <v>#N/A</v>
      </c>
      <c r="H40" t="e">
        <f t="shared" ref="H40" ca="1" si="103">H39</f>
        <v>#N/A</v>
      </c>
      <c r="I40" t="e">
        <f t="shared" ref="I40" ca="1" si="104">I39</f>
        <v>#N/A</v>
      </c>
    </row>
    <row r="41" spans="3:9">
      <c r="C41" s="5" t="str">
        <f t="shared" si="102"/>
        <v>fleet_to_motorcycle_ratio_bogota</v>
      </c>
      <c r="D41" s="33" t="s">
        <v>92</v>
      </c>
      <c r="E41" s="25" t="s">
        <v>58</v>
      </c>
      <c r="F41" s="25" t="e">
        <f ca="1">MATCH(C41,All_city_list!$D:$D,0)</f>
        <v>#N/A</v>
      </c>
      <c r="G41" s="4" t="e">
        <f t="shared" ref="G41" ca="1" si="105">"All_city_list!L"&amp;F41</f>
        <v>#N/A</v>
      </c>
      <c r="H41" s="4" t="e">
        <f t="shared" ref="H41" ca="1" si="106">"All_city_list!M"&amp;$F41</f>
        <v>#N/A</v>
      </c>
      <c r="I41" s="4" t="e">
        <f t="shared" ref="I41" ca="1" si="107">"All_city_list!N"&amp;$F41</f>
        <v>#N/A</v>
      </c>
    </row>
    <row r="42" spans="3:9">
      <c r="C42" s="5" t="str">
        <f t="shared" si="102"/>
        <v>fleet_to_motorcycle_ratio_city2</v>
      </c>
      <c r="D42" s="7" t="s">
        <v>92</v>
      </c>
      <c r="E42" t="s">
        <v>539</v>
      </c>
      <c r="G42" t="e">
        <f t="shared" ca="1" si="96"/>
        <v>#N/A</v>
      </c>
      <c r="H42" t="e">
        <f t="shared" ref="H42" ca="1" si="108">H41</f>
        <v>#N/A</v>
      </c>
      <c r="I42" t="e">
        <f t="shared" ref="I42" ca="1" si="109">I41</f>
        <v>#N/A</v>
      </c>
    </row>
    <row r="43" spans="3:9">
      <c r="C43" s="5" t="str">
        <f t="shared" ref="C43:C46" si="110">D43&amp;"_"&amp;E43</f>
        <v>add_personal_motorcycle_trips_bogota</v>
      </c>
      <c r="D43" s="33" t="s">
        <v>87</v>
      </c>
      <c r="E43" s="25" t="s">
        <v>58</v>
      </c>
      <c r="F43" s="25" t="e">
        <f ca="1">MATCH(C43,All_city_list!$D:$D,0)</f>
        <v>#N/A</v>
      </c>
      <c r="G43" s="4" t="e">
        <f t="shared" ref="G43" ca="1" si="111">"All_city_list!L"&amp;F43</f>
        <v>#N/A</v>
      </c>
      <c r="H43" s="4" t="e">
        <f t="shared" ref="H43" ca="1" si="112">"All_city_list!M"&amp;$F43</f>
        <v>#N/A</v>
      </c>
      <c r="I43" s="4" t="e">
        <f t="shared" ref="I43" ca="1" si="113">"All_city_list!N"&amp;$F43</f>
        <v>#N/A</v>
      </c>
    </row>
    <row r="44" spans="3:9">
      <c r="C44" s="5" t="str">
        <f t="shared" si="110"/>
        <v>add_personal_motorcycle_trips_city2</v>
      </c>
      <c r="D44" s="7" t="s">
        <v>87</v>
      </c>
      <c r="E44" t="s">
        <v>539</v>
      </c>
      <c r="G44" t="e">
        <f t="shared" ref="G44" ca="1" si="114">G43</f>
        <v>#N/A</v>
      </c>
      <c r="H44" t="e">
        <f t="shared" ref="H44" ca="1" si="115">H43</f>
        <v>#N/A</v>
      </c>
      <c r="I44" t="e">
        <f t="shared" ref="I44" ca="1" si="116">I43</f>
        <v>#N/A</v>
      </c>
    </row>
    <row r="45" spans="3:9">
      <c r="C45" s="5" t="str">
        <f t="shared" si="110"/>
        <v>proportion_motorcycle_trips_bogota</v>
      </c>
      <c r="D45" s="33" t="s">
        <v>89</v>
      </c>
      <c r="E45" s="25" t="s">
        <v>58</v>
      </c>
      <c r="F45" s="25" t="e">
        <f ca="1">MATCH(C45,All_city_list!$D:$D,0)</f>
        <v>#N/A</v>
      </c>
      <c r="G45" s="4" t="e">
        <f t="shared" ref="G45" ca="1" si="117">"All_city_list!L"&amp;F45</f>
        <v>#N/A</v>
      </c>
      <c r="H45" s="4" t="e">
        <f t="shared" ref="H45" ca="1" si="118">"All_city_list!M"&amp;$F45</f>
        <v>#N/A</v>
      </c>
      <c r="I45" s="4" t="e">
        <f t="shared" ref="I45" ca="1" si="119">"All_city_list!N"&amp;$F45</f>
        <v>#N/A</v>
      </c>
    </row>
    <row r="46" spans="3:9">
      <c r="C46" s="5" t="str">
        <f t="shared" si="110"/>
        <v>proportion_motorcycle_trips_city2</v>
      </c>
      <c r="D46" t="s">
        <v>89</v>
      </c>
      <c r="E46" t="s">
        <v>539</v>
      </c>
      <c r="G46" t="e">
        <f t="shared" ref="G46:G50" ca="1" si="120">G45</f>
        <v>#N/A</v>
      </c>
      <c r="H46" t="e">
        <f t="shared" ref="H46" ca="1" si="121">H45</f>
        <v>#N/A</v>
      </c>
      <c r="I46" t="e">
        <f t="shared" ref="I46" ca="1" si="122">I45</f>
        <v>#N/A</v>
      </c>
    </row>
    <row r="47" spans="3:9">
      <c r="C47" s="5" t="str">
        <f t="shared" ref="C47:C48" si="123">D47&amp;"_"&amp;E47</f>
        <v>speeds_bogota</v>
      </c>
      <c r="D47" s="33" t="s">
        <v>59</v>
      </c>
      <c r="E47" s="25" t="s">
        <v>58</v>
      </c>
      <c r="F47" s="25" t="e">
        <f ca="1">MATCH(C47,All_city_list!$D:$D,0)</f>
        <v>#N/A</v>
      </c>
      <c r="G47" s="4" t="e">
        <f t="shared" ref="G47" ca="1" si="124">"All_city_list!L"&amp;F47</f>
        <v>#N/A</v>
      </c>
      <c r="H47" s="4" t="e">
        <f t="shared" ref="H47" ca="1" si="125">"All_city_list!M"&amp;$F47</f>
        <v>#N/A</v>
      </c>
      <c r="I47" s="4" t="e">
        <f t="shared" ref="I47" ca="1" si="126">"All_city_list!N"&amp;$F47</f>
        <v>#N/A</v>
      </c>
    </row>
    <row r="48" spans="3:9">
      <c r="C48" s="5" t="str">
        <f t="shared" si="123"/>
        <v>speeds_city2</v>
      </c>
      <c r="D48" t="s">
        <v>59</v>
      </c>
      <c r="E48" t="s">
        <v>539</v>
      </c>
      <c r="G48" t="e">
        <f t="shared" ca="1" si="120"/>
        <v>#N/A</v>
      </c>
      <c r="H48" t="e">
        <f t="shared" ref="H48" ca="1" si="127">H47</f>
        <v>#N/A</v>
      </c>
      <c r="I48" t="e">
        <f t="shared" ref="I48" ca="1" si="128">I47</f>
        <v>#N/A</v>
      </c>
    </row>
    <row r="49" spans="3:9">
      <c r="C49" s="5" t="str">
        <f t="shared" ref="C49:C50" si="129">D49&amp;"_"&amp;E49</f>
        <v>bus_driver_prop_male_bogota</v>
      </c>
      <c r="D49" s="33" t="s">
        <v>111</v>
      </c>
      <c r="E49" s="25" t="s">
        <v>58</v>
      </c>
      <c r="F49" s="25" t="e">
        <f ca="1">MATCH(C49,All_city_list!$D:$D,0)</f>
        <v>#N/A</v>
      </c>
      <c r="G49" s="4" t="e">
        <f t="shared" ref="G49" ca="1" si="130">"All_city_list!L"&amp;F49</f>
        <v>#N/A</v>
      </c>
      <c r="H49" s="4" t="e">
        <f t="shared" ref="H49" ca="1" si="131">"All_city_list!M"&amp;$F49</f>
        <v>#N/A</v>
      </c>
      <c r="I49" s="4" t="e">
        <f t="shared" ref="I49" ca="1" si="132">"All_city_list!N"&amp;$F49</f>
        <v>#N/A</v>
      </c>
    </row>
    <row r="50" spans="3:9">
      <c r="C50" s="5" t="str">
        <f t="shared" si="129"/>
        <v>bus_driver_prop_male_city2</v>
      </c>
      <c r="D50" t="s">
        <v>111</v>
      </c>
      <c r="E50" t="s">
        <v>539</v>
      </c>
      <c r="G50" t="e">
        <f t="shared" ca="1" si="120"/>
        <v>#N/A</v>
      </c>
      <c r="H50" t="e">
        <f t="shared" ref="H50" ca="1" si="133">H49</f>
        <v>#N/A</v>
      </c>
      <c r="I50" t="e">
        <f t="shared" ref="I50" ca="1" si="134">I49</f>
        <v>#N/A</v>
      </c>
    </row>
    <row r="51" spans="3:9">
      <c r="C51" s="5" t="str">
        <f t="shared" ref="C51:C52" si="135">D51&amp;"_"&amp;E51</f>
        <v>bus_driver_male_agerange_bogota</v>
      </c>
      <c r="D51" s="33" t="s">
        <v>112</v>
      </c>
      <c r="E51" s="25" t="s">
        <v>58</v>
      </c>
      <c r="F51" s="25" t="e">
        <f ca="1">MATCH(C51,All_city_list!$D:$D,0)</f>
        <v>#N/A</v>
      </c>
      <c r="G51" s="4" t="e">
        <f t="shared" ref="G51" ca="1" si="136">"All_city_list!L"&amp;F51</f>
        <v>#N/A</v>
      </c>
      <c r="H51" s="4" t="e">
        <f t="shared" ref="H51" ca="1" si="137">"All_city_list!M"&amp;$F51</f>
        <v>#N/A</v>
      </c>
      <c r="I51" s="4" t="e">
        <f t="shared" ref="I51" ca="1" si="138">"All_city_list!N"&amp;$F51</f>
        <v>#N/A</v>
      </c>
    </row>
    <row r="52" spans="3:9">
      <c r="C52" s="5" t="str">
        <f t="shared" si="135"/>
        <v>bus_driver_male_agerange_city2</v>
      </c>
      <c r="D52" t="s">
        <v>112</v>
      </c>
      <c r="E52" t="s">
        <v>539</v>
      </c>
      <c r="G52" t="e">
        <f t="shared" ref="G52:G56" ca="1" si="139">G51</f>
        <v>#N/A</v>
      </c>
      <c r="H52" t="e">
        <f t="shared" ref="H52" ca="1" si="140">H51</f>
        <v>#N/A</v>
      </c>
      <c r="I52" t="e">
        <f t="shared" ref="I52" ca="1" si="141">I51</f>
        <v>#N/A</v>
      </c>
    </row>
    <row r="53" spans="3:9">
      <c r="C53" s="5" t="str">
        <f t="shared" ref="C53:C58" si="142">D53&amp;"_"&amp;E53</f>
        <v>bus_driver_female_agerange_bogota</v>
      </c>
      <c r="D53" s="33" t="s">
        <v>114</v>
      </c>
      <c r="E53" s="25" t="s">
        <v>58</v>
      </c>
      <c r="F53" s="25" t="e">
        <f ca="1">MATCH(C53,All_city_list!$D:$D,0)</f>
        <v>#N/A</v>
      </c>
      <c r="G53" s="4" t="e">
        <f t="shared" ref="G53" ca="1" si="143">"All_city_list!L"&amp;F53</f>
        <v>#N/A</v>
      </c>
      <c r="H53" s="4" t="e">
        <f t="shared" ref="H53" ca="1" si="144">"All_city_list!M"&amp;$F53</f>
        <v>#N/A</v>
      </c>
      <c r="I53" s="4" t="e">
        <f t="shared" ref="I53" ca="1" si="145">"All_city_list!N"&amp;$F53</f>
        <v>#N/A</v>
      </c>
    </row>
    <row r="54" spans="3:9">
      <c r="C54" s="5" t="str">
        <f t="shared" si="142"/>
        <v>bus_driver_female_agerange_city2</v>
      </c>
      <c r="D54" t="s">
        <v>114</v>
      </c>
      <c r="E54" t="s">
        <v>539</v>
      </c>
      <c r="G54" t="e">
        <f t="shared" ca="1" si="139"/>
        <v>#N/A</v>
      </c>
      <c r="H54" t="e">
        <f t="shared" ref="H54" ca="1" si="146">H53</f>
        <v>#N/A</v>
      </c>
      <c r="I54" t="e">
        <f t="shared" ref="I54" ca="1" si="147">I53</f>
        <v>#N/A</v>
      </c>
    </row>
    <row r="55" spans="3:9">
      <c r="C55" s="5" t="str">
        <f t="shared" si="142"/>
        <v>truck_driver_prop_male_bogota</v>
      </c>
      <c r="D55" s="33" t="s">
        <v>116</v>
      </c>
      <c r="E55" s="25" t="s">
        <v>58</v>
      </c>
      <c r="F55" s="25" t="e">
        <f ca="1">MATCH(C55,All_city_list!$D:$D,0)</f>
        <v>#N/A</v>
      </c>
      <c r="G55" s="4" t="e">
        <f t="shared" ref="G55" ca="1" si="148">"All_city_list!L"&amp;F55</f>
        <v>#N/A</v>
      </c>
      <c r="H55" s="4" t="e">
        <f t="shared" ref="H55" ca="1" si="149">"All_city_list!M"&amp;$F55</f>
        <v>#N/A</v>
      </c>
      <c r="I55" s="4" t="e">
        <f t="shared" ref="I55" ca="1" si="150">"All_city_list!N"&amp;$F55</f>
        <v>#N/A</v>
      </c>
    </row>
    <row r="56" spans="3:9">
      <c r="C56" s="5" t="str">
        <f t="shared" si="142"/>
        <v>truck_driver_prop_male_city2</v>
      </c>
      <c r="D56" t="s">
        <v>116</v>
      </c>
      <c r="E56" t="s">
        <v>539</v>
      </c>
      <c r="G56" t="e">
        <f t="shared" ca="1" si="139"/>
        <v>#N/A</v>
      </c>
      <c r="H56" t="e">
        <f t="shared" ref="H56" ca="1" si="151">H55</f>
        <v>#N/A</v>
      </c>
      <c r="I56" t="e">
        <f t="shared" ref="I56" ca="1" si="152">I55</f>
        <v>#N/A</v>
      </c>
    </row>
    <row r="57" spans="3:9">
      <c r="C57" s="5" t="str">
        <f t="shared" si="142"/>
        <v>truck_driver_male_agerange_bogota</v>
      </c>
      <c r="D57" s="33" t="s">
        <v>117</v>
      </c>
      <c r="E57" s="25" t="s">
        <v>58</v>
      </c>
      <c r="F57" s="25" t="e">
        <f ca="1">MATCH(C57,All_city_list!$D:$D,0)</f>
        <v>#N/A</v>
      </c>
      <c r="G57" s="4" t="e">
        <f t="shared" ref="G57" ca="1" si="153">"All_city_list!L"&amp;F57</f>
        <v>#N/A</v>
      </c>
      <c r="H57" s="4" t="e">
        <f t="shared" ref="H57" ca="1" si="154">"All_city_list!M"&amp;$F57</f>
        <v>#N/A</v>
      </c>
      <c r="I57" s="4" t="e">
        <f t="shared" ref="I57" ca="1" si="155">"All_city_list!N"&amp;$F57</f>
        <v>#N/A</v>
      </c>
    </row>
    <row r="58" spans="3:9">
      <c r="C58" s="5" t="str">
        <f t="shared" si="142"/>
        <v>truck_driver_male_agerange_city2</v>
      </c>
      <c r="D58" t="s">
        <v>117</v>
      </c>
      <c r="E58" t="s">
        <v>539</v>
      </c>
      <c r="G58" t="e">
        <f t="shared" ref="G58" ca="1" si="156">G57</f>
        <v>#N/A</v>
      </c>
      <c r="H58" t="e">
        <f t="shared" ref="H58" ca="1" si="157">H57</f>
        <v>#N/A</v>
      </c>
      <c r="I58" t="e">
        <f t="shared" ref="I58" ca="1" si="158">I57</f>
        <v>#N/A</v>
      </c>
    </row>
    <row r="59" spans="3:9">
      <c r="C59" s="5" t="str">
        <f t="shared" ref="C59:C62" si="159">D59&amp;"_"&amp;E59</f>
        <v>truck_driver_female_agerange_bogota</v>
      </c>
      <c r="D59" s="33" t="s">
        <v>119</v>
      </c>
      <c r="E59" s="25" t="s">
        <v>58</v>
      </c>
      <c r="F59" s="25" t="e">
        <f ca="1">MATCH(C59,All_city_list!$D:$D,0)</f>
        <v>#N/A</v>
      </c>
      <c r="G59" s="4" t="e">
        <f t="shared" ref="G59" ca="1" si="160">"All_city_list!L"&amp;F59</f>
        <v>#N/A</v>
      </c>
      <c r="H59" s="4" t="e">
        <f t="shared" ref="H59" ca="1" si="161">"All_city_list!M"&amp;$F59</f>
        <v>#N/A</v>
      </c>
      <c r="I59" s="4" t="e">
        <f t="shared" ref="I59" ca="1" si="162">"All_city_list!N"&amp;$F59</f>
        <v>#N/A</v>
      </c>
    </row>
    <row r="60" spans="3:9">
      <c r="C60" s="5" t="str">
        <f t="shared" si="159"/>
        <v>truck_driver_female_agerange_city2</v>
      </c>
      <c r="D60" t="s">
        <v>119</v>
      </c>
      <c r="E60" t="s">
        <v>539</v>
      </c>
      <c r="G60" t="e">
        <f t="shared" ref="G60" ca="1" si="163">G59</f>
        <v>#N/A</v>
      </c>
      <c r="H60" t="e">
        <f t="shared" ref="H60" ca="1" si="164">H59</f>
        <v>#N/A</v>
      </c>
      <c r="I60" t="e">
        <f t="shared" ref="I60" ca="1" si="165">I59</f>
        <v>#N/A</v>
      </c>
    </row>
    <row r="61" spans="3:9">
      <c r="C61" s="5" t="str">
        <f t="shared" si="159"/>
        <v>commerical_mbike_prop_male_bogota</v>
      </c>
      <c r="D61" s="33" t="s">
        <v>121</v>
      </c>
      <c r="E61" s="25" t="s">
        <v>58</v>
      </c>
      <c r="F61" s="25" t="e">
        <f ca="1">MATCH(C61,All_city_list!$D:$D,0)</f>
        <v>#N/A</v>
      </c>
      <c r="G61" s="4" t="e">
        <f t="shared" ref="G61" ca="1" si="166">"All_city_list!L"&amp;F61</f>
        <v>#N/A</v>
      </c>
      <c r="H61" s="4" t="e">
        <f t="shared" ref="H61" ca="1" si="167">"All_city_list!M"&amp;$F61</f>
        <v>#N/A</v>
      </c>
      <c r="I61" s="4" t="e">
        <f t="shared" ref="I61" ca="1" si="168">"All_city_list!N"&amp;$F61</f>
        <v>#N/A</v>
      </c>
    </row>
    <row r="62" spans="3:9">
      <c r="C62" s="5" t="str">
        <f t="shared" si="159"/>
        <v>commerical_mbike_prop_male_city2</v>
      </c>
      <c r="D62" t="s">
        <v>121</v>
      </c>
      <c r="E62" t="s">
        <v>539</v>
      </c>
      <c r="G62" t="e">
        <f t="shared" ref="G62" ca="1" si="169">G61</f>
        <v>#N/A</v>
      </c>
      <c r="H62" t="e">
        <f t="shared" ref="H62" ca="1" si="170">H61</f>
        <v>#N/A</v>
      </c>
      <c r="I62" t="e">
        <f t="shared" ref="I62" ca="1" si="171">I61</f>
        <v>#N/A</v>
      </c>
    </row>
    <row r="63" spans="3:9">
      <c r="C63" s="5" t="str">
        <f t="shared" ref="C63:C66" si="172">D63&amp;"_"&amp;E63</f>
        <v>commerical_mbike_male_agerange_bogota</v>
      </c>
      <c r="D63" s="33" t="s">
        <v>122</v>
      </c>
      <c r="E63" s="25" t="s">
        <v>58</v>
      </c>
      <c r="F63" s="25" t="e">
        <f ca="1">MATCH(C63,All_city_list!$D:$D,0)</f>
        <v>#N/A</v>
      </c>
      <c r="G63" s="4" t="e">
        <f t="shared" ref="G63" ca="1" si="173">"All_city_list!L"&amp;F63</f>
        <v>#N/A</v>
      </c>
      <c r="H63" s="4" t="e">
        <f t="shared" ref="H63" ca="1" si="174">"All_city_list!M"&amp;$F63</f>
        <v>#N/A</v>
      </c>
      <c r="I63" s="4" t="e">
        <f t="shared" ref="I63" ca="1" si="175">"All_city_list!N"&amp;$F63</f>
        <v>#N/A</v>
      </c>
    </row>
    <row r="64" spans="3:9">
      <c r="C64" s="5" t="str">
        <f t="shared" si="172"/>
        <v>commerical_mbike_male_agerange_city2</v>
      </c>
      <c r="D64" t="s">
        <v>122</v>
      </c>
      <c r="E64" t="s">
        <v>539</v>
      </c>
      <c r="G64" t="e">
        <f t="shared" ref="G64" ca="1" si="176">G63</f>
        <v>#N/A</v>
      </c>
      <c r="H64" t="e">
        <f t="shared" ref="H64" ca="1" si="177">H63</f>
        <v>#N/A</v>
      </c>
      <c r="I64" t="e">
        <f t="shared" ref="I64" ca="1" si="178">I63</f>
        <v>#N/A</v>
      </c>
    </row>
    <row r="65" spans="3:9">
      <c r="C65" s="5" t="str">
        <f t="shared" si="172"/>
        <v>commerical_mbike_female_agerange_bogota</v>
      </c>
      <c r="D65" s="33" t="s">
        <v>123</v>
      </c>
      <c r="E65" s="25" t="s">
        <v>58</v>
      </c>
      <c r="F65" s="25" t="e">
        <f ca="1">MATCH(C65,All_city_list!$D:$D,0)</f>
        <v>#N/A</v>
      </c>
      <c r="G65" s="4" t="e">
        <f t="shared" ref="G65" ca="1" si="179">"All_city_list!L"&amp;F65</f>
        <v>#N/A</v>
      </c>
      <c r="H65" s="4" t="e">
        <f t="shared" ref="H65:H67" ca="1" si="180">"All_city_list!M"&amp;$F65</f>
        <v>#N/A</v>
      </c>
      <c r="I65" s="4" t="e">
        <f t="shared" ref="I65:I67" ca="1" si="181">"All_city_list!N"&amp;$F65</f>
        <v>#N/A</v>
      </c>
    </row>
    <row r="66" spans="3:9">
      <c r="C66" s="5" t="str">
        <f t="shared" si="172"/>
        <v>commerical_mbike_female_agerange_city2</v>
      </c>
      <c r="D66" t="s">
        <v>123</v>
      </c>
      <c r="E66" t="s">
        <v>539</v>
      </c>
      <c r="G66" t="e">
        <f t="shared" ref="G66:G68" ca="1" si="182">G65</f>
        <v>#N/A</v>
      </c>
      <c r="H66" t="e">
        <f t="shared" ref="H66" ca="1" si="183">H65</f>
        <v>#N/A</v>
      </c>
      <c r="I66" t="e">
        <f t="shared" ref="I66" ca="1" si="184">I65</f>
        <v>#N/A</v>
      </c>
    </row>
    <row r="67" spans="3:9">
      <c r="C67" s="5" t="str">
        <f t="shared" ref="C67:C70" si="185">D67&amp;"_"&amp;E67</f>
        <v>add_walk_to_pt_trips_bogota</v>
      </c>
      <c r="D67" s="33" t="s">
        <v>95</v>
      </c>
      <c r="E67" s="25" t="s">
        <v>58</v>
      </c>
      <c r="F67" s="25" t="e">
        <f ca="1">MATCH(C67,All_city_list!$D:$D,0)</f>
        <v>#N/A</v>
      </c>
      <c r="G67" s="4" t="e">
        <f t="shared" ref="G67" ca="1" si="186">"All_city_list!L"&amp;F67</f>
        <v>#N/A</v>
      </c>
      <c r="H67" s="4" t="e">
        <f t="shared" ca="1" si="180"/>
        <v>#N/A</v>
      </c>
      <c r="I67" s="4" t="e">
        <f t="shared" ca="1" si="181"/>
        <v>#N/A</v>
      </c>
    </row>
    <row r="68" spans="3:9">
      <c r="C68" s="5" t="str">
        <f t="shared" si="185"/>
        <v>add_walk_to_pt_trips_city2</v>
      </c>
      <c r="D68" t="s">
        <v>95</v>
      </c>
      <c r="E68" t="s">
        <v>539</v>
      </c>
      <c r="G68" t="e">
        <f t="shared" ca="1" si="182"/>
        <v>#N/A</v>
      </c>
      <c r="H68" t="e">
        <f t="shared" ref="H68" ca="1" si="187">H67</f>
        <v>#N/A</v>
      </c>
      <c r="I68" t="e">
        <f t="shared" ref="I68" ca="1" si="188">I67</f>
        <v>#N/A</v>
      </c>
    </row>
    <row r="69" spans="3:9">
      <c r="C69" s="5" t="str">
        <f t="shared" si="185"/>
        <v>CO2_emission_inventories_bogota</v>
      </c>
      <c r="D69" s="33" t="s">
        <v>104</v>
      </c>
      <c r="E69" s="25" t="s">
        <v>58</v>
      </c>
      <c r="F69" s="25" t="e">
        <f ca="1">MATCH(C69,All_city_list!$D:$D,0)</f>
        <v>#N/A</v>
      </c>
      <c r="G69" s="4" t="e">
        <f ca="1">"All_city_list!L"&amp;$F69</f>
        <v>#N/A</v>
      </c>
      <c r="H69" s="4" t="e">
        <f ca="1">"All_city_list!M"&amp;$F69</f>
        <v>#N/A</v>
      </c>
      <c r="I69" s="4" t="e">
        <f ca="1">"All_city_list!N"&amp;$F69</f>
        <v>#N/A</v>
      </c>
    </row>
    <row r="70" spans="3:9">
      <c r="C70" s="5" t="str">
        <f t="shared" si="185"/>
        <v>CO2_emission_inventories_city2</v>
      </c>
      <c r="D70" s="7" t="s">
        <v>104</v>
      </c>
      <c r="E70" t="s">
        <v>539</v>
      </c>
      <c r="G70" t="e">
        <f ca="1">G69</f>
        <v>#N/A</v>
      </c>
      <c r="H70" t="e">
        <f t="shared" ref="H70" ca="1" si="189">H69</f>
        <v>#N/A</v>
      </c>
      <c r="I70" t="e">
        <f t="shared" ref="I70" ca="1" si="190">I69</f>
        <v>#N/A</v>
      </c>
    </row>
    <row r="71" spans="3:9">
      <c r="C71" s="5"/>
    </row>
    <row r="72" spans="3:9">
      <c r="C72" s="5"/>
    </row>
    <row r="73" spans="3:9">
      <c r="C73" s="5"/>
    </row>
    <row r="74" spans="3:9">
      <c r="C74" s="5"/>
    </row>
    <row r="75" spans="3:9">
      <c r="C75" s="5"/>
    </row>
    <row r="76" spans="3:9">
      <c r="C76" s="5"/>
    </row>
    <row r="77" spans="3:9">
      <c r="C77" s="5"/>
    </row>
    <row r="78" spans="3:9">
      <c r="C78" s="5"/>
    </row>
    <row r="79" spans="3:9">
      <c r="C79" s="5"/>
    </row>
    <row r="80" spans="3:9">
      <c r="C80" s="5"/>
    </row>
    <row r="81" spans="3:6">
      <c r="C81" s="5"/>
    </row>
    <row r="82" spans="3:6">
      <c r="C82" s="5"/>
    </row>
    <row r="83" spans="3:6">
      <c r="C83" s="5"/>
    </row>
    <row r="84" spans="3:6">
      <c r="C84" s="5"/>
    </row>
    <row r="85" spans="3:6">
      <c r="C85" s="5"/>
    </row>
    <row r="86" spans="3:6">
      <c r="C86" s="5"/>
    </row>
    <row r="87" spans="3:6">
      <c r="C87" s="5"/>
    </row>
    <row r="88" spans="3:6">
      <c r="C88" s="5"/>
    </row>
    <row r="89" spans="3:6">
      <c r="C89" s="5"/>
    </row>
    <row r="90" spans="3:6">
      <c r="C90" s="5"/>
      <c r="F90" s="1"/>
    </row>
    <row r="91" spans="3:6">
      <c r="C91" s="5"/>
      <c r="F91" s="1"/>
    </row>
    <row r="92" spans="3:6">
      <c r="C92" s="5"/>
      <c r="F92" s="1"/>
    </row>
    <row r="93" spans="3:6">
      <c r="E93" s="1"/>
      <c r="F93" s="1"/>
    </row>
    <row r="94" spans="3:6">
      <c r="E94" s="1"/>
      <c r="F94" s="1"/>
    </row>
    <row r="95" spans="3:6">
      <c r="E95" s="1"/>
      <c r="F95" s="1"/>
    </row>
    <row r="96" spans="3:6">
      <c r="E96" s="1"/>
      <c r="F96" s="1"/>
    </row>
    <row r="97" spans="5:6">
      <c r="E97" s="1"/>
      <c r="F97" s="1"/>
    </row>
    <row r="98" spans="5:6">
      <c r="E98" s="1"/>
      <c r="F98" s="1"/>
    </row>
    <row r="99" spans="5:6">
      <c r="E99" s="1"/>
      <c r="F99" s="1"/>
    </row>
    <row r="100" spans="5:6">
      <c r="E100" s="1"/>
      <c r="F100" s="1"/>
    </row>
    <row r="101" spans="5:6">
      <c r="E101" s="1"/>
      <c r="F101" s="1"/>
    </row>
    <row r="102" spans="5:6">
      <c r="E102" s="1"/>
      <c r="F102" s="1"/>
    </row>
    <row r="103" spans="5:6">
      <c r="E103" s="1"/>
      <c r="F103" s="1"/>
    </row>
    <row r="104" spans="5:6">
      <c r="E104" s="1"/>
      <c r="F104" s="1"/>
    </row>
    <row r="105" spans="5:6">
      <c r="E105" s="1"/>
      <c r="F105" s="1"/>
    </row>
    <row r="106" spans="5:6">
      <c r="E106" s="1"/>
      <c r="F106" s="1"/>
    </row>
    <row r="107" spans="5:6">
      <c r="E107" s="1"/>
      <c r="F107" s="1"/>
    </row>
    <row r="108" spans="5:6">
      <c r="E108" s="1"/>
      <c r="F108" s="1"/>
    </row>
    <row r="109" spans="5:6">
      <c r="E109" s="1"/>
      <c r="F109" s="1"/>
    </row>
    <row r="110" spans="5:6">
      <c r="E110" s="1"/>
      <c r="F110" s="1"/>
    </row>
    <row r="111" spans="5:6">
      <c r="E111" s="1"/>
      <c r="F111" s="1"/>
    </row>
    <row r="112" spans="5:6">
      <c r="E112" s="1"/>
      <c r="F112" s="1"/>
    </row>
    <row r="113" spans="5:6">
      <c r="E113" s="1"/>
      <c r="F113" s="1"/>
    </row>
    <row r="114" spans="5:6">
      <c r="E114" s="1"/>
      <c r="F114" s="1"/>
    </row>
    <row r="115" spans="5:6">
      <c r="E115" s="1"/>
      <c r="F115" s="1"/>
    </row>
    <row r="116" spans="5:6">
      <c r="E116" s="1"/>
      <c r="F116" s="1"/>
    </row>
    <row r="117" spans="5:6">
      <c r="E117" s="1"/>
      <c r="F117" s="1"/>
    </row>
    <row r="118" spans="5:6">
      <c r="E118" s="1"/>
      <c r="F118" s="1"/>
    </row>
    <row r="119" spans="5:6">
      <c r="E119" s="1"/>
      <c r="F119" s="1"/>
    </row>
    <row r="120" spans="5:6">
      <c r="E120" s="1"/>
      <c r="F120" s="1"/>
    </row>
    <row r="121" spans="5:6">
      <c r="E121" s="1"/>
      <c r="F121" s="1"/>
    </row>
    <row r="122" spans="5:6">
      <c r="E122" s="1"/>
      <c r="F122" s="1"/>
    </row>
    <row r="123" spans="5:6">
      <c r="E123" s="1"/>
      <c r="F123" s="1"/>
    </row>
    <row r="124" spans="5:6">
      <c r="E124" s="1"/>
      <c r="F124" s="1"/>
    </row>
    <row r="125" spans="5:6">
      <c r="E125" s="1"/>
      <c r="F125" s="1"/>
    </row>
    <row r="126" spans="5:6">
      <c r="E126" s="1"/>
      <c r="F126" s="1"/>
    </row>
    <row r="127" spans="5:6">
      <c r="E127" s="1"/>
      <c r="F127" s="1"/>
    </row>
    <row r="128" spans="5:6">
      <c r="E128" s="1"/>
      <c r="F128" s="1"/>
    </row>
    <row r="129" spans="5:6">
      <c r="E129" s="1"/>
      <c r="F129" s="1"/>
    </row>
    <row r="130" spans="5:6">
      <c r="E130" s="1"/>
      <c r="F130" s="1"/>
    </row>
    <row r="131" spans="5:6">
      <c r="E131" s="1"/>
      <c r="F131" s="1"/>
    </row>
    <row r="132" spans="5:6">
      <c r="E132" s="1"/>
      <c r="F132" s="1"/>
    </row>
    <row r="133" spans="5:6">
      <c r="E133" s="1"/>
      <c r="F133" s="1"/>
    </row>
    <row r="134" spans="5:6">
      <c r="E134" s="1"/>
      <c r="F134" s="1"/>
    </row>
    <row r="135" spans="5:6">
      <c r="E135" s="1"/>
      <c r="F135" s="1"/>
    </row>
    <row r="136" spans="5:6">
      <c r="E136" s="1"/>
      <c r="F136" s="1"/>
    </row>
    <row r="137" spans="5:6">
      <c r="E137" s="1"/>
      <c r="F137" s="1"/>
    </row>
    <row r="138" spans="5:6">
      <c r="E138" s="1"/>
      <c r="F138" s="1"/>
    </row>
    <row r="139" spans="5:6">
      <c r="E139" s="1"/>
      <c r="F139" s="1"/>
    </row>
    <row r="140" spans="5:6">
      <c r="E140" s="1"/>
      <c r="F140" s="1"/>
    </row>
    <row r="141" spans="5:6">
      <c r="E141" s="1"/>
      <c r="F141" s="1"/>
    </row>
    <row r="142" spans="5:6">
      <c r="E142" s="1"/>
      <c r="F142" s="1"/>
    </row>
    <row r="143" spans="5:6">
      <c r="E143" s="1"/>
      <c r="F143" s="1"/>
    </row>
    <row r="144" spans="5:6">
      <c r="E144" s="1"/>
      <c r="F144" s="1"/>
    </row>
    <row r="145" spans="5:6">
      <c r="E145" s="1"/>
      <c r="F145" s="1"/>
    </row>
    <row r="146" spans="5:6">
      <c r="E146" s="1"/>
      <c r="F146" s="1"/>
    </row>
    <row r="147" spans="5:6">
      <c r="E147" s="1"/>
      <c r="F147" s="1"/>
    </row>
    <row r="148" spans="5:6">
      <c r="E148" s="1"/>
      <c r="F148" s="1"/>
    </row>
    <row r="149" spans="5:6">
      <c r="E149" s="1"/>
      <c r="F149" s="1"/>
    </row>
    <row r="150" spans="5:6">
      <c r="E150" s="1"/>
      <c r="F150" s="1"/>
    </row>
    <row r="151" spans="5:6">
      <c r="E151" s="1"/>
      <c r="F151" s="1"/>
    </row>
    <row r="152" spans="5:6">
      <c r="E152" s="1"/>
      <c r="F152" s="1"/>
    </row>
    <row r="153" spans="5:6">
      <c r="E153" s="1"/>
      <c r="F153" s="1"/>
    </row>
    <row r="154" spans="5:6">
      <c r="E154" s="1"/>
      <c r="F154" s="1"/>
    </row>
    <row r="155" spans="5:6">
      <c r="E155" s="1"/>
      <c r="F155" s="1"/>
    </row>
    <row r="156" spans="5:6">
      <c r="E156" s="1"/>
      <c r="F156" s="1"/>
    </row>
    <row r="157" spans="5:6">
      <c r="E157" s="1"/>
      <c r="F157" s="1"/>
    </row>
    <row r="158" spans="5:6">
      <c r="E158" s="1"/>
      <c r="F158" s="1"/>
    </row>
    <row r="159" spans="5:6">
      <c r="E159" s="1"/>
      <c r="F159" s="1"/>
    </row>
    <row r="160" spans="5:6">
      <c r="E160" s="1"/>
      <c r="F160" s="1"/>
    </row>
    <row r="161" spans="5:6">
      <c r="E161" s="1"/>
      <c r="F161" s="1"/>
    </row>
    <row r="162" spans="5:6">
      <c r="E162" s="1"/>
      <c r="F162" s="1"/>
    </row>
    <row r="163" spans="5:6">
      <c r="E163" s="1"/>
      <c r="F163" s="1"/>
    </row>
    <row r="164" spans="5:6">
      <c r="E164" s="1"/>
      <c r="F164" s="1"/>
    </row>
    <row r="165" spans="5:6">
      <c r="E165" s="1"/>
      <c r="F165" s="1"/>
    </row>
    <row r="166" spans="5:6">
      <c r="E166" s="1"/>
      <c r="F166" s="1"/>
    </row>
    <row r="167" spans="5:6">
      <c r="E167" s="1"/>
      <c r="F167" s="1"/>
    </row>
    <row r="168" spans="5:6">
      <c r="E168" s="1"/>
      <c r="F168" s="1"/>
    </row>
    <row r="169" spans="5:6">
      <c r="E169" s="1"/>
      <c r="F169" s="1"/>
    </row>
    <row r="170" spans="5:6">
      <c r="E170" s="1"/>
      <c r="F170" s="1"/>
    </row>
    <row r="171" spans="5:6">
      <c r="E171" s="1"/>
      <c r="F171" s="1"/>
    </row>
    <row r="172" spans="5:6">
      <c r="E172" s="1"/>
      <c r="F172" s="1"/>
    </row>
    <row r="173" spans="5:6">
      <c r="E173" s="1"/>
      <c r="F173" s="1"/>
    </row>
    <row r="174" spans="5:6">
      <c r="E174" s="1"/>
      <c r="F174" s="1"/>
    </row>
    <row r="175" spans="5:6">
      <c r="E175" s="1"/>
      <c r="F175" s="1"/>
    </row>
    <row r="176" spans="5:6">
      <c r="E176" s="1"/>
      <c r="F176" s="1"/>
    </row>
    <row r="177" spans="5:6">
      <c r="E177" s="1"/>
      <c r="F177" s="1"/>
    </row>
    <row r="178" spans="5:6">
      <c r="E178" s="1"/>
      <c r="F178" s="1"/>
    </row>
    <row r="179" spans="5:6">
      <c r="E179" s="1"/>
      <c r="F179" s="1"/>
    </row>
    <row r="180" spans="5:6">
      <c r="E180" s="1"/>
      <c r="F180" s="1"/>
    </row>
    <row r="181" spans="5:6">
      <c r="E181" s="1"/>
      <c r="F181" s="1"/>
    </row>
    <row r="182" spans="5:6">
      <c r="E182" s="1"/>
      <c r="F182" s="1"/>
    </row>
    <row r="183" spans="5:6">
      <c r="E183" s="1"/>
      <c r="F183" s="1"/>
    </row>
    <row r="184" spans="5:6">
      <c r="E184" s="1"/>
      <c r="F184" s="1"/>
    </row>
    <row r="185" spans="5:6">
      <c r="E185" s="1"/>
      <c r="F185" s="1"/>
    </row>
    <row r="186" spans="5:6">
      <c r="E186" s="1"/>
      <c r="F186" s="1"/>
    </row>
    <row r="187" spans="5:6">
      <c r="E187" s="1"/>
      <c r="F187" s="1"/>
    </row>
    <row r="188" spans="5:6">
      <c r="E188" s="1"/>
      <c r="F188" s="1"/>
    </row>
    <row r="189" spans="5:6">
      <c r="E189" s="1"/>
      <c r="F189" s="1"/>
    </row>
    <row r="190" spans="5:6">
      <c r="E190" s="1"/>
      <c r="F190" s="1"/>
    </row>
    <row r="191" spans="5:6">
      <c r="E191" s="1"/>
      <c r="F191" s="1"/>
    </row>
    <row r="192" spans="5:6">
      <c r="E192" s="1"/>
      <c r="F192" s="1"/>
    </row>
    <row r="193" spans="5:6">
      <c r="E193" s="1"/>
      <c r="F193" s="1"/>
    </row>
    <row r="194" spans="5:6">
      <c r="E194" s="1"/>
      <c r="F194" s="1"/>
    </row>
    <row r="195" spans="5:6">
      <c r="E195" s="1"/>
      <c r="F195" s="1"/>
    </row>
    <row r="196" spans="5:6">
      <c r="E196" s="1"/>
      <c r="F196" s="1"/>
    </row>
    <row r="197" spans="5:6">
      <c r="E197" s="1"/>
      <c r="F197" s="1"/>
    </row>
    <row r="198" spans="5:6">
      <c r="E198" s="1"/>
      <c r="F198" s="1"/>
    </row>
    <row r="199" spans="5:6">
      <c r="E199" s="1"/>
      <c r="F199" s="1"/>
    </row>
    <row r="200" spans="5:6">
      <c r="E200" s="1"/>
      <c r="F200" s="1"/>
    </row>
    <row r="201" spans="5:6">
      <c r="E201" s="1"/>
      <c r="F201" s="1"/>
    </row>
    <row r="202" spans="5:6">
      <c r="E202" s="1"/>
      <c r="F202" s="1"/>
    </row>
    <row r="203" spans="5:6">
      <c r="E203" s="1"/>
      <c r="F203" s="1"/>
    </row>
    <row r="204" spans="5:6">
      <c r="E204" s="1"/>
      <c r="F204" s="1"/>
    </row>
    <row r="205" spans="5:6">
      <c r="E205" s="1"/>
      <c r="F205" s="1"/>
    </row>
    <row r="206" spans="5:6">
      <c r="E206" s="1"/>
      <c r="F206" s="1"/>
    </row>
    <row r="207" spans="5:6">
      <c r="E207" s="1"/>
      <c r="F207" s="1"/>
    </row>
    <row r="208" spans="5:6">
      <c r="E208" s="1"/>
      <c r="F208" s="1"/>
    </row>
    <row r="209" spans="5:6">
      <c r="E209" s="1"/>
      <c r="F209" s="1"/>
    </row>
    <row r="210" spans="5:6">
      <c r="E210" s="1"/>
      <c r="F210" s="1"/>
    </row>
    <row r="211" spans="5:6">
      <c r="E211" s="1"/>
      <c r="F211" s="1"/>
    </row>
    <row r="212" spans="5:6">
      <c r="E212" s="1"/>
      <c r="F212" s="1"/>
    </row>
    <row r="213" spans="5:6">
      <c r="E213" s="1"/>
      <c r="F213" s="1"/>
    </row>
    <row r="214" spans="5:6">
      <c r="E214" s="1"/>
      <c r="F214" s="1"/>
    </row>
    <row r="215" spans="5:6">
      <c r="E215" s="1"/>
      <c r="F215" s="1"/>
    </row>
    <row r="216" spans="5:6">
      <c r="E216" s="1"/>
      <c r="F216" s="1"/>
    </row>
    <row r="217" spans="5:6">
      <c r="E217" s="1"/>
      <c r="F217" s="1"/>
    </row>
    <row r="218" spans="5:6">
      <c r="E218" s="1"/>
      <c r="F218" s="1"/>
    </row>
    <row r="219" spans="5:6">
      <c r="E219" s="1"/>
      <c r="F219" s="1"/>
    </row>
    <row r="220" spans="5:6">
      <c r="E220" s="1"/>
      <c r="F220" s="1"/>
    </row>
    <row r="221" spans="5:6">
      <c r="E221" s="1"/>
      <c r="F221" s="1"/>
    </row>
    <row r="222" spans="5:6">
      <c r="E222" s="1"/>
      <c r="F222" s="1"/>
    </row>
    <row r="223" spans="5:6">
      <c r="E223" s="1"/>
      <c r="F223" s="1"/>
    </row>
    <row r="224" spans="5:6">
      <c r="E224" s="1"/>
      <c r="F224" s="1"/>
    </row>
    <row r="225" spans="5:6">
      <c r="E225" s="1"/>
      <c r="F225" s="1"/>
    </row>
    <row r="226" spans="5:6">
      <c r="E226" s="1"/>
      <c r="F226" s="1"/>
    </row>
    <row r="227" spans="5:6">
      <c r="E227" s="1"/>
      <c r="F227" s="1"/>
    </row>
    <row r="228" spans="5:6">
      <c r="E228" s="1"/>
      <c r="F228" s="1"/>
    </row>
    <row r="229" spans="5:6">
      <c r="E229" s="1"/>
      <c r="F229" s="1"/>
    </row>
    <row r="230" spans="5:6">
      <c r="E230" s="1"/>
      <c r="F230" s="1"/>
    </row>
    <row r="231" spans="5:6">
      <c r="E231" s="1"/>
      <c r="F231" s="1"/>
    </row>
    <row r="232" spans="5:6">
      <c r="E232" s="1"/>
      <c r="F232" s="1"/>
    </row>
    <row r="233" spans="5:6">
      <c r="E233" s="1"/>
      <c r="F233" s="1"/>
    </row>
    <row r="234" spans="5:6">
      <c r="E234" s="1"/>
      <c r="F234" s="1"/>
    </row>
    <row r="235" spans="5:6">
      <c r="E235" s="1"/>
      <c r="F235" s="1"/>
    </row>
    <row r="236" spans="5:6">
      <c r="E236" s="1"/>
      <c r="F236" s="1"/>
    </row>
    <row r="237" spans="5:6">
      <c r="E237" s="1"/>
      <c r="F237" s="1"/>
    </row>
    <row r="238" spans="5:6">
      <c r="E238" s="1"/>
      <c r="F238" s="1"/>
    </row>
    <row r="239" spans="5:6">
      <c r="E239" s="1"/>
      <c r="F239" s="1"/>
    </row>
    <row r="240" spans="5:6">
      <c r="E240" s="1"/>
      <c r="F240" s="1"/>
    </row>
    <row r="241" spans="5:6">
      <c r="E241" s="1"/>
      <c r="F241" s="1"/>
    </row>
    <row r="242" spans="5:6">
      <c r="E242" s="1"/>
      <c r="F242" s="1"/>
    </row>
    <row r="243" spans="5:6">
      <c r="E243" s="1"/>
      <c r="F243" s="1"/>
    </row>
    <row r="244" spans="5:6">
      <c r="E244" s="1"/>
      <c r="F244" s="1"/>
    </row>
    <row r="245" spans="5:6">
      <c r="E245" s="1"/>
      <c r="F245" s="1"/>
    </row>
    <row r="246" spans="5:6">
      <c r="E246" s="1"/>
      <c r="F246" s="1"/>
    </row>
    <row r="247" spans="5:6">
      <c r="E247" s="1"/>
      <c r="F247" s="1"/>
    </row>
    <row r="248" spans="5:6">
      <c r="E248" s="1"/>
      <c r="F248" s="1"/>
    </row>
    <row r="249" spans="5:6">
      <c r="E249" s="1"/>
      <c r="F249" s="1"/>
    </row>
    <row r="250" spans="5:6">
      <c r="E250" s="1"/>
      <c r="F250" s="1"/>
    </row>
    <row r="251" spans="5:6">
      <c r="E251" s="1"/>
      <c r="F251" s="1"/>
    </row>
    <row r="252" spans="5:6">
      <c r="E252" s="1"/>
      <c r="F252" s="1"/>
    </row>
    <row r="253" spans="5:6">
      <c r="E253" s="1"/>
      <c r="F253" s="1"/>
    </row>
    <row r="254" spans="5:6">
      <c r="E254" s="1"/>
      <c r="F254" s="1"/>
    </row>
    <row r="255" spans="5:6">
      <c r="E255" s="1"/>
      <c r="F255" s="1"/>
    </row>
    <row r="256" spans="5:6">
      <c r="E256" s="1"/>
      <c r="F256" s="1"/>
    </row>
    <row r="257" spans="5:6">
      <c r="E257" s="1"/>
      <c r="F257" s="1"/>
    </row>
    <row r="258" spans="5:6">
      <c r="E258" s="1"/>
      <c r="F258" s="1"/>
    </row>
    <row r="259" spans="5:6">
      <c r="E259" s="1"/>
      <c r="F259" s="1"/>
    </row>
    <row r="260" spans="5:6">
      <c r="E260" s="1"/>
      <c r="F260" s="1"/>
    </row>
    <row r="261" spans="5:6">
      <c r="E261" s="1"/>
      <c r="F261" s="1"/>
    </row>
    <row r="262" spans="5:6">
      <c r="E262" s="1"/>
      <c r="F262" s="1"/>
    </row>
    <row r="263" spans="5:6">
      <c r="E263" s="1"/>
      <c r="F263" s="1"/>
    </row>
    <row r="264" spans="5:6">
      <c r="E264" s="1"/>
      <c r="F264" s="1"/>
    </row>
    <row r="265" spans="5:6">
      <c r="E265" s="1"/>
      <c r="F265" s="1"/>
    </row>
    <row r="266" spans="5:6">
      <c r="E266" s="1"/>
      <c r="F266" s="1"/>
    </row>
    <row r="267" spans="5:6">
      <c r="E267" s="1"/>
      <c r="F267" s="1"/>
    </row>
    <row r="268" spans="5:6">
      <c r="E268" s="1"/>
      <c r="F268" s="1"/>
    </row>
    <row r="269" spans="5:6">
      <c r="E269" s="1"/>
      <c r="F269" s="1"/>
    </row>
    <row r="270" spans="5:6">
      <c r="E270" s="1"/>
      <c r="F270" s="1"/>
    </row>
    <row r="271" spans="5:6">
      <c r="E271" s="1"/>
      <c r="F271" s="1"/>
    </row>
    <row r="272" spans="5:6">
      <c r="E272" s="1"/>
      <c r="F272" s="1"/>
    </row>
    <row r="273" spans="5:6">
      <c r="E273" s="1"/>
      <c r="F273" s="1"/>
    </row>
    <row r="274" spans="5:6">
      <c r="E274" s="1"/>
      <c r="F274" s="1"/>
    </row>
    <row r="275" spans="5:6">
      <c r="E275" s="1"/>
      <c r="F275" s="1"/>
    </row>
    <row r="276" spans="5:6">
      <c r="E276" s="1"/>
      <c r="F276" s="1"/>
    </row>
    <row r="277" spans="5:6">
      <c r="E277" s="1"/>
      <c r="F277" s="1"/>
    </row>
    <row r="278" spans="5:6">
      <c r="E278" s="1"/>
      <c r="F278" s="1"/>
    </row>
    <row r="279" spans="5:6">
      <c r="E279" s="1"/>
      <c r="F279" s="1"/>
    </row>
    <row r="280" spans="5:6">
      <c r="E280" s="1"/>
      <c r="F280" s="1"/>
    </row>
    <row r="281" spans="5:6">
      <c r="E281" s="1"/>
      <c r="F281" s="1"/>
    </row>
    <row r="282" spans="5:6">
      <c r="E282" s="1"/>
      <c r="F282" s="1"/>
    </row>
    <row r="283" spans="5:6">
      <c r="E283" s="1"/>
      <c r="F283" s="1"/>
    </row>
    <row r="284" spans="5:6">
      <c r="E284" s="1"/>
      <c r="F284" s="1"/>
    </row>
    <row r="285" spans="5:6">
      <c r="E285" s="1"/>
      <c r="F285" s="1"/>
    </row>
    <row r="286" spans="5:6">
      <c r="E286" s="1"/>
      <c r="F286" s="1"/>
    </row>
    <row r="287" spans="5:6">
      <c r="E287" s="1"/>
      <c r="F287" s="1"/>
    </row>
    <row r="288" spans="5:6">
      <c r="E288" s="1"/>
      <c r="F288" s="1"/>
    </row>
    <row r="289" spans="5:6">
      <c r="E289" s="1"/>
      <c r="F289" s="1"/>
    </row>
    <row r="290" spans="5:6">
      <c r="E290" s="1"/>
      <c r="F290" s="1"/>
    </row>
    <row r="291" spans="5:6">
      <c r="E291" s="1"/>
      <c r="F291" s="1"/>
    </row>
    <row r="292" spans="5:6">
      <c r="E292" s="1"/>
      <c r="F292" s="1"/>
    </row>
    <row r="293" spans="5:6">
      <c r="E293" s="1"/>
      <c r="F293" s="1"/>
    </row>
    <row r="294" spans="5:6">
      <c r="E294" s="1"/>
      <c r="F294" s="1"/>
    </row>
    <row r="295" spans="5:6">
      <c r="E295" s="1"/>
      <c r="F295" s="1"/>
    </row>
    <row r="296" spans="5:6">
      <c r="E296" s="1"/>
      <c r="F296" s="1"/>
    </row>
    <row r="297" spans="5:6">
      <c r="E297" s="1"/>
      <c r="F297" s="1"/>
    </row>
    <row r="298" spans="5:6">
      <c r="E298" s="1"/>
      <c r="F298" s="1"/>
    </row>
    <row r="299" spans="5:6">
      <c r="E299" s="1"/>
      <c r="F299" s="1"/>
    </row>
    <row r="300" spans="5:6">
      <c r="E300" s="1"/>
      <c r="F300" s="1"/>
    </row>
    <row r="301" spans="5:6">
      <c r="E301" s="1"/>
      <c r="F301" s="1"/>
    </row>
    <row r="302" spans="5:6">
      <c r="E302" s="1"/>
      <c r="F302" s="1"/>
    </row>
    <row r="303" spans="5:6">
      <c r="E303" s="1"/>
      <c r="F303" s="1"/>
    </row>
    <row r="304" spans="5:6">
      <c r="E304" s="1"/>
      <c r="F304" s="1"/>
    </row>
    <row r="305" spans="5:6">
      <c r="E305" s="1"/>
      <c r="F305" s="1"/>
    </row>
    <row r="306" spans="5:6">
      <c r="E306" s="1"/>
      <c r="F306" s="1"/>
    </row>
    <row r="307" spans="5:6">
      <c r="E307" s="1"/>
      <c r="F307" s="1"/>
    </row>
    <row r="308" spans="5:6">
      <c r="E308" s="1"/>
      <c r="F308" s="1"/>
    </row>
    <row r="309" spans="5:6">
      <c r="E309" s="1"/>
      <c r="F309" s="1"/>
    </row>
    <row r="310" spans="5:6">
      <c r="E310" s="1"/>
      <c r="F310" s="1"/>
    </row>
    <row r="311" spans="5:6">
      <c r="E311" s="1"/>
      <c r="F311" s="1"/>
    </row>
    <row r="312" spans="5:6">
      <c r="E312" s="1"/>
      <c r="F312" s="1"/>
    </row>
    <row r="313" spans="5:6">
      <c r="E313" s="1"/>
      <c r="F313" s="1"/>
    </row>
    <row r="314" spans="5:6">
      <c r="E314" s="1"/>
      <c r="F314" s="1"/>
    </row>
    <row r="315" spans="5:6">
      <c r="E315" s="1"/>
      <c r="F315" s="1"/>
    </row>
    <row r="316" spans="5:6">
      <c r="E316" s="1"/>
      <c r="F316" s="1"/>
    </row>
    <row r="317" spans="5:6">
      <c r="E317" s="1"/>
      <c r="F317" s="1"/>
    </row>
    <row r="318" spans="5:6">
      <c r="E318" s="1"/>
      <c r="F318" s="1"/>
    </row>
    <row r="319" spans="5:6">
      <c r="E319" s="1"/>
      <c r="F319" s="1"/>
    </row>
    <row r="320" spans="5:6">
      <c r="E320" s="1"/>
      <c r="F320" s="1"/>
    </row>
    <row r="321" spans="5:6">
      <c r="E321" s="1"/>
      <c r="F321" s="1"/>
    </row>
    <row r="322" spans="5:6">
      <c r="E322" s="1"/>
      <c r="F322" s="1"/>
    </row>
    <row r="323" spans="5:6">
      <c r="E323" s="1"/>
      <c r="F323" s="1"/>
    </row>
    <row r="324" spans="5:6">
      <c r="E324" s="1"/>
      <c r="F324" s="1"/>
    </row>
    <row r="325" spans="5:6">
      <c r="E325" s="1"/>
      <c r="F325" s="1"/>
    </row>
    <row r="326" spans="5:6">
      <c r="E326" s="1"/>
      <c r="F326" s="1"/>
    </row>
    <row r="327" spans="5:6">
      <c r="E327" s="1"/>
      <c r="F327" s="1"/>
    </row>
    <row r="328" spans="5:6">
      <c r="E328" s="1"/>
      <c r="F328" s="1"/>
    </row>
    <row r="329" spans="5:6">
      <c r="E329" s="1"/>
      <c r="F329" s="1"/>
    </row>
    <row r="330" spans="5:6">
      <c r="E330" s="1"/>
      <c r="F330" s="1"/>
    </row>
    <row r="331" spans="5:6">
      <c r="E331" s="1"/>
      <c r="F331" s="1"/>
    </row>
    <row r="332" spans="5:6">
      <c r="E332" s="1"/>
      <c r="F332" s="1"/>
    </row>
    <row r="333" spans="5:6">
      <c r="E333" s="1"/>
      <c r="F333" s="1"/>
    </row>
    <row r="334" spans="5:6">
      <c r="E334" s="1"/>
      <c r="F334" s="1"/>
    </row>
    <row r="335" spans="5:6">
      <c r="E335" s="1"/>
      <c r="F335" s="1"/>
    </row>
    <row r="336" spans="5:6">
      <c r="E336" s="1"/>
      <c r="F336" s="1"/>
    </row>
    <row r="337" spans="5:6">
      <c r="E337" s="1"/>
      <c r="F337" s="1"/>
    </row>
    <row r="338" spans="5:6">
      <c r="E338" s="1"/>
      <c r="F338" s="1"/>
    </row>
    <row r="339" spans="5:6">
      <c r="E339" s="1"/>
      <c r="F339" s="1"/>
    </row>
    <row r="340" spans="5:6">
      <c r="E340" s="1"/>
      <c r="F340" s="1"/>
    </row>
    <row r="341" spans="5:6">
      <c r="E341" s="1"/>
      <c r="F341" s="1"/>
    </row>
    <row r="342" spans="5:6">
      <c r="E342" s="1"/>
      <c r="F342" s="1"/>
    </row>
    <row r="343" spans="5:6">
      <c r="E343" s="1"/>
      <c r="F343" s="1"/>
    </row>
    <row r="344" spans="5:6">
      <c r="E344" s="1"/>
      <c r="F344" s="1"/>
    </row>
    <row r="345" spans="5:6">
      <c r="E345" s="1"/>
      <c r="F345" s="1"/>
    </row>
    <row r="346" spans="5:6">
      <c r="E346" s="1"/>
      <c r="F346" s="1"/>
    </row>
    <row r="347" spans="5:6">
      <c r="E347" s="1"/>
      <c r="F347" s="1"/>
    </row>
    <row r="348" spans="5:6">
      <c r="E348" s="1"/>
      <c r="F348" s="1"/>
    </row>
    <row r="349" spans="5:6">
      <c r="E349" s="1"/>
      <c r="F349" s="1"/>
    </row>
    <row r="350" spans="5:6">
      <c r="E350" s="1"/>
      <c r="F350" s="1"/>
    </row>
    <row r="351" spans="5:6">
      <c r="E351" s="1"/>
      <c r="F351" s="1"/>
    </row>
    <row r="352" spans="5:6">
      <c r="E352" s="1"/>
      <c r="F352" s="1"/>
    </row>
    <row r="353" spans="5:6">
      <c r="E353" s="1"/>
      <c r="F353" s="1"/>
    </row>
    <row r="354" spans="5:6">
      <c r="E354" s="1"/>
      <c r="F354" s="1"/>
    </row>
    <row r="355" spans="5:6">
      <c r="E355" s="1"/>
      <c r="F355" s="1"/>
    </row>
    <row r="356" spans="5:6">
      <c r="E356" s="1"/>
      <c r="F356" s="1"/>
    </row>
    <row r="357" spans="5:6">
      <c r="E357" s="1"/>
      <c r="F357" s="1"/>
    </row>
    <row r="358" spans="5:6">
      <c r="E358" s="1"/>
      <c r="F358" s="1"/>
    </row>
    <row r="359" spans="5:6">
      <c r="E359" s="1"/>
      <c r="F359" s="1"/>
    </row>
    <row r="360" spans="5:6">
      <c r="E360" s="1"/>
      <c r="F360" s="1"/>
    </row>
    <row r="361" spans="5:6">
      <c r="E361" s="1"/>
      <c r="F361" s="1"/>
    </row>
    <row r="362" spans="5:6">
      <c r="E362" s="1"/>
      <c r="F362" s="1"/>
    </row>
    <row r="363" spans="5:6">
      <c r="E363" s="1"/>
      <c r="F363" s="1"/>
    </row>
    <row r="364" spans="5:6">
      <c r="E364" s="1"/>
      <c r="F364" s="1"/>
    </row>
    <row r="365" spans="5:6">
      <c r="E365" s="1"/>
      <c r="F365" s="1"/>
    </row>
    <row r="366" spans="5:6">
      <c r="E366" s="1"/>
      <c r="F366" s="1"/>
    </row>
    <row r="367" spans="5:6">
      <c r="E367" s="1"/>
      <c r="F367" s="1"/>
    </row>
    <row r="368" spans="5:6">
      <c r="E368" s="1"/>
      <c r="F368" s="1"/>
    </row>
    <row r="369" spans="5:6">
      <c r="E369" s="1"/>
      <c r="F369" s="1"/>
    </row>
    <row r="370" spans="5:6">
      <c r="E370" s="1"/>
      <c r="F370" s="1"/>
    </row>
    <row r="371" spans="5:6">
      <c r="E371" s="1"/>
      <c r="F371" s="1"/>
    </row>
    <row r="372" spans="5:6">
      <c r="E372" s="1"/>
      <c r="F372" s="1"/>
    </row>
    <row r="373" spans="5:6">
      <c r="E373" s="1"/>
      <c r="F373" s="1"/>
    </row>
    <row r="374" spans="5:6">
      <c r="E374" s="1"/>
      <c r="F374" s="1"/>
    </row>
    <row r="375" spans="5:6">
      <c r="E375" s="1"/>
      <c r="F375" s="1"/>
    </row>
    <row r="376" spans="5:6">
      <c r="E376" s="1"/>
      <c r="F376" s="1"/>
    </row>
    <row r="377" spans="5:6">
      <c r="E377" s="1"/>
      <c r="F377" s="1"/>
    </row>
    <row r="378" spans="5:6">
      <c r="E378" s="1"/>
      <c r="F378" s="1"/>
    </row>
    <row r="379" spans="5:6">
      <c r="E379" s="1"/>
      <c r="F379" s="1"/>
    </row>
    <row r="380" spans="5:6">
      <c r="E380" s="1"/>
      <c r="F380" s="1"/>
    </row>
    <row r="381" spans="5:6">
      <c r="E381" s="1"/>
      <c r="F381" s="1"/>
    </row>
    <row r="382" spans="5:6">
      <c r="E382" s="1"/>
      <c r="F382" s="1"/>
    </row>
    <row r="383" spans="5:6">
      <c r="E383" s="1"/>
      <c r="F383" s="1"/>
    </row>
    <row r="384" spans="5:6">
      <c r="E384" s="1"/>
      <c r="F384" s="1"/>
    </row>
    <row r="385" spans="5:6">
      <c r="E385" s="1"/>
      <c r="F385" s="1"/>
    </row>
    <row r="386" spans="5:6">
      <c r="E386" s="1"/>
      <c r="F386" s="1"/>
    </row>
    <row r="387" spans="5:6">
      <c r="E387" s="1"/>
      <c r="F387" s="1"/>
    </row>
    <row r="388" spans="5:6">
      <c r="E388" s="1"/>
      <c r="F388" s="1"/>
    </row>
    <row r="389" spans="5:6">
      <c r="E389" s="1"/>
      <c r="F389" s="1"/>
    </row>
    <row r="390" spans="5:6">
      <c r="E390" s="1"/>
      <c r="F390" s="1"/>
    </row>
    <row r="391" spans="5:6">
      <c r="E391" s="1"/>
      <c r="F391" s="1"/>
    </row>
    <row r="392" spans="5:6">
      <c r="E392" s="1"/>
      <c r="F392" s="1"/>
    </row>
    <row r="393" spans="5:6">
      <c r="E393" s="1"/>
      <c r="F393" s="1"/>
    </row>
    <row r="394" spans="5:6">
      <c r="E394" s="1"/>
      <c r="F394" s="1"/>
    </row>
    <row r="395" spans="5:6">
      <c r="E395" s="1"/>
      <c r="F395" s="1"/>
    </row>
    <row r="396" spans="5:6">
      <c r="E396" s="1"/>
      <c r="F396" s="1"/>
    </row>
    <row r="397" spans="5:6">
      <c r="E397" s="1"/>
      <c r="F397" s="1"/>
    </row>
    <row r="398" spans="5:6">
      <c r="E398" s="1"/>
      <c r="F398" s="1"/>
    </row>
    <row r="399" spans="5:6">
      <c r="E399" s="1"/>
      <c r="F399" s="1"/>
    </row>
    <row r="400" spans="5:6">
      <c r="E400" s="1"/>
      <c r="F400" s="1"/>
    </row>
    <row r="401" spans="5:6">
      <c r="E401" s="1"/>
      <c r="F401" s="1"/>
    </row>
    <row r="402" spans="5:6">
      <c r="E402" s="1"/>
      <c r="F402" s="1"/>
    </row>
    <row r="403" spans="5:6">
      <c r="E403" s="1"/>
      <c r="F403" s="1"/>
    </row>
    <row r="404" spans="5:6">
      <c r="E404" s="1"/>
      <c r="F404" s="1"/>
    </row>
    <row r="405" spans="5:6">
      <c r="E405" s="1"/>
      <c r="F405" s="1"/>
    </row>
    <row r="406" spans="5:6">
      <c r="E406" s="1"/>
      <c r="F406" s="1"/>
    </row>
    <row r="407" spans="5:6">
      <c r="E407" s="1"/>
      <c r="F407" s="1"/>
    </row>
    <row r="408" spans="5:6">
      <c r="E408" s="1"/>
      <c r="F408" s="1"/>
    </row>
    <row r="409" spans="5:6">
      <c r="E409" s="1"/>
      <c r="F409" s="1"/>
    </row>
    <row r="410" spans="5:6">
      <c r="E410" s="1"/>
      <c r="F410" s="1"/>
    </row>
    <row r="411" spans="5:6">
      <c r="E411" s="1"/>
      <c r="F411" s="1"/>
    </row>
    <row r="412" spans="5:6">
      <c r="E412" s="1"/>
      <c r="F412" s="1"/>
    </row>
    <row r="413" spans="5:6">
      <c r="E413" s="1"/>
      <c r="F413" s="1"/>
    </row>
    <row r="414" spans="5:6">
      <c r="E414" s="1"/>
      <c r="F414" s="1"/>
    </row>
    <row r="415" spans="5:6">
      <c r="E415" s="1"/>
      <c r="F415" s="1"/>
    </row>
    <row r="416" spans="5:6">
      <c r="E416" s="1"/>
      <c r="F416" s="1"/>
    </row>
    <row r="417" spans="5:6">
      <c r="E417" s="1"/>
      <c r="F417" s="1"/>
    </row>
    <row r="418" spans="5:6">
      <c r="E418" s="1"/>
      <c r="F418" s="1"/>
    </row>
    <row r="419" spans="5:6">
      <c r="E419" s="1"/>
      <c r="F419" s="1"/>
    </row>
    <row r="420" spans="5:6">
      <c r="E420" s="1"/>
      <c r="F420" s="1"/>
    </row>
    <row r="421" spans="5:6">
      <c r="E421" s="1"/>
      <c r="F421" s="1"/>
    </row>
    <row r="422" spans="5:6">
      <c r="E422" s="1"/>
      <c r="F422" s="1"/>
    </row>
    <row r="423" spans="5:6">
      <c r="E423" s="1"/>
      <c r="F423" s="1"/>
    </row>
    <row r="424" spans="5:6">
      <c r="E424" s="1"/>
      <c r="F424" s="1"/>
    </row>
    <row r="425" spans="5:6">
      <c r="E425" s="1"/>
      <c r="F425" s="1"/>
    </row>
    <row r="426" spans="5:6">
      <c r="E426" s="1"/>
      <c r="F426" s="1"/>
    </row>
    <row r="427" spans="5:6">
      <c r="E427" s="1"/>
      <c r="F427" s="1"/>
    </row>
    <row r="428" spans="5:6">
      <c r="E428" s="1"/>
      <c r="F428" s="1"/>
    </row>
    <row r="429" spans="5:6">
      <c r="E429" s="1"/>
      <c r="F429" s="1"/>
    </row>
    <row r="430" spans="5:6">
      <c r="E430" s="1"/>
      <c r="F430" s="1"/>
    </row>
    <row r="431" spans="5:6">
      <c r="E431" s="1"/>
      <c r="F431" s="1"/>
    </row>
    <row r="432" spans="5:6">
      <c r="E432" s="1"/>
      <c r="F432" s="1"/>
    </row>
    <row r="433" spans="5:6">
      <c r="E433" s="1"/>
      <c r="F433" s="1"/>
    </row>
    <row r="434" spans="5:6">
      <c r="E434" s="1"/>
      <c r="F434" s="1"/>
    </row>
    <row r="435" spans="5:6">
      <c r="E435" s="1"/>
      <c r="F435" s="1"/>
    </row>
    <row r="436" spans="5:6">
      <c r="E436" s="1"/>
      <c r="F436" s="1"/>
    </row>
    <row r="437" spans="5:6">
      <c r="E437" s="1"/>
      <c r="F437" s="1"/>
    </row>
    <row r="438" spans="5:6">
      <c r="E438" s="1"/>
      <c r="F438" s="1"/>
    </row>
    <row r="439" spans="5:6">
      <c r="E439" s="1"/>
      <c r="F439" s="1"/>
    </row>
    <row r="440" spans="5:6">
      <c r="E440" s="1"/>
      <c r="F440" s="1"/>
    </row>
    <row r="441" spans="5:6">
      <c r="E441" s="1"/>
      <c r="F441" s="1"/>
    </row>
    <row r="442" spans="5:6">
      <c r="E442" s="1"/>
      <c r="F442" s="1"/>
    </row>
    <row r="443" spans="5:6">
      <c r="E443" s="1"/>
      <c r="F443" s="1"/>
    </row>
    <row r="444" spans="5:6">
      <c r="E444" s="1"/>
      <c r="F444" s="1"/>
    </row>
    <row r="445" spans="5:6">
      <c r="E445" s="1"/>
      <c r="F445" s="1"/>
    </row>
    <row r="446" spans="5:6">
      <c r="E446" s="1"/>
      <c r="F446" s="1"/>
    </row>
    <row r="447" spans="5:6">
      <c r="E447" s="1"/>
      <c r="F447" s="1"/>
    </row>
    <row r="448" spans="5:6">
      <c r="E448" s="1"/>
      <c r="F448" s="1"/>
    </row>
    <row r="449" spans="5:6">
      <c r="E449" s="1"/>
      <c r="F449" s="1"/>
    </row>
    <row r="450" spans="5:6">
      <c r="E450" s="1"/>
      <c r="F450" s="1"/>
    </row>
    <row r="451" spans="5:6">
      <c r="E451" s="1"/>
      <c r="F451" s="1"/>
    </row>
    <row r="452" spans="5:6">
      <c r="E452" s="1"/>
      <c r="F452" s="1"/>
    </row>
    <row r="453" spans="5:6">
      <c r="E453" s="1"/>
      <c r="F453" s="1"/>
    </row>
    <row r="454" spans="5:6">
      <c r="E454" s="1"/>
      <c r="F454" s="1"/>
    </row>
    <row r="455" spans="5:6">
      <c r="E455" s="1"/>
      <c r="F455" s="1"/>
    </row>
    <row r="456" spans="5:6">
      <c r="E456" s="1"/>
      <c r="F456" s="1"/>
    </row>
    <row r="457" spans="5:6">
      <c r="E457" s="1"/>
      <c r="F457" s="1"/>
    </row>
    <row r="458" spans="5:6">
      <c r="E458" s="1"/>
      <c r="F458" s="1"/>
    </row>
    <row r="459" spans="5:6">
      <c r="E459" s="1"/>
      <c r="F459" s="1"/>
    </row>
    <row r="460" spans="5:6">
      <c r="E460" s="1"/>
      <c r="F460" s="1"/>
    </row>
    <row r="461" spans="5:6">
      <c r="E461" s="1"/>
      <c r="F461" s="1"/>
    </row>
    <row r="462" spans="5:6">
      <c r="E462" s="1"/>
      <c r="F462" s="1"/>
    </row>
    <row r="463" spans="5:6">
      <c r="E463" s="1"/>
      <c r="F463" s="1"/>
    </row>
    <row r="464" spans="5:6">
      <c r="E464" s="1"/>
      <c r="F464" s="1"/>
    </row>
    <row r="465" spans="5:6">
      <c r="E465" s="1"/>
      <c r="F465" s="1"/>
    </row>
    <row r="466" spans="5:6">
      <c r="E466" s="1"/>
      <c r="F466" s="1"/>
    </row>
    <row r="467" spans="5:6">
      <c r="E467" s="1"/>
      <c r="F467" s="1"/>
    </row>
    <row r="468" spans="5:6">
      <c r="E468" s="1"/>
      <c r="F468" s="1"/>
    </row>
    <row r="469" spans="5:6">
      <c r="E469" s="1"/>
      <c r="F469" s="1"/>
    </row>
    <row r="470" spans="5:6">
      <c r="E470" s="1"/>
      <c r="F470" s="1"/>
    </row>
    <row r="471" spans="5:6">
      <c r="E471" s="1"/>
      <c r="F471" s="1"/>
    </row>
    <row r="472" spans="5:6">
      <c r="E472" s="1"/>
      <c r="F472" s="1"/>
    </row>
    <row r="473" spans="5:6">
      <c r="E473" s="1"/>
      <c r="F473" s="1"/>
    </row>
    <row r="474" spans="5:6">
      <c r="E474" s="1"/>
      <c r="F474" s="1"/>
    </row>
    <row r="475" spans="5:6">
      <c r="E475" s="1"/>
      <c r="F475" s="1"/>
    </row>
    <row r="476" spans="5:6">
      <c r="E476" s="1"/>
      <c r="F476" s="1"/>
    </row>
    <row r="477" spans="5:6">
      <c r="E477" s="1"/>
      <c r="F477" s="1"/>
    </row>
    <row r="478" spans="5:6">
      <c r="E478" s="1"/>
      <c r="F478" s="1"/>
    </row>
    <row r="479" spans="5:6">
      <c r="E479" s="1"/>
      <c r="F479" s="1"/>
    </row>
    <row r="480" spans="5:6">
      <c r="E480" s="1"/>
      <c r="F480" s="1"/>
    </row>
    <row r="481" spans="5:6">
      <c r="E481" s="1"/>
      <c r="F481" s="1"/>
    </row>
    <row r="482" spans="5:6">
      <c r="E482" s="1"/>
      <c r="F482" s="1"/>
    </row>
    <row r="483" spans="5:6">
      <c r="E483" s="1"/>
      <c r="F483" s="1"/>
    </row>
    <row r="484" spans="5:6">
      <c r="E484" s="1"/>
      <c r="F484" s="1"/>
    </row>
    <row r="485" spans="5:6">
      <c r="E485" s="1"/>
      <c r="F485" s="1"/>
    </row>
    <row r="486" spans="5:6">
      <c r="E486" s="1"/>
      <c r="F486" s="1"/>
    </row>
    <row r="487" spans="5:6">
      <c r="E487" s="1"/>
      <c r="F487" s="1"/>
    </row>
    <row r="488" spans="5:6">
      <c r="E488" s="1"/>
      <c r="F488" s="1"/>
    </row>
    <row r="489" spans="5:6">
      <c r="E489" s="1"/>
      <c r="F489" s="1"/>
    </row>
    <row r="490" spans="5:6">
      <c r="E490" s="1"/>
      <c r="F490" s="1"/>
    </row>
    <row r="491" spans="5:6">
      <c r="E491" s="1"/>
      <c r="F491" s="1"/>
    </row>
    <row r="492" spans="5:6">
      <c r="E492" s="1"/>
      <c r="F492" s="1"/>
    </row>
    <row r="493" spans="5:6">
      <c r="E493" s="1"/>
      <c r="F493" s="1"/>
    </row>
    <row r="494" spans="5:6">
      <c r="E494" s="1"/>
      <c r="F494" s="1"/>
    </row>
    <row r="495" spans="5:6">
      <c r="E495" s="1"/>
      <c r="F495" s="1"/>
    </row>
    <row r="496" spans="5:6">
      <c r="E496" s="1"/>
      <c r="F496" s="1"/>
    </row>
    <row r="497" spans="5:6">
      <c r="E497" s="1"/>
      <c r="F497" s="1"/>
    </row>
    <row r="498" spans="5:6">
      <c r="E498" s="1"/>
      <c r="F498" s="1"/>
    </row>
    <row r="499" spans="5:6">
      <c r="E499" s="1"/>
      <c r="F499" s="1"/>
    </row>
    <row r="500" spans="5:6">
      <c r="E500" s="1"/>
      <c r="F500" s="1"/>
    </row>
    <row r="501" spans="5:6">
      <c r="E501" s="1"/>
      <c r="F501" s="1"/>
    </row>
    <row r="502" spans="5:6">
      <c r="E502" s="1"/>
      <c r="F502" s="1"/>
    </row>
    <row r="503" spans="5:6">
      <c r="E503" s="1"/>
      <c r="F503" s="1"/>
    </row>
    <row r="504" spans="5:6">
      <c r="E504" s="1"/>
      <c r="F504" s="1"/>
    </row>
    <row r="505" spans="5:6">
      <c r="E505" s="1"/>
      <c r="F505" s="1"/>
    </row>
    <row r="506" spans="5:6">
      <c r="E506" s="1"/>
      <c r="F506" s="1"/>
    </row>
    <row r="507" spans="5:6">
      <c r="E507" s="1"/>
      <c r="F507" s="1"/>
    </row>
    <row r="508" spans="5:6">
      <c r="E508" s="1"/>
      <c r="F508" s="1"/>
    </row>
    <row r="509" spans="5:6">
      <c r="E509" s="1"/>
      <c r="F509" s="1"/>
    </row>
    <row r="510" spans="5:6">
      <c r="E510" s="1"/>
      <c r="F510" s="1"/>
    </row>
    <row r="511" spans="5:6">
      <c r="E511" s="1"/>
      <c r="F511" s="1"/>
    </row>
    <row r="512" spans="5:6">
      <c r="E512" s="1"/>
      <c r="F512" s="1"/>
    </row>
    <row r="513" spans="5:6">
      <c r="E513" s="1"/>
      <c r="F513" s="1"/>
    </row>
    <row r="514" spans="5:6">
      <c r="E514" s="1"/>
      <c r="F514" s="1"/>
    </row>
    <row r="515" spans="5:6">
      <c r="E515" s="1"/>
      <c r="F515" s="1"/>
    </row>
    <row r="516" spans="5:6">
      <c r="E516" s="1"/>
      <c r="F516" s="1"/>
    </row>
    <row r="517" spans="5:6">
      <c r="E517" s="1"/>
      <c r="F517" s="1"/>
    </row>
    <row r="518" spans="5:6">
      <c r="E518" s="1"/>
      <c r="F518" s="1"/>
    </row>
    <row r="519" spans="5:6">
      <c r="E519" s="1"/>
      <c r="F519" s="1"/>
    </row>
    <row r="520" spans="5:6">
      <c r="E520" s="1"/>
      <c r="F520" s="1"/>
    </row>
    <row r="521" spans="5:6">
      <c r="E521" s="1"/>
      <c r="F521" s="1"/>
    </row>
    <row r="522" spans="5:6">
      <c r="E522" s="1"/>
      <c r="F522" s="1"/>
    </row>
    <row r="523" spans="5:6">
      <c r="E523" s="1"/>
      <c r="F523" s="1"/>
    </row>
    <row r="524" spans="5:6">
      <c r="E524" s="1"/>
      <c r="F524" s="1"/>
    </row>
    <row r="525" spans="5:6">
      <c r="E525" s="1"/>
      <c r="F525" s="1"/>
    </row>
    <row r="526" spans="5:6">
      <c r="E526" s="1"/>
      <c r="F526" s="1"/>
    </row>
    <row r="527" spans="5:6">
      <c r="E527" s="1"/>
      <c r="F527" s="1"/>
    </row>
    <row r="528" spans="5:6">
      <c r="E528" s="1"/>
      <c r="F528" s="1"/>
    </row>
    <row r="529" spans="5:6">
      <c r="E529" s="1"/>
      <c r="F529" s="1"/>
    </row>
    <row r="530" spans="5:6">
      <c r="E530" s="1"/>
      <c r="F530" s="1"/>
    </row>
    <row r="531" spans="5:6">
      <c r="E531" s="1"/>
      <c r="F531" s="1"/>
    </row>
    <row r="532" spans="5:6">
      <c r="E532" s="1"/>
      <c r="F532" s="1"/>
    </row>
    <row r="533" spans="5:6">
      <c r="E533" s="1"/>
      <c r="F533" s="1"/>
    </row>
    <row r="534" spans="5:6">
      <c r="E534" s="1"/>
      <c r="F534" s="1"/>
    </row>
    <row r="535" spans="5:6">
      <c r="E535" s="1"/>
      <c r="F535" s="1"/>
    </row>
    <row r="536" spans="5:6">
      <c r="E536" s="1"/>
      <c r="F536" s="1"/>
    </row>
    <row r="537" spans="5:6">
      <c r="E537" s="1"/>
      <c r="F537" s="1"/>
    </row>
    <row r="538" spans="5:6">
      <c r="E538" s="1"/>
      <c r="F538" s="1"/>
    </row>
    <row r="539" spans="5:6">
      <c r="E539" s="1"/>
      <c r="F539" s="1"/>
    </row>
    <row r="540" spans="5:6">
      <c r="E540" s="1"/>
      <c r="F540" s="1"/>
    </row>
    <row r="541" spans="5:6">
      <c r="E541" s="1"/>
      <c r="F541" s="1"/>
    </row>
    <row r="542" spans="5:6">
      <c r="E542" s="1"/>
      <c r="F542" s="1"/>
    </row>
    <row r="543" spans="5:6">
      <c r="E543" s="1"/>
      <c r="F543" s="1"/>
    </row>
    <row r="544" spans="5:6">
      <c r="E544" s="1"/>
      <c r="F544" s="1"/>
    </row>
    <row r="545" spans="5:6">
      <c r="E545" s="1"/>
      <c r="F545" s="1"/>
    </row>
    <row r="546" spans="5:6">
      <c r="E546" s="1"/>
      <c r="F546" s="1"/>
    </row>
    <row r="547" spans="5:6">
      <c r="E547" s="1"/>
      <c r="F547" s="1"/>
    </row>
    <row r="548" spans="5:6">
      <c r="E548" s="1"/>
      <c r="F548" s="1"/>
    </row>
    <row r="549" spans="5:6">
      <c r="E549" s="1"/>
      <c r="F549" s="1"/>
    </row>
    <row r="550" spans="5:6">
      <c r="E550" s="1"/>
      <c r="F550" s="1"/>
    </row>
    <row r="551" spans="5:6">
      <c r="E551" s="1"/>
      <c r="F551" s="1"/>
    </row>
    <row r="552" spans="5:6">
      <c r="E552" s="1"/>
      <c r="F552" s="1"/>
    </row>
    <row r="553" spans="5:6">
      <c r="E553" s="1"/>
      <c r="F553" s="1"/>
    </row>
    <row r="554" spans="5:6">
      <c r="E554" s="1"/>
      <c r="F554" s="1"/>
    </row>
    <row r="555" spans="5:6">
      <c r="E555" s="1"/>
      <c r="F555" s="1"/>
    </row>
    <row r="556" spans="5:6">
      <c r="E556" s="1"/>
      <c r="F556" s="1"/>
    </row>
    <row r="557" spans="5:6">
      <c r="E557" s="1"/>
      <c r="F557" s="1"/>
    </row>
    <row r="558" spans="5:6">
      <c r="E558" s="1"/>
      <c r="F558" s="1"/>
    </row>
    <row r="559" spans="5:6">
      <c r="E559" s="1"/>
      <c r="F559" s="1"/>
    </row>
    <row r="560" spans="5:6">
      <c r="E560" s="1"/>
      <c r="F560" s="1"/>
    </row>
    <row r="561" spans="5:6">
      <c r="E561" s="1"/>
      <c r="F561" s="1"/>
    </row>
    <row r="562" spans="5:6">
      <c r="E562" s="1"/>
      <c r="F562" s="1"/>
    </row>
    <row r="563" spans="5:6">
      <c r="E563" s="1"/>
      <c r="F563" s="1"/>
    </row>
    <row r="564" spans="5:6">
      <c r="E564" s="1"/>
      <c r="F564" s="1"/>
    </row>
    <row r="565" spans="5:6">
      <c r="E565" s="1"/>
      <c r="F565" s="1"/>
    </row>
    <row r="566" spans="5:6">
      <c r="E566" s="1"/>
      <c r="F566" s="1"/>
    </row>
    <row r="567" spans="5:6">
      <c r="E567" s="1"/>
      <c r="F567" s="1"/>
    </row>
    <row r="568" spans="5:6">
      <c r="E568" s="1"/>
      <c r="F568" s="1"/>
    </row>
    <row r="569" spans="5:6">
      <c r="E569" s="1"/>
      <c r="F569" s="1"/>
    </row>
    <row r="570" spans="5:6">
      <c r="E570" s="1"/>
      <c r="F570" s="1"/>
    </row>
    <row r="571" spans="5:6">
      <c r="E571" s="1"/>
      <c r="F571" s="1"/>
    </row>
    <row r="572" spans="5:6">
      <c r="E572" s="1"/>
      <c r="F572" s="1"/>
    </row>
    <row r="573" spans="5:6">
      <c r="E573" s="1"/>
      <c r="F573" s="1"/>
    </row>
    <row r="574" spans="5:6">
      <c r="E574" s="1"/>
      <c r="F574" s="1"/>
    </row>
    <row r="575" spans="5:6">
      <c r="E575" s="1"/>
      <c r="F575" s="1"/>
    </row>
    <row r="576" spans="5:6">
      <c r="E576" s="1"/>
      <c r="F576" s="1"/>
    </row>
    <row r="577" spans="5:6">
      <c r="E577" s="1"/>
      <c r="F577" s="1"/>
    </row>
    <row r="578" spans="5:6">
      <c r="E578" s="1"/>
      <c r="F578" s="1"/>
    </row>
    <row r="579" spans="5:6">
      <c r="E579" s="1"/>
      <c r="F579" s="1"/>
    </row>
    <row r="580" spans="5:6">
      <c r="E580" s="1"/>
      <c r="F580" s="1"/>
    </row>
    <row r="581" spans="5:6">
      <c r="E581" s="1"/>
      <c r="F581" s="1"/>
    </row>
    <row r="582" spans="5:6">
      <c r="E582" s="1"/>
      <c r="F582" s="1"/>
    </row>
    <row r="583" spans="5:6">
      <c r="E583" s="1"/>
      <c r="F583" s="1"/>
    </row>
    <row r="584" spans="5:6">
      <c r="E584" s="1"/>
      <c r="F584" s="1"/>
    </row>
    <row r="585" spans="5:6">
      <c r="E585" s="1"/>
      <c r="F585" s="1"/>
    </row>
    <row r="586" spans="5:6">
      <c r="E586" s="1"/>
      <c r="F586" s="1"/>
    </row>
    <row r="587" spans="5:6">
      <c r="E587" s="1"/>
      <c r="F587" s="1"/>
    </row>
    <row r="588" spans="5:6">
      <c r="E588" s="1"/>
      <c r="F588" s="1"/>
    </row>
    <row r="589" spans="5:6">
      <c r="E589" s="1"/>
      <c r="F589" s="1"/>
    </row>
    <row r="590" spans="5:6">
      <c r="E590" s="1"/>
      <c r="F590" s="1"/>
    </row>
    <row r="591" spans="5:6">
      <c r="E591" s="1"/>
      <c r="F591" s="1"/>
    </row>
    <row r="592" spans="5:6">
      <c r="E592" s="1"/>
      <c r="F592" s="1"/>
    </row>
    <row r="593" spans="5:6">
      <c r="E593" s="1"/>
      <c r="F593" s="1"/>
    </row>
    <row r="594" spans="5:6">
      <c r="E594" s="1"/>
      <c r="F594" s="1"/>
    </row>
    <row r="595" spans="5:6">
      <c r="E595" s="1"/>
      <c r="F595" s="1"/>
    </row>
    <row r="596" spans="5:6">
      <c r="E596" s="1"/>
      <c r="F596" s="1"/>
    </row>
    <row r="597" spans="5:6">
      <c r="E597" s="1"/>
      <c r="F597" s="1"/>
    </row>
    <row r="598" spans="5:6">
      <c r="E598" s="1"/>
      <c r="F598" s="1"/>
    </row>
    <row r="599" spans="5:6">
      <c r="E599" s="1"/>
      <c r="F599" s="1"/>
    </row>
    <row r="600" spans="5:6">
      <c r="E600" s="1"/>
      <c r="F600" s="1"/>
    </row>
    <row r="601" spans="5:6">
      <c r="E601" s="1"/>
      <c r="F601" s="1"/>
    </row>
    <row r="602" spans="5:6">
      <c r="E602" s="1"/>
      <c r="F602" s="1"/>
    </row>
    <row r="603" spans="5:6">
      <c r="E603" s="1"/>
      <c r="F603" s="1"/>
    </row>
    <row r="604" spans="5:6">
      <c r="E604" s="1"/>
      <c r="F604" s="1"/>
    </row>
    <row r="605" spans="5:6">
      <c r="E605" s="1"/>
      <c r="F605" s="1"/>
    </row>
    <row r="606" spans="5:6">
      <c r="E606" s="1"/>
      <c r="F606" s="1"/>
    </row>
    <row r="607" spans="5:6">
      <c r="E607" s="1"/>
      <c r="F607" s="1"/>
    </row>
    <row r="608" spans="5:6">
      <c r="E608" s="1"/>
      <c r="F608" s="1"/>
    </row>
    <row r="609" spans="5:6">
      <c r="E609" s="1"/>
      <c r="F609" s="1"/>
    </row>
    <row r="610" spans="5:6">
      <c r="E610" s="1"/>
      <c r="F610" s="1"/>
    </row>
    <row r="611" spans="5:6">
      <c r="E611" s="1"/>
      <c r="F611" s="1"/>
    </row>
    <row r="612" spans="5:6">
      <c r="E612" s="1"/>
      <c r="F612" s="1"/>
    </row>
    <row r="613" spans="5:6">
      <c r="E613" s="1"/>
      <c r="F613" s="1"/>
    </row>
    <row r="614" spans="5:6">
      <c r="E614" s="1"/>
      <c r="F614" s="1"/>
    </row>
    <row r="615" spans="5:6">
      <c r="E615" s="1"/>
      <c r="F615" s="1"/>
    </row>
    <row r="616" spans="5:6">
      <c r="E616" s="1"/>
      <c r="F616" s="1"/>
    </row>
    <row r="617" spans="5:6">
      <c r="E617" s="1"/>
      <c r="F617" s="1"/>
    </row>
    <row r="618" spans="5:6">
      <c r="E618" s="1"/>
      <c r="F618" s="1"/>
    </row>
    <row r="619" spans="5:6">
      <c r="E619" s="1"/>
      <c r="F619" s="1"/>
    </row>
    <row r="620" spans="5:6">
      <c r="E620" s="1"/>
      <c r="F620" s="1"/>
    </row>
    <row r="621" spans="5:6">
      <c r="E621" s="1"/>
      <c r="F621" s="1"/>
    </row>
    <row r="622" spans="5:6">
      <c r="E622" s="1"/>
      <c r="F622" s="1"/>
    </row>
    <row r="623" spans="5:6">
      <c r="E623" s="1"/>
      <c r="F623" s="1"/>
    </row>
    <row r="624" spans="5:6">
      <c r="E624" s="1"/>
      <c r="F624" s="1"/>
    </row>
    <row r="625" spans="5:6">
      <c r="E625" s="1"/>
      <c r="F625" s="1"/>
    </row>
    <row r="626" spans="5:6">
      <c r="E626" s="1"/>
      <c r="F626" s="1"/>
    </row>
    <row r="627" spans="5:6">
      <c r="E627" s="1"/>
      <c r="F627" s="1"/>
    </row>
    <row r="628" spans="5:6">
      <c r="E628" s="1"/>
      <c r="F628" s="1"/>
    </row>
    <row r="629" spans="5:6">
      <c r="E629" s="1"/>
      <c r="F629" s="1"/>
    </row>
    <row r="630" spans="5:6">
      <c r="E630" s="1"/>
      <c r="F630" s="1"/>
    </row>
    <row r="631" spans="5:6">
      <c r="E631" s="1"/>
      <c r="F631" s="1"/>
    </row>
    <row r="632" spans="5:6">
      <c r="E632" s="1"/>
      <c r="F632" s="1"/>
    </row>
    <row r="633" spans="5:6">
      <c r="E633" s="1"/>
      <c r="F633" s="1"/>
    </row>
    <row r="634" spans="5:6">
      <c r="E634" s="1"/>
      <c r="F634" s="1"/>
    </row>
    <row r="635" spans="5:6">
      <c r="E635" s="1"/>
      <c r="F635" s="1"/>
    </row>
    <row r="636" spans="5:6">
      <c r="E636" s="1"/>
      <c r="F636" s="1"/>
    </row>
    <row r="637" spans="5:6">
      <c r="E637" s="1"/>
      <c r="F637" s="1"/>
    </row>
    <row r="638" spans="5:6">
      <c r="E638" s="1"/>
      <c r="F638" s="1"/>
    </row>
    <row r="639" spans="5:6">
      <c r="E639" s="1"/>
      <c r="F639" s="1"/>
    </row>
    <row r="640" spans="5:6">
      <c r="E640" s="1"/>
      <c r="F640" s="1"/>
    </row>
    <row r="641" spans="5:6">
      <c r="E641" s="1"/>
      <c r="F641" s="1"/>
    </row>
    <row r="642" spans="5:6">
      <c r="E642" s="1"/>
      <c r="F642" s="1"/>
    </row>
    <row r="643" spans="5:6">
      <c r="E643" s="1"/>
      <c r="F643" s="1"/>
    </row>
    <row r="644" spans="5:6">
      <c r="E644" s="1"/>
      <c r="F644" s="1"/>
    </row>
    <row r="645" spans="5:6">
      <c r="E645" s="1"/>
      <c r="F645" s="1"/>
    </row>
    <row r="646" spans="5:6">
      <c r="E646" s="1"/>
      <c r="F646" s="1"/>
    </row>
    <row r="647" spans="5:6">
      <c r="E647" s="1"/>
      <c r="F647" s="1"/>
    </row>
    <row r="648" spans="5:6">
      <c r="E648" s="1"/>
      <c r="F648" s="1"/>
    </row>
    <row r="649" spans="5:6">
      <c r="E649" s="1"/>
      <c r="F649" s="1"/>
    </row>
    <row r="650" spans="5:6">
      <c r="E650" s="1"/>
      <c r="F650" s="1"/>
    </row>
    <row r="651" spans="5:6">
      <c r="E651" s="1"/>
      <c r="F651" s="1"/>
    </row>
    <row r="652" spans="5:6">
      <c r="E652" s="1"/>
      <c r="F652" s="1"/>
    </row>
    <row r="653" spans="5:6">
      <c r="E653" s="1"/>
      <c r="F653" s="1"/>
    </row>
    <row r="654" spans="5:6">
      <c r="E654" s="1"/>
      <c r="F654" s="1"/>
    </row>
    <row r="655" spans="5:6">
      <c r="E655" s="1"/>
      <c r="F655" s="1"/>
    </row>
    <row r="656" spans="5:6">
      <c r="E656" s="1"/>
      <c r="F656" s="1"/>
    </row>
    <row r="657" spans="5:6">
      <c r="E657" s="1"/>
      <c r="F657" s="1"/>
    </row>
    <row r="658" spans="5:6">
      <c r="E658" s="1"/>
      <c r="F658" s="1"/>
    </row>
    <row r="659" spans="5:6">
      <c r="E659" s="1"/>
      <c r="F659" s="1"/>
    </row>
    <row r="660" spans="5:6">
      <c r="E660" s="1"/>
      <c r="F660" s="1"/>
    </row>
    <row r="661" spans="5:6">
      <c r="E661" s="1"/>
      <c r="F661" s="1"/>
    </row>
    <row r="662" spans="5:6">
      <c r="E662" s="1"/>
      <c r="F662" s="1"/>
    </row>
    <row r="663" spans="5:6">
      <c r="E663" s="1"/>
      <c r="F663" s="1"/>
    </row>
    <row r="664" spans="5:6">
      <c r="E664" s="1"/>
      <c r="F664" s="1"/>
    </row>
    <row r="665" spans="5:6">
      <c r="E665" s="1"/>
      <c r="F665" s="1"/>
    </row>
    <row r="666" spans="5:6">
      <c r="E666" s="1"/>
      <c r="F666" s="1"/>
    </row>
    <row r="667" spans="5:6">
      <c r="E667" s="1"/>
      <c r="F667" s="1"/>
    </row>
    <row r="668" spans="5:6">
      <c r="E668" s="1"/>
      <c r="F668" s="1"/>
    </row>
    <row r="669" spans="5:6">
      <c r="E669" s="1"/>
      <c r="F669" s="1"/>
    </row>
    <row r="670" spans="5:6">
      <c r="E670" s="1"/>
      <c r="F670" s="1"/>
    </row>
    <row r="671" spans="5:6">
      <c r="E671" s="1"/>
      <c r="F671" s="1"/>
    </row>
    <row r="672" spans="5:6">
      <c r="E672" s="1"/>
      <c r="F672" s="1"/>
    </row>
    <row r="673" spans="5:6">
      <c r="E673" s="1"/>
      <c r="F673" s="1"/>
    </row>
    <row r="674" spans="5:6">
      <c r="E674" s="1"/>
      <c r="F674" s="1"/>
    </row>
    <row r="675" spans="5:6">
      <c r="E675" s="1"/>
      <c r="F675" s="1"/>
    </row>
    <row r="676" spans="5:6">
      <c r="E676" s="1"/>
      <c r="F676" s="1"/>
    </row>
    <row r="677" spans="5:6">
      <c r="E677" s="1"/>
      <c r="F677" s="1"/>
    </row>
    <row r="678" spans="5:6">
      <c r="E678" s="1"/>
      <c r="F678" s="1"/>
    </row>
    <row r="679" spans="5:6">
      <c r="E679" s="1"/>
      <c r="F679" s="1"/>
    </row>
    <row r="680" spans="5:6">
      <c r="E680" s="1"/>
      <c r="F680" s="1"/>
    </row>
    <row r="681" spans="5:6">
      <c r="E681" s="1"/>
      <c r="F681" s="1"/>
    </row>
    <row r="682" spans="5:6">
      <c r="E682" s="1"/>
      <c r="F682" s="1"/>
    </row>
    <row r="683" spans="5:6">
      <c r="E683" s="1"/>
      <c r="F683" s="1"/>
    </row>
    <row r="684" spans="5:6">
      <c r="E684" s="1"/>
      <c r="F684" s="1"/>
    </row>
    <row r="685" spans="5:6">
      <c r="E685" s="1"/>
      <c r="F685" s="1"/>
    </row>
    <row r="686" spans="5:6">
      <c r="E686" s="1"/>
      <c r="F686" s="1"/>
    </row>
    <row r="687" spans="5:6">
      <c r="E687" s="1"/>
      <c r="F687" s="1"/>
    </row>
    <row r="688" spans="5:6">
      <c r="E688" s="1"/>
      <c r="F688" s="1"/>
    </row>
    <row r="689" spans="5:6">
      <c r="E689" s="1"/>
      <c r="F689" s="1"/>
    </row>
    <row r="690" spans="5:6">
      <c r="E690" s="1"/>
      <c r="F690" s="1"/>
    </row>
    <row r="691" spans="5:6">
      <c r="E691" s="1"/>
      <c r="F691" s="1"/>
    </row>
    <row r="692" spans="5:6">
      <c r="E692" s="1"/>
      <c r="F692" s="1"/>
    </row>
    <row r="693" spans="5:6">
      <c r="E693" s="1"/>
      <c r="F693" s="1"/>
    </row>
    <row r="694" spans="5:6">
      <c r="E694" s="1"/>
      <c r="F694" s="1"/>
    </row>
    <row r="695" spans="5:6">
      <c r="E695" s="1"/>
      <c r="F695" s="1"/>
    </row>
    <row r="696" spans="5:6">
      <c r="E696" s="1"/>
      <c r="F696" s="1"/>
    </row>
    <row r="697" spans="5:6">
      <c r="E697" s="1"/>
      <c r="F697" s="1"/>
    </row>
    <row r="698" spans="5:6">
      <c r="E698" s="1"/>
      <c r="F698" s="1"/>
    </row>
    <row r="699" spans="5:6">
      <c r="E699" s="1"/>
      <c r="F699" s="1"/>
    </row>
    <row r="700" spans="5:6">
      <c r="E700" s="1"/>
      <c r="F700" s="1"/>
    </row>
    <row r="701" spans="5:6">
      <c r="E701" s="1"/>
      <c r="F701" s="1"/>
    </row>
    <row r="702" spans="5:6">
      <c r="E702" s="1"/>
      <c r="F702" s="1"/>
    </row>
    <row r="703" spans="5:6">
      <c r="E703" s="1"/>
      <c r="F703" s="1"/>
    </row>
    <row r="704" spans="5:6">
      <c r="E704" s="1"/>
      <c r="F704" s="1"/>
    </row>
    <row r="705" spans="5:6">
      <c r="E705" s="1"/>
      <c r="F705" s="1"/>
    </row>
    <row r="706" spans="5:6">
      <c r="E706" s="1"/>
      <c r="F706" s="1"/>
    </row>
    <row r="707" spans="5:6">
      <c r="E707" s="1"/>
      <c r="F707" s="1"/>
    </row>
    <row r="708" spans="5:6">
      <c r="E708" s="1"/>
      <c r="F708" s="1"/>
    </row>
    <row r="709" spans="5:6">
      <c r="E709" s="1"/>
      <c r="F709" s="1"/>
    </row>
    <row r="710" spans="5:6">
      <c r="E710" s="1"/>
      <c r="F710" s="1"/>
    </row>
    <row r="711" spans="5:6">
      <c r="E711" s="1"/>
      <c r="F711" s="1"/>
    </row>
    <row r="712" spans="5:6">
      <c r="E712" s="1"/>
      <c r="F712" s="1"/>
    </row>
    <row r="713" spans="5:6">
      <c r="E713" s="1"/>
      <c r="F713" s="1"/>
    </row>
    <row r="714" spans="5:6">
      <c r="E714" s="1"/>
      <c r="F714" s="1"/>
    </row>
    <row r="715" spans="5:6">
      <c r="E715" s="1"/>
      <c r="F715" s="1"/>
    </row>
    <row r="716" spans="5:6">
      <c r="E716" s="1"/>
      <c r="F716" s="1"/>
    </row>
    <row r="717" spans="5:6">
      <c r="E717" s="1"/>
      <c r="F717" s="1"/>
    </row>
    <row r="718" spans="5:6">
      <c r="E718" s="1"/>
      <c r="F718" s="1"/>
    </row>
    <row r="719" spans="5:6">
      <c r="E719" s="1"/>
      <c r="F719" s="1"/>
    </row>
    <row r="720" spans="5:6">
      <c r="E720" s="1"/>
      <c r="F720" s="1"/>
    </row>
    <row r="721" spans="5:6">
      <c r="E721" s="1"/>
      <c r="F721" s="1"/>
    </row>
    <row r="722" spans="5:6">
      <c r="E722" s="1"/>
      <c r="F722" s="1"/>
    </row>
    <row r="723" spans="5:6">
      <c r="E723" s="1"/>
      <c r="F723" s="1"/>
    </row>
    <row r="724" spans="5:6">
      <c r="E724" s="1"/>
      <c r="F724" s="1"/>
    </row>
    <row r="725" spans="5:6">
      <c r="E725" s="1"/>
      <c r="F725" s="1"/>
    </row>
    <row r="726" spans="5:6">
      <c r="E726" s="1"/>
      <c r="F726" s="1"/>
    </row>
    <row r="727" spans="5:6">
      <c r="E727" s="1"/>
      <c r="F727" s="1"/>
    </row>
    <row r="728" spans="5:6">
      <c r="E728" s="1"/>
      <c r="F728" s="1"/>
    </row>
    <row r="729" spans="5:6">
      <c r="E729" s="1"/>
      <c r="F729" s="1"/>
    </row>
    <row r="730" spans="5:6">
      <c r="E730" s="1"/>
      <c r="F730" s="1"/>
    </row>
    <row r="731" spans="5:6">
      <c r="E731" s="1"/>
      <c r="F731" s="1"/>
    </row>
    <row r="732" spans="5:6">
      <c r="E732" s="1"/>
      <c r="F732" s="1"/>
    </row>
    <row r="733" spans="5:6">
      <c r="E733" s="1"/>
      <c r="F733" s="1"/>
    </row>
    <row r="734" spans="5:6">
      <c r="E734" s="1"/>
      <c r="F734" s="1"/>
    </row>
    <row r="735" spans="5:6">
      <c r="E735" s="1"/>
      <c r="F735" s="1"/>
    </row>
    <row r="736" spans="5:6">
      <c r="E736" s="1"/>
      <c r="F736" s="1"/>
    </row>
    <row r="737" spans="5:6">
      <c r="E737" s="1"/>
      <c r="F737" s="1"/>
    </row>
    <row r="738" spans="5:6">
      <c r="E738" s="1"/>
      <c r="F738" s="1"/>
    </row>
    <row r="739" spans="5:6">
      <c r="E739" s="1"/>
      <c r="F739" s="1"/>
    </row>
    <row r="740" spans="5:6">
      <c r="E740" s="1"/>
      <c r="F740" s="1"/>
    </row>
    <row r="741" spans="5:6">
      <c r="E741" s="1"/>
      <c r="F741" s="1"/>
    </row>
    <row r="742" spans="5:6">
      <c r="E742" s="1"/>
      <c r="F742" s="1"/>
    </row>
    <row r="743" spans="5:6">
      <c r="E743" s="1"/>
      <c r="F743" s="1"/>
    </row>
    <row r="744" spans="5:6">
      <c r="E744" s="1"/>
      <c r="F744" s="1"/>
    </row>
    <row r="745" spans="5:6">
      <c r="E745" s="1"/>
      <c r="F745" s="1"/>
    </row>
    <row r="746" spans="5:6">
      <c r="E746" s="1"/>
      <c r="F746" s="1"/>
    </row>
    <row r="747" spans="5:6">
      <c r="E747" s="1"/>
      <c r="F747" s="1"/>
    </row>
    <row r="748" spans="5:6">
      <c r="E748" s="1"/>
      <c r="F748" s="1"/>
    </row>
    <row r="749" spans="5:6">
      <c r="E749" s="1"/>
      <c r="F749" s="1"/>
    </row>
    <row r="750" spans="5:6">
      <c r="E750" s="1"/>
      <c r="F750" s="1"/>
    </row>
    <row r="751" spans="5:6">
      <c r="E751" s="1"/>
      <c r="F751" s="1"/>
    </row>
    <row r="752" spans="5:6">
      <c r="E752" s="1"/>
      <c r="F752" s="1"/>
    </row>
    <row r="753" spans="5:6">
      <c r="E753" s="1"/>
      <c r="F753" s="1"/>
    </row>
    <row r="754" spans="5:6">
      <c r="E754" s="1"/>
      <c r="F754" s="1"/>
    </row>
    <row r="755" spans="5:6">
      <c r="E755" s="1"/>
      <c r="F755" s="1"/>
    </row>
    <row r="756" spans="5:6">
      <c r="E756" s="1"/>
      <c r="F756" s="1"/>
    </row>
    <row r="757" spans="5:6">
      <c r="E757" s="1"/>
      <c r="F757" s="1"/>
    </row>
    <row r="758" spans="5:6">
      <c r="E758" s="1"/>
      <c r="F758" s="1"/>
    </row>
    <row r="759" spans="5:6">
      <c r="E759" s="1"/>
      <c r="F759" s="1"/>
    </row>
    <row r="760" spans="5:6">
      <c r="E760" s="1"/>
      <c r="F760" s="1"/>
    </row>
    <row r="761" spans="5:6">
      <c r="E761" s="1"/>
      <c r="F761" s="1"/>
    </row>
    <row r="762" spans="5:6">
      <c r="E762" s="1"/>
      <c r="F762" s="1"/>
    </row>
    <row r="763" spans="5:6">
      <c r="E763" s="1"/>
      <c r="F763" s="1"/>
    </row>
    <row r="764" spans="5:6">
      <c r="E764" s="1"/>
      <c r="F764" s="1"/>
    </row>
    <row r="765" spans="5:6">
      <c r="E765" s="1"/>
      <c r="F765" s="1"/>
    </row>
    <row r="766" spans="5:6">
      <c r="E766" s="1"/>
      <c r="F766" s="1"/>
    </row>
    <row r="767" spans="5:6">
      <c r="E767" s="1"/>
      <c r="F767" s="1"/>
    </row>
    <row r="768" spans="5:6">
      <c r="E768" s="1"/>
      <c r="F768" s="1"/>
    </row>
    <row r="769" spans="5:6">
      <c r="E769" s="1"/>
      <c r="F769" s="1"/>
    </row>
    <row r="770" spans="5:6">
      <c r="E770" s="1"/>
      <c r="F770" s="1"/>
    </row>
    <row r="771" spans="5:6">
      <c r="E771" s="1"/>
      <c r="F771" s="1"/>
    </row>
    <row r="772" spans="5:6">
      <c r="E772" s="1"/>
      <c r="F772" s="1"/>
    </row>
    <row r="773" spans="5:6">
      <c r="E773" s="1"/>
      <c r="F773" s="1"/>
    </row>
    <row r="774" spans="5:6">
      <c r="E774" s="1"/>
      <c r="F774" s="1"/>
    </row>
    <row r="775" spans="5:6">
      <c r="E775" s="1"/>
      <c r="F775" s="1"/>
    </row>
    <row r="776" spans="5:6">
      <c r="E776" s="1"/>
      <c r="F776" s="1"/>
    </row>
    <row r="777" spans="5:6">
      <c r="E777" s="1"/>
      <c r="F777" s="1"/>
    </row>
    <row r="778" spans="5:6">
      <c r="E778" s="1"/>
      <c r="F778" s="1"/>
    </row>
    <row r="779" spans="5:6">
      <c r="E779" s="1"/>
      <c r="F779" s="1"/>
    </row>
    <row r="780" spans="5:6">
      <c r="E780" s="1"/>
      <c r="F780" s="1"/>
    </row>
    <row r="781" spans="5:6">
      <c r="E781" s="1"/>
      <c r="F781" s="1"/>
    </row>
    <row r="782" spans="5:6">
      <c r="E782" s="1"/>
      <c r="F782" s="1"/>
    </row>
    <row r="783" spans="5:6">
      <c r="E783" s="1"/>
      <c r="F783" s="1"/>
    </row>
    <row r="784" spans="5:6">
      <c r="E784" s="1"/>
      <c r="F784" s="1"/>
    </row>
    <row r="785" spans="5:6">
      <c r="E785" s="1"/>
      <c r="F785" s="1"/>
    </row>
    <row r="786" spans="5:6">
      <c r="E786" s="1"/>
      <c r="F786" s="1"/>
    </row>
    <row r="787" spans="5:6">
      <c r="E787" s="1"/>
      <c r="F787" s="1"/>
    </row>
    <row r="788" spans="5:6">
      <c r="E788" s="1"/>
      <c r="F788" s="1"/>
    </row>
    <row r="789" spans="5:6">
      <c r="E789" s="1"/>
      <c r="F789" s="1"/>
    </row>
    <row r="790" spans="5:6">
      <c r="E790" s="1"/>
      <c r="F790" s="1"/>
    </row>
    <row r="791" spans="5:6">
      <c r="E791" s="1"/>
      <c r="F791" s="1"/>
    </row>
    <row r="792" spans="5:6">
      <c r="E792" s="1"/>
      <c r="F792" s="1"/>
    </row>
    <row r="793" spans="5:6">
      <c r="E793" s="1"/>
      <c r="F793" s="1"/>
    </row>
    <row r="794" spans="5:6">
      <c r="E794" s="1"/>
      <c r="F794" s="1"/>
    </row>
    <row r="795" spans="5:6">
      <c r="E795" s="1"/>
      <c r="F795" s="1"/>
    </row>
    <row r="796" spans="5:6">
      <c r="E796" s="1"/>
      <c r="F796" s="1"/>
    </row>
    <row r="797" spans="5:6">
      <c r="E797" s="1"/>
      <c r="F797" s="1"/>
    </row>
    <row r="798" spans="5:6">
      <c r="E798" s="1"/>
      <c r="F798" s="1"/>
    </row>
    <row r="799" spans="5:6">
      <c r="E799" s="1"/>
      <c r="F799" s="1"/>
    </row>
    <row r="800" spans="5:6">
      <c r="E800" s="1"/>
      <c r="F800" s="1"/>
    </row>
    <row r="801" spans="5:6">
      <c r="E801" s="1"/>
      <c r="F801" s="1"/>
    </row>
    <row r="802" spans="5:6">
      <c r="E802" s="1"/>
      <c r="F802" s="1"/>
    </row>
    <row r="803" spans="5:6">
      <c r="E803" s="1"/>
      <c r="F803" s="1"/>
    </row>
    <row r="804" spans="5:6">
      <c r="E804" s="1"/>
      <c r="F804" s="1"/>
    </row>
    <row r="805" spans="5:6">
      <c r="E805" s="1"/>
      <c r="F805" s="1"/>
    </row>
    <row r="806" spans="5:6">
      <c r="E806" s="1"/>
      <c r="F806" s="1"/>
    </row>
    <row r="807" spans="5:6">
      <c r="E807" s="1"/>
      <c r="F807" s="1"/>
    </row>
    <row r="808" spans="5:6">
      <c r="E808" s="1"/>
      <c r="F808" s="1"/>
    </row>
    <row r="809" spans="5:6">
      <c r="E809" s="1"/>
      <c r="F809" s="1"/>
    </row>
    <row r="810" spans="5:6">
      <c r="E810" s="1"/>
      <c r="F810" s="1"/>
    </row>
    <row r="811" spans="5:6">
      <c r="E811" s="1"/>
      <c r="F811" s="1"/>
    </row>
    <row r="812" spans="5:6">
      <c r="E812" s="1"/>
      <c r="F812" s="1"/>
    </row>
    <row r="813" spans="5:6">
      <c r="E813" s="1"/>
      <c r="F813" s="1"/>
    </row>
    <row r="814" spans="5:6">
      <c r="E814" s="1"/>
      <c r="F814" s="1"/>
    </row>
    <row r="815" spans="5:6">
      <c r="E815" s="1"/>
      <c r="F815" s="1"/>
    </row>
    <row r="816" spans="5:6">
      <c r="E816" s="1"/>
      <c r="F816" s="1"/>
    </row>
    <row r="817" spans="5:6">
      <c r="E817" s="1"/>
      <c r="F817" s="1"/>
    </row>
    <row r="818" spans="5:6">
      <c r="E818" s="1"/>
      <c r="F818" s="1"/>
    </row>
    <row r="819" spans="5:6">
      <c r="E819" s="1"/>
      <c r="F819" s="1"/>
    </row>
    <row r="820" spans="5:6">
      <c r="E820" s="1"/>
      <c r="F820" s="1"/>
    </row>
    <row r="821" spans="5:6">
      <c r="E821" s="1"/>
      <c r="F821" s="1"/>
    </row>
    <row r="822" spans="5:6">
      <c r="E822" s="1"/>
      <c r="F822" s="1"/>
    </row>
    <row r="823" spans="5:6">
      <c r="E823" s="1"/>
      <c r="F823" s="1"/>
    </row>
    <row r="824" spans="5:6">
      <c r="E824" s="1"/>
      <c r="F824" s="1"/>
    </row>
    <row r="825" spans="5:6">
      <c r="E825" s="1"/>
      <c r="F825" s="1"/>
    </row>
    <row r="826" spans="5:6">
      <c r="E826" s="1"/>
      <c r="F826" s="1"/>
    </row>
    <row r="827" spans="5:6">
      <c r="E827" s="1"/>
      <c r="F827" s="1"/>
    </row>
    <row r="828" spans="5:6">
      <c r="E828" s="1"/>
      <c r="F828" s="1"/>
    </row>
    <row r="829" spans="5:6">
      <c r="E829" s="1"/>
      <c r="F829" s="1"/>
    </row>
    <row r="830" spans="5:6">
      <c r="E830" s="1"/>
      <c r="F830" s="1"/>
    </row>
    <row r="831" spans="5:6">
      <c r="E831" s="1"/>
      <c r="F831" s="1"/>
    </row>
    <row r="832" spans="5:6">
      <c r="E832" s="1"/>
      <c r="F832" s="1"/>
    </row>
    <row r="833" spans="5:6">
      <c r="E833" s="1"/>
      <c r="F833" s="1"/>
    </row>
    <row r="834" spans="5:6">
      <c r="E834" s="1"/>
      <c r="F834" s="1"/>
    </row>
    <row r="835" spans="5:6">
      <c r="E835" s="1"/>
      <c r="F835" s="1"/>
    </row>
    <row r="836" spans="5:6">
      <c r="E836" s="1"/>
      <c r="F836" s="1"/>
    </row>
    <row r="837" spans="5:6">
      <c r="E837" s="1"/>
      <c r="F837" s="1"/>
    </row>
    <row r="838" spans="5:6">
      <c r="E838" s="1"/>
      <c r="F838" s="1"/>
    </row>
    <row r="839" spans="5:6">
      <c r="E839" s="1"/>
      <c r="F839" s="1"/>
    </row>
    <row r="840" spans="5:6">
      <c r="E840" s="1"/>
      <c r="F840" s="1"/>
    </row>
    <row r="841" spans="5:6">
      <c r="E841" s="1"/>
      <c r="F841" s="1"/>
    </row>
    <row r="842" spans="5:6">
      <c r="E842" s="1"/>
      <c r="F842" s="1"/>
    </row>
    <row r="843" spans="5:6">
      <c r="E843" s="1"/>
      <c r="F843" s="1"/>
    </row>
    <row r="844" spans="5:6">
      <c r="E844" s="1"/>
      <c r="F844" s="1"/>
    </row>
    <row r="845" spans="5:6">
      <c r="E845" s="1"/>
      <c r="F845" s="1"/>
    </row>
    <row r="846" spans="5:6">
      <c r="E846" s="1"/>
      <c r="F846" s="1"/>
    </row>
    <row r="847" spans="5:6">
      <c r="E847" s="1"/>
      <c r="F847" s="1"/>
    </row>
    <row r="848" spans="5:6">
      <c r="E848" s="1"/>
      <c r="F848" s="1"/>
    </row>
    <row r="849" spans="5:6">
      <c r="E849" s="1"/>
      <c r="F849" s="1"/>
    </row>
    <row r="850" spans="5:6">
      <c r="E850" s="1"/>
      <c r="F850" s="1"/>
    </row>
    <row r="851" spans="5:6">
      <c r="E851" s="1"/>
      <c r="F851" s="1"/>
    </row>
    <row r="852" spans="5:6">
      <c r="E852" s="1"/>
      <c r="F852" s="1"/>
    </row>
    <row r="853" spans="5:6">
      <c r="E853" s="1"/>
      <c r="F853" s="1"/>
    </row>
    <row r="854" spans="5:6">
      <c r="E854" s="1"/>
      <c r="F854" s="1"/>
    </row>
    <row r="855" spans="5:6">
      <c r="E855" s="1"/>
      <c r="F855" s="1"/>
    </row>
    <row r="856" spans="5:6">
      <c r="E856" s="1"/>
      <c r="F856" s="1"/>
    </row>
    <row r="857" spans="5:6">
      <c r="E857" s="1"/>
      <c r="F857" s="1"/>
    </row>
    <row r="858" spans="5:6">
      <c r="E858" s="1"/>
      <c r="F858" s="1"/>
    </row>
    <row r="859" spans="5:6">
      <c r="E859" s="1"/>
      <c r="F859" s="1"/>
    </row>
    <row r="860" spans="5:6">
      <c r="E860" s="1"/>
      <c r="F860" s="1"/>
    </row>
    <row r="861" spans="5:6">
      <c r="E861" s="1"/>
      <c r="F861" s="1"/>
    </row>
    <row r="862" spans="5:6">
      <c r="E862" s="1"/>
      <c r="F862" s="1"/>
    </row>
    <row r="863" spans="5:6">
      <c r="E863" s="1"/>
      <c r="F863" s="1"/>
    </row>
    <row r="864" spans="5:6">
      <c r="E864" s="1"/>
      <c r="F864" s="1"/>
    </row>
    <row r="865" spans="5:6">
      <c r="E865" s="1"/>
      <c r="F865" s="1"/>
    </row>
    <row r="866" spans="5:6">
      <c r="E866" s="1"/>
      <c r="F866" s="1"/>
    </row>
    <row r="867" spans="5:6">
      <c r="E867" s="1"/>
      <c r="F867" s="1"/>
    </row>
    <row r="868" spans="5:6">
      <c r="E868" s="1"/>
      <c r="F868" s="1"/>
    </row>
    <row r="869" spans="5:6">
      <c r="E869" s="1"/>
      <c r="F869" s="1"/>
    </row>
    <row r="870" spans="5:6">
      <c r="E870" s="1"/>
      <c r="F870" s="1"/>
    </row>
    <row r="871" spans="5:6">
      <c r="E871" s="1"/>
      <c r="F871" s="1"/>
    </row>
    <row r="872" spans="5:6">
      <c r="E872" s="1"/>
      <c r="F872" s="1"/>
    </row>
    <row r="873" spans="5:6">
      <c r="E873" s="1"/>
      <c r="F873" s="1"/>
    </row>
    <row r="874" spans="5:6">
      <c r="E874" s="1"/>
      <c r="F874" s="1"/>
    </row>
    <row r="875" spans="5:6">
      <c r="E875" s="1"/>
      <c r="F875" s="1"/>
    </row>
    <row r="876" spans="5:6">
      <c r="E876" s="1"/>
      <c r="F876" s="1"/>
    </row>
    <row r="877" spans="5:6">
      <c r="E877" s="1"/>
      <c r="F877" s="1"/>
    </row>
    <row r="878" spans="5:6">
      <c r="E878" s="1"/>
      <c r="F878" s="1"/>
    </row>
    <row r="879" spans="5:6">
      <c r="E879" s="1"/>
      <c r="F879" s="1"/>
    </row>
    <row r="880" spans="5:6">
      <c r="E880" s="1"/>
      <c r="F880" s="1"/>
    </row>
    <row r="881" spans="5:6">
      <c r="E881" s="1"/>
      <c r="F881" s="1"/>
    </row>
    <row r="882" spans="5:6">
      <c r="E882" s="1"/>
      <c r="F882" s="1"/>
    </row>
    <row r="883" spans="5:6">
      <c r="E883" s="1"/>
      <c r="F883" s="1"/>
    </row>
    <row r="884" spans="5:6">
      <c r="E884" s="1"/>
      <c r="F884" s="1"/>
    </row>
    <row r="885" spans="5:6">
      <c r="E885" s="1"/>
      <c r="F885" s="1"/>
    </row>
    <row r="886" spans="5:6">
      <c r="E886" s="1"/>
      <c r="F886" s="1"/>
    </row>
    <row r="887" spans="5:6">
      <c r="E887" s="1"/>
      <c r="F887" s="1"/>
    </row>
    <row r="888" spans="5:6">
      <c r="E888" s="1"/>
      <c r="F888" s="1"/>
    </row>
    <row r="889" spans="5:6">
      <c r="E889" s="1"/>
      <c r="F889" s="1"/>
    </row>
    <row r="890" spans="5:6">
      <c r="E890" s="1"/>
      <c r="F890" s="1"/>
    </row>
    <row r="891" spans="5:6">
      <c r="E891" s="1"/>
      <c r="F891" s="1"/>
    </row>
    <row r="892" spans="5:6">
      <c r="E892" s="1"/>
      <c r="F892" s="1"/>
    </row>
    <row r="893" spans="5:6">
      <c r="E893" s="1"/>
      <c r="F893" s="1"/>
    </row>
    <row r="894" spans="5:6">
      <c r="E894" s="1"/>
      <c r="F894" s="1"/>
    </row>
    <row r="895" spans="5:6">
      <c r="E895" s="1"/>
      <c r="F895" s="1"/>
    </row>
    <row r="896" spans="5:6">
      <c r="E896" s="1"/>
      <c r="F896" s="1"/>
    </row>
    <row r="897" spans="5:6">
      <c r="E897" s="1"/>
      <c r="F897" s="1"/>
    </row>
    <row r="898" spans="5:6">
      <c r="E898" s="1"/>
      <c r="F898" s="1"/>
    </row>
    <row r="899" spans="5:6">
      <c r="E899" s="1"/>
      <c r="F899" s="1"/>
    </row>
    <row r="900" spans="5:6">
      <c r="E900" s="1"/>
      <c r="F900" s="1"/>
    </row>
    <row r="901" spans="5:6">
      <c r="E901" s="1"/>
      <c r="F901" s="1"/>
    </row>
    <row r="902" spans="5:6">
      <c r="E902" s="1"/>
      <c r="F902" s="1"/>
    </row>
    <row r="903" spans="5:6">
      <c r="E903" s="1"/>
      <c r="F903" s="1"/>
    </row>
    <row r="904" spans="5:6">
      <c r="E904" s="1"/>
      <c r="F904" s="1"/>
    </row>
    <row r="905" spans="5:6">
      <c r="E905" s="1"/>
      <c r="F905" s="1"/>
    </row>
    <row r="906" spans="5:6">
      <c r="E906" s="1"/>
      <c r="F906" s="1"/>
    </row>
    <row r="907" spans="5:6">
      <c r="E907" s="1"/>
      <c r="F907" s="1"/>
    </row>
    <row r="908" spans="5:6">
      <c r="E908" s="1"/>
      <c r="F908" s="1"/>
    </row>
    <row r="909" spans="5:6">
      <c r="E909" s="1"/>
      <c r="F909" s="1"/>
    </row>
    <row r="910" spans="5:6">
      <c r="E910" s="1"/>
      <c r="F910" s="1"/>
    </row>
    <row r="911" spans="5:6">
      <c r="E911" s="1"/>
      <c r="F911" s="1"/>
    </row>
    <row r="912" spans="5:6">
      <c r="E912" s="1"/>
      <c r="F912" s="1"/>
    </row>
    <row r="913" spans="5:6">
      <c r="E913" s="1"/>
      <c r="F913" s="1"/>
    </row>
    <row r="914" spans="5:6">
      <c r="E914" s="1"/>
      <c r="F914" s="1"/>
    </row>
    <row r="915" spans="5:6">
      <c r="E915" s="1"/>
      <c r="F915" s="1"/>
    </row>
    <row r="916" spans="5:6">
      <c r="E916" s="1"/>
      <c r="F916" s="1"/>
    </row>
    <row r="917" spans="5:6">
      <c r="E917" s="1"/>
      <c r="F917" s="1"/>
    </row>
    <row r="918" spans="5:6">
      <c r="E918" s="1"/>
      <c r="F918" s="1"/>
    </row>
    <row r="919" spans="5:6">
      <c r="E919" s="1"/>
      <c r="F919" s="1"/>
    </row>
    <row r="920" spans="5:6">
      <c r="E920" s="1"/>
      <c r="F920" s="1"/>
    </row>
    <row r="921" spans="5:6">
      <c r="E921" s="1"/>
      <c r="F921" s="1"/>
    </row>
    <row r="922" spans="5:6">
      <c r="E922" s="1"/>
      <c r="F922" s="1"/>
    </row>
    <row r="923" spans="5:6">
      <c r="E923" s="1"/>
      <c r="F923" s="1"/>
    </row>
    <row r="924" spans="5:6">
      <c r="E924" s="1"/>
      <c r="F924" s="1"/>
    </row>
    <row r="925" spans="5:6">
      <c r="E925" s="1"/>
      <c r="F925" s="1"/>
    </row>
    <row r="926" spans="5:6">
      <c r="E926" s="1"/>
      <c r="F926" s="1"/>
    </row>
    <row r="927" spans="5:6">
      <c r="E927" s="1"/>
      <c r="F927" s="1"/>
    </row>
    <row r="928" spans="5:6">
      <c r="E928" s="1"/>
      <c r="F928" s="1"/>
    </row>
    <row r="929" spans="5:6">
      <c r="E929" s="1"/>
      <c r="F929" s="1"/>
    </row>
    <row r="930" spans="5:6">
      <c r="E930" s="1"/>
      <c r="F930" s="1"/>
    </row>
    <row r="931" spans="5:6">
      <c r="E931" s="1"/>
      <c r="F931" s="1"/>
    </row>
    <row r="932" spans="5:6">
      <c r="E932" s="1"/>
      <c r="F932" s="1"/>
    </row>
    <row r="933" spans="5:6">
      <c r="E933" s="1"/>
      <c r="F933" s="1"/>
    </row>
    <row r="934" spans="5:6">
      <c r="E934" s="1"/>
      <c r="F934" s="1"/>
    </row>
    <row r="935" spans="5:6">
      <c r="E935" s="1"/>
      <c r="F935" s="1"/>
    </row>
    <row r="936" spans="5:6">
      <c r="E936" s="1"/>
      <c r="F936" s="1"/>
    </row>
    <row r="937" spans="5:6">
      <c r="E937" s="1"/>
      <c r="F937" s="1"/>
    </row>
    <row r="938" spans="5:6">
      <c r="E938" s="1"/>
      <c r="F938" s="1"/>
    </row>
    <row r="939" spans="5:6">
      <c r="E939" s="1"/>
      <c r="F939" s="1"/>
    </row>
    <row r="940" spans="5:6">
      <c r="E940" s="1"/>
      <c r="F940" s="1"/>
    </row>
    <row r="941" spans="5:6">
      <c r="E941" s="1"/>
      <c r="F941" s="1"/>
    </row>
    <row r="942" spans="5:6">
      <c r="E942" s="1"/>
      <c r="F942" s="1"/>
    </row>
    <row r="943" spans="5:6">
      <c r="E943" s="1"/>
      <c r="F943" s="1"/>
    </row>
    <row r="944" spans="5:6">
      <c r="E944" s="1"/>
      <c r="F944" s="1"/>
    </row>
    <row r="945" spans="5:6">
      <c r="E945" s="1"/>
      <c r="F945" s="1"/>
    </row>
    <row r="946" spans="5:6">
      <c r="E946" s="1"/>
      <c r="F946" s="1"/>
    </row>
    <row r="947" spans="5:6">
      <c r="E947" s="1"/>
      <c r="F947" s="1"/>
    </row>
    <row r="948" spans="5:6">
      <c r="E948" s="1"/>
      <c r="F948" s="1"/>
    </row>
    <row r="949" spans="5:6">
      <c r="E949" s="1"/>
      <c r="F949" s="1"/>
    </row>
    <row r="950" spans="5:6">
      <c r="E950" s="1"/>
      <c r="F950" s="1"/>
    </row>
    <row r="951" spans="5:6">
      <c r="E951" s="1"/>
      <c r="F951" s="1"/>
    </row>
    <row r="952" spans="5:6">
      <c r="E952" s="1"/>
      <c r="F952" s="1"/>
    </row>
    <row r="953" spans="5:6">
      <c r="E953" s="1"/>
      <c r="F953" s="1"/>
    </row>
    <row r="954" spans="5:6">
      <c r="E954" s="1"/>
      <c r="F954" s="1"/>
    </row>
    <row r="955" spans="5:6">
      <c r="E955" s="1"/>
      <c r="F955" s="1"/>
    </row>
    <row r="956" spans="5:6">
      <c r="E956" s="1"/>
      <c r="F956" s="1"/>
    </row>
    <row r="957" spans="5:6">
      <c r="E957" s="1"/>
      <c r="F957" s="1"/>
    </row>
    <row r="958" spans="5:6">
      <c r="E958" s="1"/>
      <c r="F958" s="1"/>
    </row>
    <row r="959" spans="5:6">
      <c r="E959" s="1"/>
      <c r="F959" s="1"/>
    </row>
    <row r="960" spans="5:6">
      <c r="E960" s="1"/>
      <c r="F960" s="1"/>
    </row>
    <row r="961" spans="5:6">
      <c r="E961" s="1"/>
      <c r="F961" s="1"/>
    </row>
    <row r="962" spans="5:6">
      <c r="E962" s="1"/>
      <c r="F962" s="1"/>
    </row>
    <row r="963" spans="5:6">
      <c r="E963" s="1"/>
      <c r="F963" s="1"/>
    </row>
    <row r="964" spans="5:6">
      <c r="E964" s="1"/>
      <c r="F964" s="1"/>
    </row>
    <row r="965" spans="5:6">
      <c r="E965" s="1"/>
      <c r="F965" s="1"/>
    </row>
    <row r="966" spans="5:6">
      <c r="E966" s="1"/>
      <c r="F966" s="1"/>
    </row>
    <row r="967" spans="5:6">
      <c r="E967" s="1"/>
      <c r="F967" s="1"/>
    </row>
    <row r="968" spans="5:6">
      <c r="E968" s="1"/>
      <c r="F968" s="1"/>
    </row>
    <row r="969" spans="5:6">
      <c r="E969" s="1"/>
      <c r="F969" s="1"/>
    </row>
    <row r="970" spans="5:6">
      <c r="E970" s="1"/>
      <c r="F970" s="1"/>
    </row>
    <row r="971" spans="5:6">
      <c r="E971" s="1"/>
      <c r="F971" s="1"/>
    </row>
    <row r="972" spans="5:6">
      <c r="E972" s="1"/>
      <c r="F972" s="1"/>
    </row>
    <row r="973" spans="5:6">
      <c r="E973" s="1"/>
      <c r="F973" s="1"/>
    </row>
    <row r="974" spans="5:6">
      <c r="E974" s="1"/>
      <c r="F974" s="1"/>
    </row>
    <row r="975" spans="5:6">
      <c r="E975" s="1"/>
      <c r="F975" s="1"/>
    </row>
    <row r="976" spans="5:6">
      <c r="E976" s="1"/>
      <c r="F976" s="1"/>
    </row>
    <row r="977" spans="5:6">
      <c r="E977" s="1"/>
      <c r="F977" s="1"/>
    </row>
    <row r="978" spans="5:6">
      <c r="E978" s="1"/>
      <c r="F978" s="1"/>
    </row>
    <row r="979" spans="5:6">
      <c r="E979" s="1"/>
      <c r="F979" s="1"/>
    </row>
    <row r="980" spans="5:6">
      <c r="E980" s="1"/>
      <c r="F980" s="1"/>
    </row>
    <row r="981" spans="5:6">
      <c r="E981" s="1"/>
      <c r="F981" s="1"/>
    </row>
    <row r="982" spans="5:6">
      <c r="E982" s="1"/>
      <c r="F982" s="1"/>
    </row>
    <row r="983" spans="5:6">
      <c r="E983" s="1"/>
      <c r="F983" s="1"/>
    </row>
    <row r="984" spans="5:6">
      <c r="E984" s="1"/>
      <c r="F984" s="1"/>
    </row>
    <row r="985" spans="5:6">
      <c r="E985" s="1"/>
      <c r="F985" s="1"/>
    </row>
    <row r="986" spans="5:6">
      <c r="E986" s="1"/>
      <c r="F986" s="1"/>
    </row>
    <row r="987" spans="5:6">
      <c r="E987" s="1"/>
      <c r="F987" s="1"/>
    </row>
    <row r="988" spans="5:6">
      <c r="E988" s="1"/>
      <c r="F988" s="1"/>
    </row>
    <row r="989" spans="5:6">
      <c r="E989" s="1"/>
      <c r="F989" s="1"/>
    </row>
    <row r="990" spans="5:6">
      <c r="E990" s="1"/>
      <c r="F990" s="1"/>
    </row>
    <row r="991" spans="5:6">
      <c r="E991" s="1"/>
      <c r="F991" s="1"/>
    </row>
    <row r="992" spans="5:6">
      <c r="E992" s="1"/>
      <c r="F992" s="1"/>
    </row>
    <row r="993" spans="5:6">
      <c r="E993" s="1"/>
      <c r="F993" s="1"/>
    </row>
    <row r="994" spans="5:6">
      <c r="E994" s="1"/>
      <c r="F994" s="1"/>
    </row>
    <row r="995" spans="5:6">
      <c r="E995" s="1"/>
      <c r="F995" s="1"/>
    </row>
    <row r="996" spans="5:6">
      <c r="E996" s="1"/>
      <c r="F996" s="1"/>
    </row>
    <row r="997" spans="5:6">
      <c r="E997" s="1"/>
      <c r="F997" s="1"/>
    </row>
    <row r="998" spans="5:6">
      <c r="E998" s="1"/>
      <c r="F998" s="1"/>
    </row>
    <row r="999" spans="5:6">
      <c r="E999" s="1"/>
      <c r="F999" s="1"/>
    </row>
    <row r="1000" spans="5:6">
      <c r="E1000" s="1"/>
      <c r="F1000" s="1"/>
    </row>
    <row r="1001" spans="5:6">
      <c r="E1001" s="1"/>
      <c r="F1001" s="1"/>
    </row>
    <row r="1002" spans="5:6">
      <c r="E1002" s="1"/>
      <c r="F1002" s="1"/>
    </row>
    <row r="1003" spans="5:6">
      <c r="E1003" s="1"/>
      <c r="F1003" s="1"/>
    </row>
    <row r="1004" spans="5:6">
      <c r="E1004" s="1"/>
      <c r="F1004" s="1"/>
    </row>
    <row r="1005" spans="5:6">
      <c r="E1005" s="1"/>
      <c r="F1005" s="1"/>
    </row>
    <row r="1006" spans="5:6">
      <c r="E1006" s="1"/>
      <c r="F1006" s="1"/>
    </row>
    <row r="1007" spans="5:6">
      <c r="E1007" s="1"/>
      <c r="F1007" s="1"/>
    </row>
    <row r="1008" spans="5:6">
      <c r="E1008" s="1"/>
      <c r="F1008" s="1"/>
    </row>
    <row r="1009" spans="5:6">
      <c r="E1009" s="1"/>
      <c r="F1009" s="1"/>
    </row>
    <row r="1010" spans="5:6">
      <c r="E1010" s="1"/>
      <c r="F1010" s="1"/>
    </row>
    <row r="1011" spans="5:6">
      <c r="E1011" s="1"/>
      <c r="F1011" s="1"/>
    </row>
    <row r="1012" spans="5:6">
      <c r="E1012" s="1"/>
      <c r="F1012" s="1"/>
    </row>
    <row r="1013" spans="5:6">
      <c r="E1013" s="1"/>
      <c r="F1013" s="1"/>
    </row>
    <row r="1014" spans="5:6">
      <c r="E1014" s="1"/>
      <c r="F1014" s="1"/>
    </row>
    <row r="1015" spans="5:6">
      <c r="E1015" s="1"/>
      <c r="F1015" s="1"/>
    </row>
    <row r="1016" spans="5:6">
      <c r="E1016" s="1"/>
      <c r="F1016" s="1"/>
    </row>
    <row r="1017" spans="5:6">
      <c r="E1017" s="1"/>
      <c r="F1017" s="1"/>
    </row>
    <row r="1018" spans="5:6">
      <c r="E1018" s="1"/>
      <c r="F1018" s="1"/>
    </row>
    <row r="1019" spans="5:6">
      <c r="E1019" s="1"/>
      <c r="F1019" s="1"/>
    </row>
    <row r="1020" spans="5:6">
      <c r="E1020" s="1"/>
      <c r="F1020" s="1"/>
    </row>
    <row r="1021" spans="5:6">
      <c r="E1021" s="1"/>
      <c r="F1021" s="1"/>
    </row>
    <row r="1022" spans="5:6">
      <c r="E1022" s="1"/>
      <c r="F1022" s="1"/>
    </row>
    <row r="1023" spans="5:6">
      <c r="E1023" s="1"/>
      <c r="F1023" s="1"/>
    </row>
    <row r="1024" spans="5:6">
      <c r="E1024" s="1"/>
      <c r="F1024" s="1"/>
    </row>
    <row r="1025" spans="5:6">
      <c r="E1025" s="1"/>
      <c r="F1025" s="1"/>
    </row>
    <row r="1026" spans="5:6">
      <c r="E1026" s="1"/>
      <c r="F1026" s="1"/>
    </row>
    <row r="1027" spans="5:6">
      <c r="E1027" s="1"/>
      <c r="F1027" s="1"/>
    </row>
    <row r="1028" spans="5:6">
      <c r="E1028" s="1"/>
      <c r="F1028" s="1"/>
    </row>
    <row r="1029" spans="5:6">
      <c r="E1029" s="1"/>
      <c r="F1029" s="1"/>
    </row>
    <row r="1030" spans="5:6">
      <c r="E1030" s="1"/>
      <c r="F1030" s="1"/>
    </row>
    <row r="1031" spans="5:6">
      <c r="E1031" s="1"/>
      <c r="F1031" s="1"/>
    </row>
    <row r="1032" spans="5:6">
      <c r="E1032" s="1"/>
      <c r="F1032" s="1"/>
    </row>
    <row r="1033" spans="5:6">
      <c r="E1033" s="1"/>
      <c r="F1033" s="1"/>
    </row>
    <row r="1034" spans="5:6">
      <c r="E1034" s="1"/>
      <c r="F1034" s="1"/>
    </row>
    <row r="1035" spans="5:6">
      <c r="E1035" s="1"/>
      <c r="F1035" s="1"/>
    </row>
    <row r="1036" spans="5:6">
      <c r="E1036" s="1"/>
      <c r="F1036" s="1"/>
    </row>
    <row r="1037" spans="5:6">
      <c r="E1037" s="1"/>
      <c r="F1037" s="1"/>
    </row>
    <row r="1038" spans="5:6">
      <c r="E1038" s="1"/>
      <c r="F1038" s="1"/>
    </row>
    <row r="1039" spans="5:6">
      <c r="E1039" s="1"/>
      <c r="F1039" s="1"/>
    </row>
    <row r="1040" spans="5:6">
      <c r="E1040" s="1"/>
      <c r="F1040" s="1"/>
    </row>
    <row r="1041" spans="5:6">
      <c r="E1041" s="1"/>
      <c r="F1041" s="1"/>
    </row>
    <row r="1042" spans="5:6">
      <c r="E1042" s="1"/>
      <c r="F1042" s="1"/>
    </row>
    <row r="1043" spans="5:6">
      <c r="E1043" s="1"/>
      <c r="F1043" s="1"/>
    </row>
    <row r="1044" spans="5:6">
      <c r="E1044" s="1"/>
      <c r="F1044" s="1"/>
    </row>
    <row r="1045" spans="5:6">
      <c r="E1045" s="1"/>
      <c r="F1045" s="1"/>
    </row>
    <row r="1046" spans="5:6">
      <c r="E1046" s="1"/>
      <c r="F1046" s="1"/>
    </row>
    <row r="1047" spans="5:6">
      <c r="E1047" s="1"/>
      <c r="F1047" s="1"/>
    </row>
    <row r="1048" spans="5:6">
      <c r="E1048" s="1"/>
      <c r="F1048" s="1"/>
    </row>
    <row r="1049" spans="5:6">
      <c r="E1049" s="1"/>
      <c r="F1049" s="1"/>
    </row>
    <row r="1050" spans="5:6">
      <c r="E1050" s="1"/>
      <c r="F1050" s="1"/>
    </row>
    <row r="1051" spans="5:6">
      <c r="E1051" s="1"/>
      <c r="F1051" s="1"/>
    </row>
    <row r="1052" spans="5:6">
      <c r="E1052" s="1"/>
      <c r="F1052" s="1"/>
    </row>
    <row r="1053" spans="5:6">
      <c r="E1053" s="1"/>
      <c r="F1053" s="1"/>
    </row>
    <row r="1054" spans="5:6">
      <c r="E1054" s="1"/>
      <c r="F1054" s="1"/>
    </row>
    <row r="1055" spans="5:6">
      <c r="E1055" s="1"/>
      <c r="F1055" s="1"/>
    </row>
    <row r="1056" spans="5:6">
      <c r="E1056" s="1"/>
      <c r="F1056" s="1"/>
    </row>
    <row r="1057" spans="5:6">
      <c r="E1057" s="1"/>
      <c r="F1057" s="1"/>
    </row>
    <row r="1058" spans="5:6">
      <c r="E1058" s="1"/>
      <c r="F1058" s="1"/>
    </row>
    <row r="1059" spans="5:6">
      <c r="E1059" s="1"/>
      <c r="F1059" s="1"/>
    </row>
    <row r="1060" spans="5:6">
      <c r="E1060" s="1"/>
      <c r="F1060" s="1"/>
    </row>
    <row r="1061" spans="5:6">
      <c r="E1061" s="1"/>
      <c r="F1061" s="1"/>
    </row>
    <row r="1062" spans="5:6">
      <c r="E1062" s="1"/>
      <c r="F1062" s="1"/>
    </row>
    <row r="1063" spans="5:6">
      <c r="E1063" s="1"/>
      <c r="F1063" s="1"/>
    </row>
    <row r="1064" spans="5:6">
      <c r="E1064" s="1"/>
      <c r="F1064" s="1"/>
    </row>
    <row r="1065" spans="5:6">
      <c r="E1065" s="1"/>
      <c r="F1065" s="1"/>
    </row>
    <row r="1066" spans="5:6">
      <c r="E1066" s="1"/>
      <c r="F1066" s="1"/>
    </row>
    <row r="1067" spans="5:6">
      <c r="E1067" s="1"/>
      <c r="F1067" s="1"/>
    </row>
    <row r="1068" spans="5:6">
      <c r="E1068" s="1"/>
      <c r="F1068" s="1"/>
    </row>
    <row r="1069" spans="5:6">
      <c r="E1069" s="1"/>
      <c r="F1069" s="1"/>
    </row>
    <row r="1070" spans="5:6">
      <c r="E1070" s="1"/>
      <c r="F1070" s="1"/>
    </row>
    <row r="1071" spans="5:6">
      <c r="E1071" s="1"/>
      <c r="F1071" s="1"/>
    </row>
    <row r="1072" spans="5:6">
      <c r="E1072" s="1"/>
      <c r="F1072" s="1"/>
    </row>
    <row r="1073" spans="5:6">
      <c r="E1073" s="1"/>
      <c r="F1073" s="1"/>
    </row>
    <row r="1074" spans="5:6">
      <c r="E1074" s="1"/>
      <c r="F1074" s="1"/>
    </row>
    <row r="1075" spans="5:6">
      <c r="E1075" s="1"/>
      <c r="F1075" s="1"/>
    </row>
    <row r="1076" spans="5:6">
      <c r="E1076" s="1"/>
      <c r="F1076" s="1"/>
    </row>
    <row r="1077" spans="5:6">
      <c r="E1077" s="1"/>
      <c r="F1077" s="1"/>
    </row>
    <row r="1078" spans="5:6">
      <c r="E1078" s="1"/>
      <c r="F1078" s="1"/>
    </row>
    <row r="1079" spans="5:6">
      <c r="E1079" s="1"/>
      <c r="F1079" s="1"/>
    </row>
    <row r="1080" spans="5:6">
      <c r="E1080" s="1"/>
      <c r="F1080" s="1"/>
    </row>
    <row r="1081" spans="5:6">
      <c r="E1081" s="1"/>
      <c r="F1081" s="1"/>
    </row>
    <row r="1082" spans="5:6">
      <c r="E1082" s="1"/>
      <c r="F1082" s="1"/>
    </row>
    <row r="1083" spans="5:6">
      <c r="E1083" s="1"/>
      <c r="F1083" s="1"/>
    </row>
    <row r="1084" spans="5:6">
      <c r="E1084" s="1"/>
      <c r="F1084" s="1"/>
    </row>
    <row r="1085" spans="5:6">
      <c r="E1085" s="1"/>
      <c r="F1085" s="1"/>
    </row>
    <row r="1086" spans="5:6">
      <c r="E1086" s="1"/>
      <c r="F1086" s="1"/>
    </row>
    <row r="1087" spans="5:6">
      <c r="E1087" s="1"/>
      <c r="F1087" s="1"/>
    </row>
    <row r="1088" spans="5:6">
      <c r="E1088" s="1"/>
      <c r="F1088" s="1"/>
    </row>
    <row r="1089" spans="5:6">
      <c r="E1089" s="1"/>
      <c r="F1089" s="1"/>
    </row>
    <row r="1090" spans="5:6">
      <c r="E1090" s="1"/>
      <c r="F1090" s="1"/>
    </row>
    <row r="1091" spans="5:6">
      <c r="E1091" s="1"/>
      <c r="F1091" s="1"/>
    </row>
    <row r="1092" spans="5:6">
      <c r="E1092" s="1"/>
      <c r="F1092" s="1"/>
    </row>
    <row r="1093" spans="5:6">
      <c r="E1093" s="1"/>
      <c r="F1093" s="1"/>
    </row>
    <row r="1094" spans="5:6">
      <c r="E1094" s="1"/>
      <c r="F1094" s="1"/>
    </row>
    <row r="1095" spans="5:6">
      <c r="E1095" s="1"/>
      <c r="F1095" s="1"/>
    </row>
    <row r="1096" spans="5:6">
      <c r="E1096" s="1"/>
      <c r="F1096" s="1"/>
    </row>
    <row r="1097" spans="5:6">
      <c r="E1097" s="1"/>
      <c r="F1097" s="1"/>
    </row>
    <row r="1098" spans="5:6">
      <c r="E1098" s="1"/>
      <c r="F1098" s="1"/>
    </row>
    <row r="1099" spans="5:6">
      <c r="E1099" s="1"/>
      <c r="F1099" s="1"/>
    </row>
    <row r="1100" spans="5:6">
      <c r="E1100" s="1"/>
      <c r="F1100" s="1"/>
    </row>
    <row r="1101" spans="5:6">
      <c r="E1101" s="1"/>
      <c r="F1101" s="1"/>
    </row>
    <row r="1102" spans="5:6">
      <c r="E1102" s="1"/>
      <c r="F1102" s="1"/>
    </row>
    <row r="1103" spans="5:6">
      <c r="E1103" s="1"/>
      <c r="F1103" s="1"/>
    </row>
    <row r="1104" spans="5:6">
      <c r="E1104" s="1"/>
      <c r="F1104" s="1"/>
    </row>
    <row r="1105" spans="5:6">
      <c r="E1105" s="1"/>
      <c r="F1105" s="1"/>
    </row>
    <row r="1106" spans="5:6">
      <c r="E1106" s="1"/>
      <c r="F1106" s="1"/>
    </row>
    <row r="1107" spans="5:6">
      <c r="E1107" s="1"/>
      <c r="F1107" s="1"/>
    </row>
    <row r="1108" spans="5:6">
      <c r="E1108" s="1"/>
      <c r="F1108" s="1"/>
    </row>
    <row r="1109" spans="5:6">
      <c r="E1109" s="1"/>
      <c r="F1109" s="1"/>
    </row>
    <row r="1110" spans="5:6">
      <c r="E1110" s="1"/>
      <c r="F1110" s="1"/>
    </row>
    <row r="1111" spans="5:6">
      <c r="E1111" s="1"/>
      <c r="F1111" s="1"/>
    </row>
    <row r="1112" spans="5:6">
      <c r="E1112" s="1"/>
      <c r="F1112" s="1"/>
    </row>
    <row r="1113" spans="5:6">
      <c r="E1113" s="1"/>
      <c r="F1113" s="1"/>
    </row>
    <row r="1114" spans="5:6">
      <c r="E1114" s="1"/>
      <c r="F1114" s="1"/>
    </row>
    <row r="1115" spans="5:6">
      <c r="E1115" s="1"/>
      <c r="F1115" s="1"/>
    </row>
    <row r="1116" spans="5:6">
      <c r="E1116" s="1"/>
      <c r="F1116" s="1"/>
    </row>
    <row r="1117" spans="5:6">
      <c r="E1117" s="1"/>
      <c r="F1117" s="1"/>
    </row>
    <row r="1118" spans="5:6">
      <c r="E1118" s="1"/>
      <c r="F1118" s="1"/>
    </row>
    <row r="1119" spans="5:6">
      <c r="E1119" s="1"/>
      <c r="F1119" s="1"/>
    </row>
    <row r="1120" spans="5:6">
      <c r="E1120" s="1"/>
      <c r="F1120" s="1"/>
    </row>
    <row r="1121" spans="5:6">
      <c r="E1121" s="1"/>
      <c r="F1121" s="1"/>
    </row>
    <row r="1122" spans="5:6">
      <c r="E1122" s="1"/>
      <c r="F1122" s="1"/>
    </row>
    <row r="1123" spans="5:6">
      <c r="E1123" s="1"/>
      <c r="F1123" s="1"/>
    </row>
    <row r="1124" spans="5:6">
      <c r="E1124" s="1"/>
      <c r="F1124" s="1"/>
    </row>
    <row r="1125" spans="5:6">
      <c r="E1125" s="1"/>
      <c r="F1125" s="1"/>
    </row>
    <row r="1126" spans="5:6">
      <c r="E1126" s="1"/>
      <c r="F1126" s="1"/>
    </row>
    <row r="1127" spans="5:6">
      <c r="E1127" s="1"/>
      <c r="F1127" s="1"/>
    </row>
    <row r="1128" spans="5:6">
      <c r="E1128" s="1"/>
      <c r="F1128" s="1"/>
    </row>
    <row r="1129" spans="5:6">
      <c r="E1129" s="1"/>
      <c r="F1129" s="1"/>
    </row>
    <row r="1130" spans="5:6">
      <c r="E1130" s="1"/>
      <c r="F1130" s="1"/>
    </row>
    <row r="1131" spans="5:6">
      <c r="E1131" s="1"/>
      <c r="F1131" s="1"/>
    </row>
    <row r="1132" spans="5:6">
      <c r="E1132" s="1"/>
      <c r="F1132" s="1"/>
    </row>
    <row r="1133" spans="5:6">
      <c r="E1133" s="1"/>
      <c r="F1133" s="1"/>
    </row>
    <row r="1134" spans="5:6">
      <c r="E1134" s="1"/>
      <c r="F1134" s="1"/>
    </row>
    <row r="1135" spans="5:6">
      <c r="E1135" s="1"/>
      <c r="F1135" s="1"/>
    </row>
    <row r="1136" spans="5:6">
      <c r="E1136" s="1"/>
      <c r="F1136" s="1"/>
    </row>
    <row r="1137" spans="5:6">
      <c r="E1137" s="1"/>
      <c r="F1137" s="1"/>
    </row>
    <row r="1138" spans="5:6">
      <c r="E1138" s="1"/>
      <c r="F1138" s="1"/>
    </row>
    <row r="1139" spans="5:6">
      <c r="E1139" s="1"/>
      <c r="F1139" s="1"/>
    </row>
    <row r="1140" spans="5:6">
      <c r="E1140" s="1"/>
      <c r="F1140" s="1"/>
    </row>
    <row r="1141" spans="5:6">
      <c r="E1141" s="1"/>
      <c r="F1141" s="1"/>
    </row>
    <row r="1142" spans="5:6">
      <c r="E1142" s="1"/>
      <c r="F1142" s="1"/>
    </row>
    <row r="1143" spans="5:6">
      <c r="E1143" s="1"/>
      <c r="F1143" s="1"/>
    </row>
    <row r="1144" spans="5:6">
      <c r="E1144" s="1"/>
      <c r="F1144" s="1"/>
    </row>
    <row r="1145" spans="5:6">
      <c r="E1145" s="1"/>
      <c r="F1145" s="1"/>
    </row>
    <row r="1146" spans="5:6">
      <c r="E1146" s="1"/>
      <c r="F1146" s="1"/>
    </row>
    <row r="1147" spans="5:6">
      <c r="E1147" s="1"/>
      <c r="F1147" s="1"/>
    </row>
    <row r="1148" spans="5:6">
      <c r="E1148" s="1"/>
      <c r="F1148" s="1"/>
    </row>
    <row r="1149" spans="5:6">
      <c r="E1149" s="1"/>
      <c r="F1149" s="1"/>
    </row>
    <row r="1150" spans="5:6">
      <c r="E1150" s="1"/>
      <c r="F1150" s="1"/>
    </row>
    <row r="1151" spans="5:6">
      <c r="E1151" s="1"/>
      <c r="F1151" s="1"/>
    </row>
    <row r="1152" spans="5:6">
      <c r="E1152" s="1"/>
      <c r="F1152" s="1"/>
    </row>
    <row r="1153" spans="5:6">
      <c r="E1153" s="1"/>
      <c r="F1153" s="1"/>
    </row>
    <row r="1154" spans="5:6">
      <c r="E1154" s="1"/>
      <c r="F1154" s="1"/>
    </row>
    <row r="1155" spans="5:6">
      <c r="E1155" s="1"/>
      <c r="F1155" s="1"/>
    </row>
    <row r="1156" spans="5:6">
      <c r="E1156" s="1"/>
      <c r="F1156" s="1"/>
    </row>
    <row r="1157" spans="5:6">
      <c r="E1157" s="1"/>
      <c r="F1157" s="1"/>
    </row>
    <row r="1158" spans="5:6">
      <c r="E1158" s="1"/>
      <c r="F1158" s="1"/>
    </row>
    <row r="1159" spans="5:6">
      <c r="E1159" s="1"/>
      <c r="F1159" s="1"/>
    </row>
    <row r="1160" spans="5:6">
      <c r="E1160" s="1"/>
      <c r="F1160" s="1"/>
    </row>
    <row r="1161" spans="5:6">
      <c r="E1161" s="1"/>
      <c r="F1161" s="1"/>
    </row>
    <row r="1162" spans="5:6">
      <c r="E1162" s="1"/>
      <c r="F1162" s="1"/>
    </row>
    <row r="1163" spans="5:6">
      <c r="E1163" s="1"/>
      <c r="F1163" s="1"/>
    </row>
    <row r="1164" spans="5:6">
      <c r="E1164" s="1"/>
      <c r="F1164" s="1"/>
    </row>
    <row r="1165" spans="5:6">
      <c r="E1165" s="1"/>
      <c r="F1165" s="1"/>
    </row>
    <row r="1166" spans="5:6">
      <c r="E1166" s="1"/>
      <c r="F1166" s="1"/>
    </row>
    <row r="1167" spans="5:6">
      <c r="E1167" s="1"/>
      <c r="F1167" s="1"/>
    </row>
    <row r="1168" spans="5:6">
      <c r="E1168" s="1"/>
      <c r="F1168" s="1"/>
    </row>
    <row r="1169" spans="5:6">
      <c r="E1169" s="1"/>
      <c r="F1169" s="1"/>
    </row>
    <row r="1170" spans="5:6">
      <c r="E1170" s="1"/>
      <c r="F1170" s="1"/>
    </row>
    <row r="1171" spans="5:6">
      <c r="E1171" s="1"/>
      <c r="F1171" s="1"/>
    </row>
    <row r="1172" spans="5:6">
      <c r="E1172" s="1"/>
      <c r="F1172" s="1"/>
    </row>
    <row r="1173" spans="5:6">
      <c r="E1173" s="1"/>
      <c r="F1173" s="1"/>
    </row>
    <row r="1174" spans="5:6">
      <c r="E1174" s="1"/>
      <c r="F1174" s="1"/>
    </row>
    <row r="1175" spans="5:6">
      <c r="E1175" s="1"/>
      <c r="F1175" s="1"/>
    </row>
    <row r="1176" spans="5:6">
      <c r="E1176" s="1"/>
      <c r="F1176" s="1"/>
    </row>
    <row r="1177" spans="5:6">
      <c r="E1177" s="1"/>
      <c r="F1177" s="1"/>
    </row>
    <row r="1178" spans="5:6">
      <c r="E1178" s="1"/>
      <c r="F1178" s="1"/>
    </row>
    <row r="1179" spans="5:6">
      <c r="E1179" s="1"/>
      <c r="F1179" s="1"/>
    </row>
    <row r="1180" spans="5:6">
      <c r="E1180" s="1"/>
      <c r="F1180" s="1"/>
    </row>
    <row r="1181" spans="5:6">
      <c r="E1181" s="1"/>
      <c r="F1181" s="1"/>
    </row>
    <row r="1182" spans="5:6">
      <c r="E1182" s="1"/>
      <c r="F1182" s="1"/>
    </row>
    <row r="1183" spans="5:6">
      <c r="E1183" s="1"/>
      <c r="F1183" s="1"/>
    </row>
    <row r="1184" spans="5:6">
      <c r="E1184" s="1"/>
      <c r="F1184" s="1"/>
    </row>
    <row r="1185" spans="5:6">
      <c r="E1185" s="1"/>
      <c r="F1185" s="1"/>
    </row>
    <row r="1186" spans="5:6">
      <c r="E1186" s="1"/>
      <c r="F1186" s="1"/>
    </row>
    <row r="1187" spans="5:6">
      <c r="E1187" s="1"/>
      <c r="F1187" s="1"/>
    </row>
    <row r="1188" spans="5:6">
      <c r="E1188" s="1"/>
      <c r="F1188" s="1"/>
    </row>
    <row r="1189" spans="5:6">
      <c r="E1189" s="1"/>
      <c r="F1189" s="1"/>
    </row>
    <row r="1190" spans="5:6">
      <c r="E1190" s="1"/>
      <c r="F1190" s="1"/>
    </row>
    <row r="1191" spans="5:6">
      <c r="E1191" s="1"/>
      <c r="F1191" s="1"/>
    </row>
    <row r="1192" spans="5:6">
      <c r="E1192" s="1"/>
      <c r="F1192" s="1"/>
    </row>
    <row r="1193" spans="5:6">
      <c r="E1193" s="1"/>
      <c r="F1193" s="1"/>
    </row>
    <row r="1194" spans="5:6">
      <c r="E1194" s="1"/>
      <c r="F1194" s="1"/>
    </row>
    <row r="1195" spans="5:6">
      <c r="E1195" s="1"/>
      <c r="F1195" s="1"/>
    </row>
    <row r="1196" spans="5:6">
      <c r="E1196" s="1"/>
      <c r="F1196" s="1"/>
    </row>
    <row r="1197" spans="5:6">
      <c r="E1197" s="1"/>
      <c r="F1197" s="1"/>
    </row>
    <row r="1198" spans="5:6">
      <c r="E1198" s="1"/>
      <c r="F1198" s="1"/>
    </row>
    <row r="1199" spans="5:6">
      <c r="E1199" s="1"/>
      <c r="F1199" s="1"/>
    </row>
    <row r="1200" spans="5:6">
      <c r="E1200" s="1"/>
      <c r="F1200" s="1"/>
    </row>
    <row r="1201" spans="5:6">
      <c r="E1201" s="1"/>
      <c r="F1201" s="1"/>
    </row>
    <row r="1202" spans="5:6">
      <c r="E1202" s="1"/>
      <c r="F1202" s="1"/>
    </row>
    <row r="1203" spans="5:6">
      <c r="E1203" s="1"/>
      <c r="F1203" s="1"/>
    </row>
    <row r="1204" spans="5:6">
      <c r="E1204" s="1"/>
      <c r="F1204" s="1"/>
    </row>
    <row r="1205" spans="5:6">
      <c r="E1205" s="1"/>
      <c r="F1205" s="1"/>
    </row>
    <row r="1206" spans="5:6">
      <c r="E1206" s="1"/>
      <c r="F1206" s="1"/>
    </row>
    <row r="1207" spans="5:6">
      <c r="E1207" s="1"/>
      <c r="F1207" s="1"/>
    </row>
    <row r="1208" spans="5:6">
      <c r="E1208" s="1"/>
      <c r="F1208" s="1"/>
    </row>
    <row r="1209" spans="5:6">
      <c r="E1209" s="1"/>
      <c r="F1209" s="1"/>
    </row>
    <row r="1210" spans="5:6">
      <c r="E1210" s="1"/>
      <c r="F1210" s="1"/>
    </row>
    <row r="1211" spans="5:6">
      <c r="E1211" s="1"/>
      <c r="F1211" s="1"/>
    </row>
    <row r="1212" spans="5:6">
      <c r="E1212" s="1"/>
      <c r="F1212" s="1"/>
    </row>
    <row r="1213" spans="5:6">
      <c r="E1213" s="1"/>
      <c r="F1213" s="1"/>
    </row>
    <row r="1214" spans="5:6">
      <c r="E1214" s="1"/>
      <c r="F1214" s="1"/>
    </row>
    <row r="1215" spans="5:6">
      <c r="E1215" s="1"/>
      <c r="F1215" s="1"/>
    </row>
    <row r="1216" spans="5:6">
      <c r="E1216" s="1"/>
      <c r="F1216" s="1"/>
    </row>
    <row r="1217" spans="5:6">
      <c r="E1217" s="1"/>
      <c r="F1217" s="1"/>
    </row>
    <row r="1218" spans="5:6">
      <c r="E1218" s="1"/>
      <c r="F1218" s="1"/>
    </row>
    <row r="1219" spans="5:6">
      <c r="E1219" s="1"/>
      <c r="F1219" s="1"/>
    </row>
    <row r="1220" spans="5:6">
      <c r="E1220" s="1"/>
      <c r="F1220" s="1"/>
    </row>
    <row r="1221" spans="5:6">
      <c r="E1221" s="1"/>
      <c r="F1221" s="1"/>
    </row>
    <row r="1222" spans="5:6">
      <c r="E1222" s="1"/>
      <c r="F1222" s="1"/>
    </row>
    <row r="1223" spans="5:6">
      <c r="E1223" s="1"/>
      <c r="F1223" s="1"/>
    </row>
    <row r="1224" spans="5:6">
      <c r="E1224" s="1"/>
      <c r="F1224" s="1"/>
    </row>
    <row r="1225" spans="5:6">
      <c r="E1225" s="1"/>
      <c r="F1225" s="1"/>
    </row>
    <row r="1226" spans="5:6">
      <c r="E1226" s="1"/>
      <c r="F1226" s="1"/>
    </row>
    <row r="1227" spans="5:6">
      <c r="E1227" s="1"/>
      <c r="F1227" s="1"/>
    </row>
    <row r="1228" spans="5:6">
      <c r="E1228" s="1"/>
      <c r="F1228" s="1"/>
    </row>
    <row r="1229" spans="5:6">
      <c r="E1229" s="1"/>
      <c r="F1229" s="1"/>
    </row>
    <row r="1230" spans="5:6">
      <c r="E1230" s="1"/>
      <c r="F1230" s="1"/>
    </row>
    <row r="1231" spans="5:6">
      <c r="E1231" s="1"/>
      <c r="F1231" s="1"/>
    </row>
    <row r="1232" spans="5:6">
      <c r="E1232" s="1"/>
      <c r="F1232" s="1"/>
    </row>
    <row r="1233" spans="5:6">
      <c r="E1233" s="1"/>
      <c r="F1233" s="1"/>
    </row>
    <row r="1234" spans="5:6">
      <c r="E1234" s="1"/>
      <c r="F1234" s="1"/>
    </row>
    <row r="1235" spans="5:6">
      <c r="E1235" s="1"/>
      <c r="F1235" s="1"/>
    </row>
    <row r="1236" spans="5:6">
      <c r="E1236" s="1"/>
      <c r="F1236" s="1"/>
    </row>
    <row r="1237" spans="5:6">
      <c r="E1237" s="1"/>
      <c r="F1237" s="1"/>
    </row>
    <row r="1238" spans="5:6">
      <c r="E1238" s="1"/>
      <c r="F1238" s="1"/>
    </row>
    <row r="1239" spans="5:6">
      <c r="E1239" s="1"/>
      <c r="F1239" s="1"/>
    </row>
    <row r="1240" spans="5:6">
      <c r="E1240" s="1"/>
      <c r="F1240" s="1"/>
    </row>
    <row r="1241" spans="5:6">
      <c r="E1241" s="1"/>
      <c r="F1241" s="1"/>
    </row>
    <row r="1242" spans="5:6">
      <c r="E1242" s="1"/>
      <c r="F1242" s="1"/>
    </row>
    <row r="1243" spans="5:6">
      <c r="E1243" s="1"/>
      <c r="F1243" s="1"/>
    </row>
    <row r="1244" spans="5:6">
      <c r="E1244" s="1"/>
      <c r="F1244" s="1"/>
    </row>
    <row r="1245" spans="5:6">
      <c r="E1245" s="1"/>
      <c r="F1245" s="1"/>
    </row>
    <row r="1246" spans="5:6">
      <c r="E1246" s="1"/>
      <c r="F1246" s="1"/>
    </row>
    <row r="1247" spans="5:6">
      <c r="E1247" s="1"/>
      <c r="F1247" s="1"/>
    </row>
    <row r="1248" spans="5:6">
      <c r="E1248" s="1"/>
      <c r="F1248" s="1"/>
    </row>
    <row r="1249" spans="5:6">
      <c r="E1249" s="1"/>
      <c r="F1249" s="1"/>
    </row>
    <row r="1250" spans="5:6">
      <c r="E1250" s="1"/>
      <c r="F1250" s="1"/>
    </row>
    <row r="1251" spans="5:6">
      <c r="E1251" s="1"/>
      <c r="F1251" s="1"/>
    </row>
    <row r="1252" spans="5:6">
      <c r="E1252" s="1"/>
      <c r="F1252" s="1"/>
    </row>
    <row r="1253" spans="5:6">
      <c r="E1253" s="1"/>
      <c r="F1253" s="1"/>
    </row>
    <row r="1254" spans="5:6">
      <c r="E1254" s="1"/>
      <c r="F1254" s="1"/>
    </row>
    <row r="1255" spans="5:6">
      <c r="E1255" s="1"/>
      <c r="F1255" s="1"/>
    </row>
    <row r="1256" spans="5:6">
      <c r="E1256" s="1"/>
      <c r="F1256" s="1"/>
    </row>
    <row r="1257" spans="5:6">
      <c r="E1257" s="1"/>
      <c r="F1257" s="1"/>
    </row>
    <row r="1258" spans="5:6">
      <c r="E1258" s="1"/>
      <c r="F1258" s="1"/>
    </row>
    <row r="1259" spans="5:6">
      <c r="E1259" s="1"/>
      <c r="F1259" s="1"/>
    </row>
    <row r="1260" spans="5:6">
      <c r="E1260" s="1"/>
      <c r="F1260" s="1"/>
    </row>
    <row r="1261" spans="5:6">
      <c r="E1261" s="1"/>
      <c r="F1261" s="1"/>
    </row>
    <row r="1262" spans="5:6">
      <c r="E1262" s="1"/>
      <c r="F1262" s="1"/>
    </row>
    <row r="1263" spans="5:6">
      <c r="E1263" s="1"/>
      <c r="F1263" s="1"/>
    </row>
    <row r="1264" spans="5:6">
      <c r="E1264" s="1"/>
      <c r="F1264" s="1"/>
    </row>
    <row r="1265" spans="5:6">
      <c r="E1265" s="1"/>
      <c r="F1265" s="1"/>
    </row>
    <row r="1266" spans="5:6">
      <c r="E1266" s="1"/>
      <c r="F1266" s="1"/>
    </row>
    <row r="1267" spans="5:6">
      <c r="E1267" s="1"/>
      <c r="F1267" s="1"/>
    </row>
    <row r="1268" spans="5:6">
      <c r="E1268" s="1"/>
      <c r="F1268" s="1"/>
    </row>
    <row r="1269" spans="5:6">
      <c r="E1269" s="1"/>
      <c r="F1269" s="1"/>
    </row>
    <row r="1270" spans="5:6">
      <c r="E1270" s="1"/>
      <c r="F1270" s="1"/>
    </row>
    <row r="1271" spans="5:6">
      <c r="E1271" s="1"/>
      <c r="F1271" s="1"/>
    </row>
    <row r="1272" spans="5:6">
      <c r="E1272" s="1"/>
      <c r="F1272" s="1"/>
    </row>
    <row r="1273" spans="5:6">
      <c r="E1273" s="1"/>
      <c r="F1273" s="1"/>
    </row>
    <row r="1274" spans="5:6">
      <c r="E1274" s="1"/>
      <c r="F1274" s="1"/>
    </row>
    <row r="1275" spans="5:6">
      <c r="E1275" s="1"/>
      <c r="F1275" s="1"/>
    </row>
    <row r="1276" spans="5:6">
      <c r="E1276" s="1"/>
      <c r="F1276" s="1"/>
    </row>
    <row r="1277" spans="5:6">
      <c r="E1277" s="1"/>
      <c r="F1277" s="1"/>
    </row>
    <row r="1278" spans="5:6">
      <c r="E1278" s="1"/>
      <c r="F1278" s="1"/>
    </row>
    <row r="1279" spans="5:6">
      <c r="E1279" s="1"/>
      <c r="F1279" s="1"/>
    </row>
    <row r="1280" spans="5:6">
      <c r="E1280" s="1"/>
      <c r="F1280" s="1"/>
    </row>
    <row r="1281" spans="5:6">
      <c r="E1281" s="1"/>
      <c r="F1281" s="1"/>
    </row>
    <row r="1282" spans="5:6">
      <c r="E1282" s="1"/>
      <c r="F1282" s="1"/>
    </row>
    <row r="1283" spans="5:6">
      <c r="E1283" s="1"/>
      <c r="F1283" s="1"/>
    </row>
    <row r="1284" spans="5:6">
      <c r="E1284" s="1"/>
      <c r="F1284" s="1"/>
    </row>
    <row r="1285" spans="5:6">
      <c r="E1285" s="1"/>
      <c r="F1285" s="1"/>
    </row>
    <row r="1286" spans="5:6">
      <c r="E1286" s="1"/>
      <c r="F1286" s="1"/>
    </row>
    <row r="1287" spans="5:6">
      <c r="E1287" s="1"/>
      <c r="F1287" s="1"/>
    </row>
    <row r="1288" spans="5:6">
      <c r="E1288" s="1"/>
      <c r="F1288" s="1"/>
    </row>
    <row r="1289" spans="5:6">
      <c r="E1289" s="1"/>
      <c r="F1289" s="1"/>
    </row>
    <row r="1290" spans="5:6">
      <c r="E1290" s="1"/>
      <c r="F1290" s="1"/>
    </row>
    <row r="1291" spans="5:6">
      <c r="E1291" s="1"/>
      <c r="F1291" s="1"/>
    </row>
    <row r="1292" spans="5:6">
      <c r="E1292" s="1"/>
      <c r="F1292" s="1"/>
    </row>
    <row r="1293" spans="5:6">
      <c r="E1293" s="1"/>
      <c r="F1293" s="1"/>
    </row>
    <row r="1294" spans="5:6">
      <c r="E1294" s="1"/>
      <c r="F1294" s="1"/>
    </row>
    <row r="1295" spans="5:6">
      <c r="E1295" s="1"/>
      <c r="F1295" s="1"/>
    </row>
    <row r="1296" spans="5:6">
      <c r="E1296" s="1"/>
      <c r="F1296" s="1"/>
    </row>
    <row r="1297" spans="5:6">
      <c r="E1297" s="1"/>
      <c r="F1297" s="1"/>
    </row>
    <row r="1298" spans="5:6">
      <c r="E1298" s="1"/>
      <c r="F1298" s="1"/>
    </row>
    <row r="1299" spans="5:6">
      <c r="E1299" s="1"/>
      <c r="F1299" s="1"/>
    </row>
    <row r="1300" spans="5:6">
      <c r="E1300" s="1"/>
      <c r="F1300" s="1"/>
    </row>
    <row r="1301" spans="5:6">
      <c r="E1301" s="1"/>
      <c r="F1301" s="1"/>
    </row>
    <row r="1302" spans="5:6">
      <c r="E1302" s="1"/>
      <c r="F1302" s="1"/>
    </row>
    <row r="1303" spans="5:6">
      <c r="E1303" s="1"/>
      <c r="F1303" s="1"/>
    </row>
    <row r="1304" spans="5:6">
      <c r="E1304" s="1"/>
      <c r="F1304" s="1"/>
    </row>
    <row r="1305" spans="5:6">
      <c r="E1305" s="1"/>
      <c r="F1305" s="1"/>
    </row>
    <row r="1306" spans="5:6">
      <c r="E1306" s="1"/>
      <c r="F1306" s="1"/>
    </row>
    <row r="1307" spans="5:6">
      <c r="E1307" s="1"/>
      <c r="F1307" s="1"/>
    </row>
    <row r="1308" spans="5:6">
      <c r="E1308" s="1"/>
      <c r="F1308" s="1"/>
    </row>
    <row r="1309" spans="5:6">
      <c r="E1309" s="1"/>
      <c r="F1309" s="1"/>
    </row>
    <row r="1310" spans="5:6">
      <c r="E1310" s="1"/>
      <c r="F1310" s="1"/>
    </row>
    <row r="1311" spans="5:6">
      <c r="E1311" s="1"/>
      <c r="F1311" s="1"/>
    </row>
    <row r="1312" spans="5:6">
      <c r="E1312" s="1"/>
      <c r="F1312" s="1"/>
    </row>
    <row r="1313" spans="5:6">
      <c r="E1313" s="1"/>
      <c r="F1313" s="1"/>
    </row>
    <row r="1314" spans="5:6">
      <c r="E1314" s="1"/>
      <c r="F1314" s="1"/>
    </row>
    <row r="1315" spans="5:6">
      <c r="E1315" s="1"/>
      <c r="F1315" s="1"/>
    </row>
    <row r="1316" spans="5:6">
      <c r="E1316" s="1"/>
      <c r="F1316" s="1"/>
    </row>
    <row r="1317" spans="5:6">
      <c r="E1317" s="1"/>
      <c r="F1317" s="1"/>
    </row>
    <row r="1318" spans="5:6">
      <c r="E1318" s="1"/>
      <c r="F1318" s="1"/>
    </row>
    <row r="1319" spans="5:6">
      <c r="E1319" s="1"/>
      <c r="F1319" s="1"/>
    </row>
    <row r="1320" spans="5:6">
      <c r="E1320" s="1"/>
      <c r="F1320" s="1"/>
    </row>
    <row r="1321" spans="5:6">
      <c r="E1321" s="1"/>
      <c r="F1321" s="1"/>
    </row>
    <row r="1322" spans="5:6">
      <c r="E1322" s="1"/>
      <c r="F1322" s="1"/>
    </row>
    <row r="1323" spans="5:6">
      <c r="E1323" s="1"/>
      <c r="F1323" s="1"/>
    </row>
    <row r="1324" spans="5:6">
      <c r="E1324" s="1"/>
      <c r="F1324" s="1"/>
    </row>
    <row r="1325" spans="5:6">
      <c r="E1325" s="1"/>
      <c r="F1325" s="1"/>
    </row>
    <row r="1326" spans="5:6">
      <c r="E1326" s="1"/>
      <c r="F1326" s="1"/>
    </row>
    <row r="1327" spans="5:6">
      <c r="E1327" s="1"/>
      <c r="F1327" s="1"/>
    </row>
    <row r="1328" spans="5:6">
      <c r="E1328" s="1"/>
      <c r="F1328" s="1"/>
    </row>
    <row r="1329" spans="5:6">
      <c r="E1329" s="1"/>
      <c r="F1329" s="1"/>
    </row>
    <row r="1330" spans="5:6">
      <c r="E1330" s="1"/>
      <c r="F1330" s="1"/>
    </row>
    <row r="1331" spans="5:6">
      <c r="E1331" s="1"/>
      <c r="F1331" s="1"/>
    </row>
    <row r="1332" spans="5:6">
      <c r="E1332" s="1"/>
      <c r="F1332" s="1"/>
    </row>
    <row r="1333" spans="5:6">
      <c r="E1333" s="1"/>
      <c r="F1333" s="1"/>
    </row>
    <row r="1334" spans="5:6">
      <c r="E1334" s="1"/>
      <c r="F1334" s="1"/>
    </row>
    <row r="1335" spans="5:6">
      <c r="E1335" s="1"/>
      <c r="F1335" s="1"/>
    </row>
    <row r="1336" spans="5:6">
      <c r="E1336" s="1"/>
      <c r="F1336" s="1"/>
    </row>
    <row r="1337" spans="5:6">
      <c r="E1337" s="1"/>
      <c r="F1337" s="1"/>
    </row>
    <row r="1338" spans="5:6">
      <c r="E1338" s="1"/>
      <c r="F1338" s="1"/>
    </row>
    <row r="1339" spans="5:6">
      <c r="E1339" s="1"/>
      <c r="F1339" s="1"/>
    </row>
    <row r="1340" spans="5:6">
      <c r="E1340" s="1"/>
      <c r="F1340" s="1"/>
    </row>
    <row r="1341" spans="5:6">
      <c r="E1341" s="1"/>
      <c r="F1341" s="1"/>
    </row>
    <row r="1342" spans="5:6">
      <c r="E1342" s="1"/>
      <c r="F1342" s="1"/>
    </row>
    <row r="1343" spans="5:6">
      <c r="E1343" s="1"/>
      <c r="F1343" s="1"/>
    </row>
    <row r="1344" spans="5:6">
      <c r="E1344" s="1"/>
      <c r="F1344" s="1"/>
    </row>
    <row r="1345" spans="5:6">
      <c r="E1345" s="1"/>
      <c r="F1345" s="1"/>
    </row>
    <row r="1346" spans="5:6">
      <c r="E1346" s="1"/>
      <c r="F1346" s="1"/>
    </row>
    <row r="1347" spans="5:6">
      <c r="E1347" s="1"/>
      <c r="F1347" s="1"/>
    </row>
    <row r="1348" spans="5:6">
      <c r="E1348" s="1"/>
      <c r="F1348" s="1"/>
    </row>
    <row r="1349" spans="5:6">
      <c r="E1349" s="1"/>
      <c r="F1349" s="1"/>
    </row>
    <row r="1350" spans="5:6">
      <c r="E1350" s="1"/>
      <c r="F1350" s="1"/>
    </row>
    <row r="1351" spans="5:6">
      <c r="E1351" s="1"/>
      <c r="F1351" s="1"/>
    </row>
    <row r="1352" spans="5:6">
      <c r="E1352" s="1"/>
      <c r="F1352" s="1"/>
    </row>
    <row r="1353" spans="5:6">
      <c r="E1353" s="1"/>
      <c r="F1353" s="1"/>
    </row>
    <row r="1354" spans="5:6">
      <c r="E1354" s="1"/>
      <c r="F1354" s="1"/>
    </row>
    <row r="1355" spans="5:6">
      <c r="E1355" s="1"/>
      <c r="F1355" s="1"/>
    </row>
    <row r="1356" spans="5:6">
      <c r="E1356" s="1"/>
      <c r="F1356" s="1"/>
    </row>
    <row r="1357" spans="5:6">
      <c r="E1357" s="1"/>
      <c r="F1357" s="1"/>
    </row>
    <row r="1358" spans="5:6">
      <c r="E1358" s="1"/>
      <c r="F1358" s="1"/>
    </row>
    <row r="1359" spans="5:6">
      <c r="E1359" s="1"/>
      <c r="F1359" s="1"/>
    </row>
    <row r="1360" spans="5:6">
      <c r="E1360" s="1"/>
      <c r="F1360" s="1"/>
    </row>
    <row r="1361" spans="5:6">
      <c r="E1361" s="1"/>
      <c r="F1361" s="1"/>
    </row>
    <row r="1362" spans="5:6">
      <c r="E1362" s="1"/>
      <c r="F1362" s="1"/>
    </row>
    <row r="1363" spans="5:6">
      <c r="E1363" s="1"/>
      <c r="F1363" s="1"/>
    </row>
    <row r="1364" spans="5:6">
      <c r="E1364" s="1"/>
      <c r="F1364" s="1"/>
    </row>
    <row r="1365" spans="5:6">
      <c r="E1365" s="1"/>
      <c r="F1365" s="1"/>
    </row>
    <row r="1366" spans="5:6">
      <c r="E1366" s="1"/>
      <c r="F1366" s="1"/>
    </row>
    <row r="1367" spans="5:6">
      <c r="E1367" s="1"/>
      <c r="F1367" s="1"/>
    </row>
    <row r="1368" spans="5:6">
      <c r="E1368" s="1"/>
      <c r="F1368" s="1"/>
    </row>
    <row r="1369" spans="5:6">
      <c r="E1369" s="1"/>
      <c r="F1369" s="1"/>
    </row>
    <row r="1370" spans="5:6">
      <c r="E1370" s="1"/>
      <c r="F1370" s="1"/>
    </row>
    <row r="1371" spans="5:6">
      <c r="E1371" s="1"/>
      <c r="F1371" s="1"/>
    </row>
    <row r="1372" spans="5:6">
      <c r="E1372" s="1"/>
      <c r="F1372" s="1"/>
    </row>
    <row r="1373" spans="5:6">
      <c r="E1373" s="1"/>
      <c r="F1373" s="1"/>
    </row>
    <row r="1374" spans="5:6">
      <c r="E1374" s="1"/>
      <c r="F1374" s="1"/>
    </row>
    <row r="1375" spans="5:6">
      <c r="E1375" s="1"/>
      <c r="F1375" s="1"/>
    </row>
    <row r="1376" spans="5:6">
      <c r="E1376" s="1"/>
      <c r="F1376" s="1"/>
    </row>
    <row r="1377" spans="5:6">
      <c r="E1377" s="1"/>
      <c r="F1377" s="1"/>
    </row>
    <row r="1378" spans="5:6">
      <c r="E1378" s="1"/>
      <c r="F1378" s="1"/>
    </row>
    <row r="1379" spans="5:6">
      <c r="E1379" s="1"/>
      <c r="F1379" s="1"/>
    </row>
    <row r="1380" spans="5:6">
      <c r="E1380" s="1"/>
      <c r="F1380" s="1"/>
    </row>
    <row r="1381" spans="5:6">
      <c r="E1381" s="1"/>
      <c r="F1381" s="1"/>
    </row>
    <row r="1382" spans="5:6">
      <c r="E1382" s="1"/>
      <c r="F1382" s="1"/>
    </row>
    <row r="1383" spans="5:6">
      <c r="E1383" s="1"/>
      <c r="F1383" s="1"/>
    </row>
    <row r="1384" spans="5:6">
      <c r="E1384" s="1"/>
      <c r="F1384" s="1"/>
    </row>
    <row r="1385" spans="5:6">
      <c r="E1385" s="1"/>
      <c r="F1385" s="1"/>
    </row>
    <row r="1386" spans="5:6">
      <c r="E1386" s="1"/>
      <c r="F1386" s="1"/>
    </row>
    <row r="1387" spans="5:6">
      <c r="E1387" s="1"/>
      <c r="F1387" s="1"/>
    </row>
    <row r="1388" spans="5:6">
      <c r="E1388" s="1"/>
      <c r="F1388" s="1"/>
    </row>
    <row r="1389" spans="5:6">
      <c r="E1389" s="1"/>
      <c r="F1389" s="1"/>
    </row>
    <row r="1390" spans="5:6">
      <c r="E1390" s="1"/>
      <c r="F1390" s="1"/>
    </row>
    <row r="1391" spans="5:6">
      <c r="E1391" s="1"/>
      <c r="F1391" s="1"/>
    </row>
    <row r="1392" spans="5:6">
      <c r="E1392" s="1"/>
      <c r="F1392" s="1"/>
    </row>
    <row r="1393" spans="5:6">
      <c r="E1393" s="1"/>
      <c r="F1393" s="1"/>
    </row>
    <row r="1394" spans="5:6">
      <c r="E1394" s="1"/>
      <c r="F1394" s="1"/>
    </row>
    <row r="1395" spans="5:6">
      <c r="E1395" s="1"/>
      <c r="F1395" s="1"/>
    </row>
    <row r="1396" spans="5:6">
      <c r="E1396" s="1"/>
      <c r="F1396" s="1"/>
    </row>
    <row r="1397" spans="5:6">
      <c r="E1397" s="1"/>
      <c r="F1397" s="1"/>
    </row>
    <row r="1398" spans="5:6">
      <c r="E1398" s="1"/>
      <c r="F1398" s="1"/>
    </row>
    <row r="1399" spans="5:6">
      <c r="E1399" s="1"/>
      <c r="F1399" s="1"/>
    </row>
    <row r="1400" spans="5:6">
      <c r="E1400" s="1"/>
      <c r="F1400" s="1"/>
    </row>
    <row r="1401" spans="5:6">
      <c r="E1401" s="1"/>
      <c r="F1401" s="1"/>
    </row>
    <row r="1402" spans="5:6">
      <c r="E1402" s="1"/>
      <c r="F1402" s="1"/>
    </row>
    <row r="1403" spans="5:6">
      <c r="E1403" s="1"/>
      <c r="F1403" s="1"/>
    </row>
    <row r="1404" spans="5:6">
      <c r="E1404" s="1"/>
      <c r="F1404" s="1"/>
    </row>
    <row r="1405" spans="5:6">
      <c r="E1405" s="1"/>
      <c r="F1405" s="1"/>
    </row>
    <row r="1406" spans="5:6">
      <c r="E1406" s="1"/>
      <c r="F1406" s="1"/>
    </row>
    <row r="1407" spans="5:6">
      <c r="E1407" s="1"/>
      <c r="F1407" s="1"/>
    </row>
    <row r="1408" spans="5:6">
      <c r="E1408" s="1"/>
      <c r="F1408" s="1"/>
    </row>
    <row r="1409" spans="5:6">
      <c r="E1409" s="1"/>
      <c r="F1409" s="1"/>
    </row>
    <row r="1410" spans="5:6">
      <c r="E1410" s="1"/>
      <c r="F1410" s="1"/>
    </row>
    <row r="1411" spans="5:6">
      <c r="E1411" s="1"/>
      <c r="F1411" s="1"/>
    </row>
    <row r="1412" spans="5:6">
      <c r="E1412" s="1"/>
      <c r="F1412" s="1"/>
    </row>
    <row r="1413" spans="5:6">
      <c r="E1413" s="1"/>
      <c r="F1413" s="1"/>
    </row>
    <row r="1414" spans="5:6">
      <c r="E1414" s="1"/>
      <c r="F1414" s="1"/>
    </row>
    <row r="1415" spans="5:6">
      <c r="E1415" s="1"/>
      <c r="F1415" s="1"/>
    </row>
    <row r="1416" spans="5:6">
      <c r="E1416" s="1"/>
      <c r="F1416" s="1"/>
    </row>
    <row r="1417" spans="5:6">
      <c r="E1417" s="1"/>
      <c r="F1417" s="1"/>
    </row>
    <row r="1418" spans="5:6">
      <c r="E1418" s="1"/>
      <c r="F1418" s="1"/>
    </row>
    <row r="1419" spans="5:6">
      <c r="E1419" s="1"/>
      <c r="F1419" s="1"/>
    </row>
    <row r="1420" spans="5:6">
      <c r="E1420" s="1"/>
      <c r="F1420" s="1"/>
    </row>
    <row r="1421" spans="5:6">
      <c r="E1421" s="1"/>
      <c r="F1421" s="1"/>
    </row>
    <row r="1422" spans="5:6">
      <c r="E1422" s="1"/>
      <c r="F1422" s="1"/>
    </row>
    <row r="1423" spans="5:6">
      <c r="E1423" s="1"/>
      <c r="F1423" s="1"/>
    </row>
    <row r="1424" spans="5:6">
      <c r="E1424" s="1"/>
      <c r="F1424" s="1"/>
    </row>
    <row r="1425" spans="5:6">
      <c r="E1425" s="1"/>
      <c r="F1425" s="1"/>
    </row>
    <row r="1426" spans="5:6">
      <c r="E1426" s="1"/>
      <c r="F1426" s="1"/>
    </row>
    <row r="1427" spans="5:6">
      <c r="E1427" s="1"/>
      <c r="F1427" s="1"/>
    </row>
    <row r="1428" spans="5:6">
      <c r="E1428" s="1"/>
      <c r="F1428" s="1"/>
    </row>
    <row r="1429" spans="5:6">
      <c r="E1429" s="1"/>
      <c r="F1429" s="1"/>
    </row>
    <row r="1430" spans="5:6">
      <c r="E1430" s="1"/>
      <c r="F1430" s="1"/>
    </row>
    <row r="1431" spans="5:6">
      <c r="E1431" s="1"/>
      <c r="F1431" s="1"/>
    </row>
    <row r="1432" spans="5:6">
      <c r="E1432" s="1"/>
      <c r="F1432" s="1"/>
    </row>
    <row r="1433" spans="5:6">
      <c r="E1433" s="1"/>
      <c r="F1433" s="1"/>
    </row>
    <row r="1434" spans="5:6">
      <c r="E1434" s="1"/>
      <c r="F1434" s="1"/>
    </row>
    <row r="1435" spans="5:6">
      <c r="E1435" s="1"/>
      <c r="F1435" s="1"/>
    </row>
    <row r="1436" spans="5:6">
      <c r="E1436" s="1"/>
      <c r="F1436" s="1"/>
    </row>
    <row r="1437" spans="5:6">
      <c r="E1437" s="1"/>
      <c r="F1437" s="1"/>
    </row>
    <row r="1438" spans="5:6">
      <c r="E1438" s="1"/>
      <c r="F1438" s="1"/>
    </row>
    <row r="1439" spans="5:6">
      <c r="E1439" s="1"/>
      <c r="F1439" s="1"/>
    </row>
    <row r="1440" spans="5:6">
      <c r="E1440" s="1"/>
      <c r="F1440" s="1"/>
    </row>
    <row r="1441" spans="5:6">
      <c r="E1441" s="1"/>
      <c r="F1441" s="1"/>
    </row>
    <row r="1442" spans="5:6">
      <c r="E1442" s="1"/>
      <c r="F1442" s="1"/>
    </row>
    <row r="1443" spans="5:6">
      <c r="E1443" s="1"/>
      <c r="F1443" s="1"/>
    </row>
    <row r="1444" spans="5:6">
      <c r="E1444" s="1"/>
      <c r="F1444" s="1"/>
    </row>
    <row r="1445" spans="5:6">
      <c r="E1445" s="1"/>
      <c r="F1445" s="1"/>
    </row>
    <row r="1446" spans="5:6">
      <c r="E1446" s="1"/>
      <c r="F1446" s="1"/>
    </row>
    <row r="1447" spans="5:6">
      <c r="E1447" s="1"/>
      <c r="F1447" s="1"/>
    </row>
    <row r="1448" spans="5:6">
      <c r="E1448" s="1"/>
      <c r="F1448" s="1"/>
    </row>
    <row r="1449" spans="5:6">
      <c r="E1449" s="1"/>
      <c r="F1449" s="1"/>
    </row>
    <row r="1450" spans="5:6">
      <c r="E1450" s="1"/>
      <c r="F1450" s="1"/>
    </row>
    <row r="1451" spans="5:6">
      <c r="E1451" s="1"/>
      <c r="F1451" s="1"/>
    </row>
    <row r="1452" spans="5:6">
      <c r="E1452" s="1"/>
      <c r="F1452" s="1"/>
    </row>
    <row r="1453" spans="5:6">
      <c r="E1453" s="1"/>
      <c r="F1453" s="1"/>
    </row>
    <row r="1454" spans="5:6">
      <c r="E1454" s="1"/>
      <c r="F1454" s="1"/>
    </row>
    <row r="1455" spans="5:6">
      <c r="E1455" s="1"/>
      <c r="F1455" s="1"/>
    </row>
    <row r="1456" spans="5:6">
      <c r="E1456" s="1"/>
      <c r="F1456" s="1"/>
    </row>
    <row r="1457" spans="5:6">
      <c r="E1457" s="1"/>
      <c r="F1457" s="1"/>
    </row>
    <row r="1458" spans="5:6">
      <c r="E1458" s="1"/>
      <c r="F1458" s="1"/>
    </row>
    <row r="1459" spans="5:6">
      <c r="E1459" s="1"/>
      <c r="F1459" s="1"/>
    </row>
    <row r="1460" spans="5:6">
      <c r="E1460" s="1"/>
      <c r="F1460" s="1"/>
    </row>
    <row r="1461" spans="5:6">
      <c r="E1461" s="1"/>
      <c r="F1461" s="1"/>
    </row>
    <row r="1462" spans="5:6">
      <c r="E1462" s="1"/>
      <c r="F1462" s="1"/>
    </row>
    <row r="1463" spans="5:6">
      <c r="E1463" s="1"/>
      <c r="F1463" s="1"/>
    </row>
    <row r="1464" spans="5:6">
      <c r="E1464" s="1"/>
      <c r="F1464" s="1"/>
    </row>
    <row r="1465" spans="5:6">
      <c r="E1465" s="1"/>
      <c r="F1465" s="1"/>
    </row>
    <row r="1466" spans="5:6">
      <c r="E1466" s="1"/>
      <c r="F1466" s="1"/>
    </row>
    <row r="1467" spans="5:6">
      <c r="E1467" s="1"/>
      <c r="F1467" s="1"/>
    </row>
    <row r="1468" spans="5:6">
      <c r="E1468" s="1"/>
      <c r="F1468" s="1"/>
    </row>
    <row r="1469" spans="5:6">
      <c r="E1469" s="1"/>
      <c r="F1469" s="1"/>
    </row>
    <row r="1470" spans="5:6">
      <c r="E1470" s="1"/>
      <c r="F1470" s="1"/>
    </row>
    <row r="1471" spans="5:6">
      <c r="E1471" s="1"/>
      <c r="F1471" s="1"/>
    </row>
    <row r="1472" spans="5:6">
      <c r="E1472" s="1"/>
      <c r="F1472" s="1"/>
    </row>
    <row r="1473" spans="5:6">
      <c r="E1473" s="1"/>
      <c r="F1473" s="1"/>
    </row>
    <row r="1474" spans="5:6">
      <c r="E1474" s="1"/>
      <c r="F1474" s="1"/>
    </row>
    <row r="1475" spans="5:6">
      <c r="E1475" s="1"/>
      <c r="F1475" s="1"/>
    </row>
    <row r="1476" spans="5:6">
      <c r="E1476" s="1"/>
      <c r="F1476" s="1"/>
    </row>
    <row r="1477" spans="5:6">
      <c r="E1477" s="1"/>
      <c r="F1477" s="1"/>
    </row>
    <row r="1478" spans="5:6">
      <c r="E1478" s="1"/>
      <c r="F1478" s="1"/>
    </row>
    <row r="1479" spans="5:6">
      <c r="E1479" s="1"/>
      <c r="F1479" s="1"/>
    </row>
    <row r="1480" spans="5:6">
      <c r="E1480" s="1"/>
      <c r="F1480" s="1"/>
    </row>
    <row r="1481" spans="5:6">
      <c r="E1481" s="1"/>
      <c r="F1481" s="1"/>
    </row>
    <row r="1482" spans="5:6">
      <c r="E1482" s="1"/>
      <c r="F1482" s="1"/>
    </row>
    <row r="1483" spans="5:6">
      <c r="E1483" s="1"/>
      <c r="F1483" s="1"/>
    </row>
    <row r="1484" spans="5:6">
      <c r="E1484" s="1"/>
      <c r="F1484" s="1"/>
    </row>
    <row r="1485" spans="5:6">
      <c r="E1485" s="1"/>
      <c r="F1485" s="1"/>
    </row>
    <row r="1486" spans="5:6">
      <c r="E1486" s="1"/>
      <c r="F1486" s="1"/>
    </row>
    <row r="1487" spans="5:6">
      <c r="E1487" s="1"/>
      <c r="F1487" s="1"/>
    </row>
    <row r="1488" spans="5:6">
      <c r="E1488" s="1"/>
      <c r="F1488" s="1"/>
    </row>
    <row r="1489" spans="5:6">
      <c r="E1489" s="1"/>
      <c r="F1489" s="1"/>
    </row>
    <row r="1490" spans="5:6">
      <c r="E1490" s="1"/>
      <c r="F1490" s="1"/>
    </row>
    <row r="1491" spans="5:6">
      <c r="E1491" s="1"/>
      <c r="F1491" s="1"/>
    </row>
    <row r="1492" spans="5:6">
      <c r="E1492" s="1"/>
      <c r="F1492" s="1"/>
    </row>
    <row r="1493" spans="5:6">
      <c r="E1493" s="1"/>
      <c r="F1493" s="1"/>
    </row>
    <row r="1494" spans="5:6">
      <c r="E1494" s="1"/>
      <c r="F1494" s="1"/>
    </row>
    <row r="1495" spans="5:6">
      <c r="E1495" s="1"/>
      <c r="F1495" s="1"/>
    </row>
    <row r="1496" spans="5:6">
      <c r="E1496" s="1"/>
      <c r="F1496" s="1"/>
    </row>
    <row r="1497" spans="5:6">
      <c r="E1497" s="1"/>
      <c r="F1497" s="1"/>
    </row>
    <row r="1498" spans="5:6">
      <c r="E1498" s="1"/>
      <c r="F1498" s="1"/>
    </row>
    <row r="1499" spans="5:6">
      <c r="E1499" s="1"/>
      <c r="F1499" s="1"/>
    </row>
    <row r="1500" spans="5:6">
      <c r="E1500" s="1"/>
      <c r="F1500" s="1"/>
    </row>
    <row r="1501" spans="5:6">
      <c r="E1501" s="1"/>
      <c r="F1501" s="1"/>
    </row>
    <row r="1502" spans="5:6">
      <c r="E1502" s="1"/>
      <c r="F1502" s="1"/>
    </row>
    <row r="1503" spans="5:6">
      <c r="E1503" s="1"/>
      <c r="F1503" s="1"/>
    </row>
    <row r="1504" spans="5:6">
      <c r="E1504" s="1"/>
      <c r="F1504" s="1"/>
    </row>
    <row r="1505" spans="5:6">
      <c r="E1505" s="1"/>
      <c r="F1505" s="1"/>
    </row>
    <row r="1506" spans="5:6">
      <c r="E1506" s="1"/>
      <c r="F1506" s="1"/>
    </row>
    <row r="1507" spans="5:6">
      <c r="E1507" s="1"/>
      <c r="F1507" s="1"/>
    </row>
    <row r="1508" spans="5:6">
      <c r="E1508" s="1"/>
      <c r="F1508" s="1"/>
    </row>
    <row r="1509" spans="5:6">
      <c r="E1509" s="1"/>
      <c r="F1509" s="1"/>
    </row>
    <row r="1510" spans="5:6">
      <c r="E1510" s="1"/>
      <c r="F1510" s="1"/>
    </row>
    <row r="1511" spans="5:6">
      <c r="E1511" s="1"/>
      <c r="F1511" s="1"/>
    </row>
    <row r="1512" spans="5:6">
      <c r="E1512" s="1"/>
      <c r="F1512" s="1"/>
    </row>
    <row r="1513" spans="5:6">
      <c r="E1513" s="1"/>
      <c r="F1513" s="1"/>
    </row>
    <row r="1514" spans="5:6">
      <c r="E1514" s="1"/>
      <c r="F1514" s="1"/>
    </row>
    <row r="1515" spans="5:6">
      <c r="E1515" s="1"/>
      <c r="F1515" s="1"/>
    </row>
    <row r="1516" spans="5:6">
      <c r="E1516" s="1"/>
      <c r="F1516" s="1"/>
    </row>
    <row r="1517" spans="5:6">
      <c r="E1517" s="1"/>
      <c r="F1517" s="1"/>
    </row>
    <row r="1518" spans="5:6">
      <c r="E1518" s="1"/>
      <c r="F1518" s="1"/>
    </row>
    <row r="1519" spans="5:6">
      <c r="E1519" s="1"/>
      <c r="F1519" s="1"/>
    </row>
    <row r="1520" spans="5:6">
      <c r="E1520" s="1"/>
      <c r="F1520" s="1"/>
    </row>
    <row r="1521" spans="5:6">
      <c r="E1521" s="1"/>
      <c r="F1521" s="1"/>
    </row>
    <row r="1522" spans="5:6">
      <c r="E1522" s="1"/>
      <c r="F1522" s="1"/>
    </row>
    <row r="1523" spans="5:6">
      <c r="E1523" s="1"/>
      <c r="F1523" s="1"/>
    </row>
    <row r="1524" spans="5:6">
      <c r="E1524" s="1"/>
      <c r="F1524" s="1"/>
    </row>
    <row r="1525" spans="5:6">
      <c r="E1525" s="1"/>
      <c r="F1525" s="1"/>
    </row>
    <row r="1526" spans="5:6">
      <c r="E1526" s="1"/>
      <c r="F1526" s="1"/>
    </row>
    <row r="1527" spans="5:6">
      <c r="E1527" s="1"/>
      <c r="F1527" s="1"/>
    </row>
    <row r="1528" spans="5:6">
      <c r="E1528" s="1"/>
      <c r="F1528" s="1"/>
    </row>
    <row r="1529" spans="5:6">
      <c r="E1529" s="1"/>
      <c r="F1529" s="1"/>
    </row>
    <row r="1530" spans="5:6">
      <c r="E1530" s="1"/>
      <c r="F1530" s="1"/>
    </row>
    <row r="1531" spans="5:6">
      <c r="E1531" s="1"/>
      <c r="F1531" s="1"/>
    </row>
    <row r="1532" spans="5:6">
      <c r="E1532" s="1"/>
      <c r="F1532" s="1"/>
    </row>
    <row r="1533" spans="5:6">
      <c r="E1533" s="1"/>
      <c r="F1533" s="1"/>
    </row>
    <row r="1534" spans="5:6">
      <c r="E1534" s="1"/>
      <c r="F1534" s="1"/>
    </row>
    <row r="1535" spans="5:6">
      <c r="E1535" s="1"/>
      <c r="F1535" s="1"/>
    </row>
    <row r="1536" spans="5:6">
      <c r="E1536" s="1"/>
      <c r="F1536" s="1"/>
    </row>
    <row r="1537" spans="5:6">
      <c r="E1537" s="1"/>
      <c r="F1537" s="1"/>
    </row>
    <row r="1538" spans="5:6">
      <c r="E1538" s="1"/>
      <c r="F1538" s="1"/>
    </row>
    <row r="1539" spans="5:6">
      <c r="E1539" s="1"/>
      <c r="F1539" s="1"/>
    </row>
    <row r="1540" spans="5:6">
      <c r="E1540" s="1"/>
      <c r="F1540" s="1"/>
    </row>
    <row r="1541" spans="5:6">
      <c r="E1541" s="1"/>
      <c r="F1541" s="1"/>
    </row>
    <row r="1542" spans="5:6">
      <c r="E1542" s="1"/>
      <c r="F1542" s="1"/>
    </row>
    <row r="1543" spans="5:6">
      <c r="E1543" s="1"/>
      <c r="F1543" s="1"/>
    </row>
    <row r="1544" spans="5:6">
      <c r="E1544" s="1"/>
      <c r="F1544" s="1"/>
    </row>
    <row r="1545" spans="5:6">
      <c r="E1545" s="1"/>
      <c r="F1545" s="1"/>
    </row>
    <row r="1546" spans="5:6">
      <c r="E1546" s="1"/>
      <c r="F1546" s="1"/>
    </row>
    <row r="1547" spans="5:6">
      <c r="E1547" s="1"/>
      <c r="F1547" s="1"/>
    </row>
    <row r="1548" spans="5:6">
      <c r="E1548" s="1"/>
      <c r="F1548" s="1"/>
    </row>
    <row r="1549" spans="5:6">
      <c r="E1549" s="1"/>
      <c r="F1549" s="1"/>
    </row>
    <row r="1550" spans="5:6">
      <c r="E1550" s="1"/>
      <c r="F1550" s="1"/>
    </row>
    <row r="1551" spans="5:6">
      <c r="E1551" s="1"/>
      <c r="F1551" s="1"/>
    </row>
    <row r="1552" spans="5:6">
      <c r="E1552" s="1"/>
      <c r="F1552" s="1"/>
    </row>
    <row r="1553" spans="5:6">
      <c r="E1553" s="1"/>
      <c r="F1553" s="1"/>
    </row>
    <row r="1554" spans="5:6">
      <c r="E1554" s="1"/>
      <c r="F1554" s="1"/>
    </row>
    <row r="1555" spans="5:6">
      <c r="E1555" s="1"/>
      <c r="F1555" s="1"/>
    </row>
    <row r="1556" spans="5:6">
      <c r="E1556" s="1"/>
      <c r="F1556" s="1"/>
    </row>
    <row r="1557" spans="5:6">
      <c r="E1557" s="1"/>
      <c r="F1557" s="1"/>
    </row>
    <row r="1558" spans="5:6">
      <c r="E1558" s="1"/>
      <c r="F1558" s="1"/>
    </row>
    <row r="1559" spans="5:6">
      <c r="E1559" s="1"/>
      <c r="F1559" s="1"/>
    </row>
    <row r="1560" spans="5:6">
      <c r="E1560" s="1"/>
      <c r="F1560" s="1"/>
    </row>
    <row r="1561" spans="5:6">
      <c r="E1561" s="1"/>
      <c r="F1561" s="1"/>
    </row>
    <row r="1562" spans="5:6">
      <c r="E1562" s="1"/>
      <c r="F1562" s="1"/>
    </row>
    <row r="1563" spans="5:6">
      <c r="E1563" s="1"/>
      <c r="F1563" s="1"/>
    </row>
    <row r="1564" spans="5:6">
      <c r="E1564" s="1"/>
      <c r="F1564" s="1"/>
    </row>
    <row r="1565" spans="5:6">
      <c r="E1565" s="1"/>
      <c r="F1565" s="1"/>
    </row>
    <row r="1566" spans="5:6">
      <c r="E1566" s="1"/>
      <c r="F1566" s="1"/>
    </row>
    <row r="1567" spans="5:6">
      <c r="E1567" s="1"/>
      <c r="F1567" s="1"/>
    </row>
    <row r="1568" spans="5:6">
      <c r="E1568" s="1"/>
      <c r="F1568" s="1"/>
    </row>
    <row r="1569" spans="5:6">
      <c r="E1569" s="1"/>
      <c r="F1569" s="1"/>
    </row>
    <row r="1570" spans="5:6">
      <c r="E1570" s="1"/>
      <c r="F1570" s="1"/>
    </row>
    <row r="1571" spans="5:6">
      <c r="E1571" s="1"/>
      <c r="F1571" s="1"/>
    </row>
    <row r="1572" spans="5:6">
      <c r="E1572" s="1"/>
      <c r="F1572" s="1"/>
    </row>
    <row r="1573" spans="5:6">
      <c r="E1573" s="1"/>
      <c r="F1573" s="1"/>
    </row>
    <row r="1574" spans="5:6">
      <c r="E1574" s="1"/>
      <c r="F1574" s="1"/>
    </row>
    <row r="1575" spans="5:6">
      <c r="E1575" s="1"/>
      <c r="F1575" s="1"/>
    </row>
    <row r="1576" spans="5:6">
      <c r="E1576" s="1"/>
      <c r="F1576" s="1"/>
    </row>
    <row r="1577" spans="5:6">
      <c r="E1577" s="1"/>
      <c r="F1577" s="1"/>
    </row>
    <row r="1578" spans="5:6">
      <c r="E1578" s="1"/>
      <c r="F1578" s="1"/>
    </row>
    <row r="1579" spans="5:6">
      <c r="E1579" s="1"/>
      <c r="F1579" s="1"/>
    </row>
    <row r="1580" spans="5:6">
      <c r="E1580" s="1"/>
      <c r="F1580" s="1"/>
    </row>
    <row r="1581" spans="5:6">
      <c r="E1581" s="1"/>
      <c r="F1581" s="1"/>
    </row>
    <row r="1582" spans="5:6">
      <c r="E1582" s="1"/>
      <c r="F1582" s="1"/>
    </row>
    <row r="1583" spans="5:6">
      <c r="E1583" s="1"/>
      <c r="F1583" s="1"/>
    </row>
    <row r="1584" spans="5:6">
      <c r="E1584" s="1"/>
      <c r="F1584" s="1"/>
    </row>
    <row r="1585" spans="5:6">
      <c r="E1585" s="1"/>
      <c r="F1585" s="1"/>
    </row>
    <row r="1586" spans="5:6">
      <c r="E1586" s="1"/>
      <c r="F1586" s="1"/>
    </row>
    <row r="1587" spans="5:6">
      <c r="E1587" s="1"/>
      <c r="F1587" s="1"/>
    </row>
    <row r="1588" spans="5:6">
      <c r="E1588" s="1"/>
      <c r="F1588" s="1"/>
    </row>
    <row r="1589" spans="5:6">
      <c r="E1589" s="1"/>
      <c r="F1589" s="1"/>
    </row>
    <row r="1590" spans="5:6">
      <c r="E1590" s="1"/>
      <c r="F1590" s="1"/>
    </row>
    <row r="1591" spans="5:6">
      <c r="E1591" s="1"/>
      <c r="F1591" s="1"/>
    </row>
    <row r="1592" spans="5:6">
      <c r="E1592" s="1"/>
      <c r="F1592" s="1"/>
    </row>
    <row r="1593" spans="5:6">
      <c r="E1593" s="1"/>
      <c r="F1593" s="1"/>
    </row>
    <row r="1594" spans="5:6">
      <c r="E1594" s="1"/>
      <c r="F1594" s="1"/>
    </row>
    <row r="1595" spans="5:6">
      <c r="E1595" s="1"/>
      <c r="F1595" s="1"/>
    </row>
    <row r="1596" spans="5:6">
      <c r="E1596" s="1"/>
      <c r="F1596" s="1"/>
    </row>
    <row r="1597" spans="5:6">
      <c r="E1597" s="1"/>
      <c r="F1597" s="1"/>
    </row>
    <row r="1598" spans="5:6">
      <c r="E1598" s="1"/>
      <c r="F1598" s="1"/>
    </row>
    <row r="1599" spans="5:6">
      <c r="E1599" s="1"/>
      <c r="F1599" s="1"/>
    </row>
    <row r="1600" spans="5:6">
      <c r="E1600" s="1"/>
      <c r="F1600" s="1"/>
    </row>
    <row r="1601" spans="5:6">
      <c r="E1601" s="1"/>
      <c r="F1601" s="1"/>
    </row>
    <row r="1602" spans="5:6">
      <c r="E1602" s="1"/>
      <c r="F1602" s="1"/>
    </row>
    <row r="1603" spans="5:6">
      <c r="E1603" s="1"/>
      <c r="F1603" s="1"/>
    </row>
    <row r="1604" spans="5:6">
      <c r="E1604" s="1"/>
      <c r="F1604" s="1"/>
    </row>
    <row r="1605" spans="5:6">
      <c r="E1605" s="1"/>
      <c r="F1605" s="1"/>
    </row>
    <row r="1606" spans="5:6">
      <c r="E1606" s="1"/>
      <c r="F1606" s="1"/>
    </row>
    <row r="1607" spans="5:6">
      <c r="E1607" s="1"/>
      <c r="F1607" s="1"/>
    </row>
    <row r="1608" spans="5:6">
      <c r="E1608" s="1"/>
      <c r="F1608" s="1"/>
    </row>
    <row r="1609" spans="5:6">
      <c r="E1609" s="1"/>
      <c r="F1609" s="1"/>
    </row>
    <row r="1610" spans="5:6">
      <c r="E1610" s="1"/>
      <c r="F1610" s="1"/>
    </row>
    <row r="1611" spans="5:6">
      <c r="E1611" s="1"/>
      <c r="F1611" s="1"/>
    </row>
    <row r="1612" spans="5:6">
      <c r="E1612" s="1"/>
      <c r="F1612" s="1"/>
    </row>
    <row r="1613" spans="5:6">
      <c r="E1613" s="1"/>
      <c r="F1613" s="1"/>
    </row>
    <row r="1614" spans="5:6">
      <c r="E1614" s="1"/>
      <c r="F1614" s="1"/>
    </row>
    <row r="1615" spans="5:6">
      <c r="E1615" s="1"/>
      <c r="F1615" s="1"/>
    </row>
    <row r="1616" spans="5:6">
      <c r="E1616" s="1"/>
      <c r="F1616" s="1"/>
    </row>
    <row r="1617" spans="5:6">
      <c r="E1617" s="1"/>
      <c r="F1617" s="1"/>
    </row>
    <row r="1618" spans="5:6">
      <c r="E1618" s="1"/>
      <c r="F1618" s="1"/>
    </row>
    <row r="1619" spans="5:6">
      <c r="E1619" s="1"/>
      <c r="F1619" s="1"/>
    </row>
    <row r="1620" spans="5:6">
      <c r="E1620" s="1"/>
      <c r="F1620" s="1"/>
    </row>
    <row r="1621" spans="5:6">
      <c r="E1621" s="1"/>
      <c r="F1621" s="1"/>
    </row>
    <row r="1622" spans="5:6">
      <c r="E1622" s="1"/>
      <c r="F1622" s="1"/>
    </row>
    <row r="1623" spans="5:6">
      <c r="E1623" s="1"/>
      <c r="F1623" s="1"/>
    </row>
    <row r="1624" spans="5:6">
      <c r="E1624" s="1"/>
      <c r="F1624" s="1"/>
    </row>
    <row r="1625" spans="5:6">
      <c r="E1625" s="1"/>
      <c r="F1625" s="1"/>
    </row>
    <row r="1626" spans="5:6">
      <c r="E1626" s="1"/>
      <c r="F1626" s="1"/>
    </row>
    <row r="1627" spans="5:6">
      <c r="E1627" s="1"/>
      <c r="F1627" s="1"/>
    </row>
    <row r="1628" spans="5:6">
      <c r="E1628" s="1"/>
      <c r="F1628" s="1"/>
    </row>
    <row r="1629" spans="5:6">
      <c r="E1629" s="1"/>
      <c r="F1629" s="1"/>
    </row>
    <row r="1630" spans="5:6">
      <c r="E1630" s="1"/>
      <c r="F1630" s="1"/>
    </row>
    <row r="1631" spans="5:6">
      <c r="E1631" s="1"/>
      <c r="F1631" s="1"/>
    </row>
    <row r="1632" spans="5:6">
      <c r="E1632" s="1"/>
      <c r="F1632" s="1"/>
    </row>
    <row r="1633" spans="5:6">
      <c r="E1633" s="1"/>
      <c r="F1633" s="1"/>
    </row>
    <row r="1634" spans="5:6">
      <c r="E1634" s="1"/>
      <c r="F1634" s="1"/>
    </row>
    <row r="1635" spans="5:6">
      <c r="E1635" s="1"/>
      <c r="F1635" s="1"/>
    </row>
    <row r="1636" spans="5:6">
      <c r="E1636" s="1"/>
      <c r="F1636" s="1"/>
    </row>
    <row r="1637" spans="5:6">
      <c r="E1637" s="1"/>
      <c r="F1637" s="1"/>
    </row>
    <row r="1638" spans="5:6">
      <c r="E1638" s="1"/>
      <c r="F1638" s="1"/>
    </row>
    <row r="1639" spans="5:6">
      <c r="E1639" s="1"/>
      <c r="F1639" s="1"/>
    </row>
    <row r="1640" spans="5:6">
      <c r="E1640" s="1"/>
      <c r="F1640" s="1"/>
    </row>
    <row r="1641" spans="5:6">
      <c r="E1641" s="1"/>
      <c r="F1641" s="1"/>
    </row>
    <row r="1642" spans="5:6">
      <c r="E1642" s="1"/>
      <c r="F1642" s="1"/>
    </row>
    <row r="1643" spans="5:6">
      <c r="E1643" s="1"/>
      <c r="F1643" s="1"/>
    </row>
    <row r="1644" spans="5:6">
      <c r="E1644" s="1"/>
      <c r="F1644" s="1"/>
    </row>
    <row r="1645" spans="5:6">
      <c r="E1645" s="1"/>
      <c r="F1645" s="1"/>
    </row>
    <row r="1646" spans="5:6">
      <c r="E1646" s="1"/>
      <c r="F1646" s="1"/>
    </row>
    <row r="1647" spans="5:6">
      <c r="E1647" s="1"/>
      <c r="F1647" s="1"/>
    </row>
    <row r="1648" spans="5:6">
      <c r="E1648" s="1"/>
      <c r="F1648" s="1"/>
    </row>
    <row r="1649" spans="5:6">
      <c r="E1649" s="1"/>
      <c r="F1649" s="1"/>
    </row>
    <row r="1650" spans="5:6">
      <c r="E1650" s="1"/>
      <c r="F1650" s="1"/>
    </row>
    <row r="1651" spans="5:6">
      <c r="E1651" s="1"/>
      <c r="F1651" s="1"/>
    </row>
    <row r="1652" spans="5:6">
      <c r="E1652" s="1"/>
      <c r="F1652" s="1"/>
    </row>
    <row r="1653" spans="5:6">
      <c r="E1653" s="1"/>
      <c r="F1653" s="1"/>
    </row>
    <row r="1654" spans="5:6">
      <c r="E1654" s="1"/>
      <c r="F1654" s="1"/>
    </row>
    <row r="1655" spans="5:6">
      <c r="E1655" s="1"/>
      <c r="F1655" s="1"/>
    </row>
    <row r="1656" spans="5:6">
      <c r="E1656" s="1"/>
      <c r="F1656" s="1"/>
    </row>
    <row r="1657" spans="5:6">
      <c r="E1657" s="1"/>
      <c r="F1657" s="1"/>
    </row>
    <row r="1658" spans="5:6">
      <c r="E1658" s="1"/>
      <c r="F1658" s="1"/>
    </row>
    <row r="1659" spans="5:6">
      <c r="E1659" s="1"/>
      <c r="F1659" s="1"/>
    </row>
    <row r="1660" spans="5:6">
      <c r="E1660" s="1"/>
      <c r="F1660" s="1"/>
    </row>
    <row r="1661" spans="5:6">
      <c r="E1661" s="1"/>
      <c r="F1661" s="1"/>
    </row>
    <row r="1662" spans="5:6">
      <c r="E1662" s="1"/>
      <c r="F1662" s="1"/>
    </row>
    <row r="1663" spans="5:6">
      <c r="E1663" s="1"/>
      <c r="F1663" s="1"/>
    </row>
    <row r="1664" spans="5:6">
      <c r="E1664" s="1"/>
      <c r="F1664" s="1"/>
    </row>
    <row r="1665" spans="5:6">
      <c r="E1665" s="1"/>
      <c r="F1665" s="1"/>
    </row>
    <row r="1666" spans="5:6">
      <c r="E1666" s="1"/>
      <c r="F1666" s="1"/>
    </row>
    <row r="1667" spans="5:6">
      <c r="E1667" s="1"/>
      <c r="F1667" s="1"/>
    </row>
    <row r="1668" spans="5:6">
      <c r="E1668" s="1"/>
      <c r="F1668" s="1"/>
    </row>
    <row r="1669" spans="5:6">
      <c r="E1669" s="1"/>
      <c r="F1669" s="1"/>
    </row>
    <row r="1670" spans="5:6">
      <c r="E1670" s="1"/>
      <c r="F1670" s="1"/>
    </row>
    <row r="1671" spans="5:6">
      <c r="E1671" s="1"/>
      <c r="F1671" s="1"/>
    </row>
    <row r="1672" spans="5:6">
      <c r="E1672" s="1"/>
      <c r="F1672" s="1"/>
    </row>
    <row r="1673" spans="5:6">
      <c r="E1673" s="1"/>
      <c r="F1673" s="1"/>
    </row>
    <row r="1674" spans="5:6">
      <c r="E1674" s="1"/>
      <c r="F1674" s="1"/>
    </row>
    <row r="1675" spans="5:6">
      <c r="E1675" s="1"/>
      <c r="F1675" s="1"/>
    </row>
    <row r="1676" spans="5:6">
      <c r="E1676" s="1"/>
      <c r="F1676" s="1"/>
    </row>
    <row r="1677" spans="5:6">
      <c r="E1677" s="1"/>
      <c r="F1677" s="1"/>
    </row>
    <row r="1678" spans="5:6">
      <c r="E1678" s="1"/>
      <c r="F1678" s="1"/>
    </row>
    <row r="1679" spans="5:6">
      <c r="E1679" s="1"/>
      <c r="F1679" s="1"/>
    </row>
    <row r="1680" spans="5:6">
      <c r="E1680" s="1"/>
      <c r="F1680" s="1"/>
    </row>
    <row r="1681" spans="5:6">
      <c r="E1681" s="1"/>
      <c r="F1681" s="1"/>
    </row>
    <row r="1682" spans="5:6">
      <c r="E1682" s="1"/>
      <c r="F1682" s="1"/>
    </row>
    <row r="1683" spans="5:6">
      <c r="E1683" s="1"/>
      <c r="F1683" s="1"/>
    </row>
    <row r="1684" spans="5:6">
      <c r="E1684" s="1"/>
      <c r="F1684" s="1"/>
    </row>
    <row r="1685" spans="5:6">
      <c r="E1685" s="1"/>
      <c r="F1685" s="1"/>
    </row>
    <row r="1686" spans="5:6">
      <c r="E1686" s="1"/>
      <c r="F1686" s="1"/>
    </row>
    <row r="1687" spans="5:6">
      <c r="E1687" s="1"/>
      <c r="F1687" s="1"/>
    </row>
    <row r="1688" spans="5:6">
      <c r="E1688" s="1"/>
      <c r="F1688" s="1"/>
    </row>
    <row r="1689" spans="5:6">
      <c r="E1689" s="1"/>
      <c r="F1689" s="1"/>
    </row>
    <row r="1690" spans="5:6">
      <c r="E1690" s="1"/>
      <c r="F1690" s="1"/>
    </row>
    <row r="1691" spans="5:6">
      <c r="E1691" s="1"/>
      <c r="F1691" s="1"/>
    </row>
    <row r="1692" spans="5:6">
      <c r="E1692" s="1"/>
      <c r="F1692" s="1"/>
    </row>
    <row r="1693" spans="5:6">
      <c r="E1693" s="1"/>
      <c r="F1693" s="1"/>
    </row>
    <row r="1694" spans="5:6">
      <c r="E1694" s="1"/>
      <c r="F1694" s="1"/>
    </row>
    <row r="1695" spans="5:6">
      <c r="E1695" s="1"/>
      <c r="F1695" s="1"/>
    </row>
    <row r="1696" spans="5:6">
      <c r="E1696" s="1"/>
      <c r="F1696" s="1"/>
    </row>
    <row r="1697" spans="5:6">
      <c r="E1697" s="1"/>
      <c r="F1697" s="1"/>
    </row>
    <row r="1698" spans="5:6">
      <c r="E1698" s="1"/>
      <c r="F1698" s="1"/>
    </row>
    <row r="1699" spans="5:6">
      <c r="E1699" s="1"/>
      <c r="F1699" s="1"/>
    </row>
    <row r="1700" spans="5:6">
      <c r="E1700" s="1"/>
      <c r="F1700" s="1"/>
    </row>
    <row r="1701" spans="5:6">
      <c r="E1701" s="1"/>
      <c r="F1701" s="1"/>
    </row>
    <row r="1702" spans="5:6">
      <c r="E1702" s="1"/>
      <c r="F1702" s="1"/>
    </row>
    <row r="1703" spans="5:6">
      <c r="E1703" s="1"/>
      <c r="F1703" s="1"/>
    </row>
    <row r="1704" spans="5:6">
      <c r="E1704" s="1"/>
      <c r="F1704" s="1"/>
    </row>
    <row r="1705" spans="5:6">
      <c r="E1705" s="1"/>
      <c r="F1705" s="1"/>
    </row>
    <row r="1706" spans="5:6">
      <c r="E1706" s="1"/>
      <c r="F1706" s="1"/>
    </row>
    <row r="1707" spans="5:6">
      <c r="E1707" s="1"/>
      <c r="F1707" s="1"/>
    </row>
    <row r="1708" spans="5:6">
      <c r="E1708" s="1"/>
      <c r="F1708" s="1"/>
    </row>
    <row r="1709" spans="5:6">
      <c r="E1709" s="1"/>
      <c r="F1709" s="1"/>
    </row>
    <row r="1710" spans="5:6">
      <c r="E1710" s="1"/>
      <c r="F1710" s="1"/>
    </row>
    <row r="1711" spans="5:6">
      <c r="E1711" s="1"/>
      <c r="F1711" s="1"/>
    </row>
    <row r="1712" spans="5:6">
      <c r="E1712" s="1"/>
      <c r="F1712" s="1"/>
    </row>
    <row r="1713" spans="5:6">
      <c r="E1713" s="1"/>
      <c r="F1713" s="1"/>
    </row>
    <row r="1714" spans="5:6">
      <c r="E1714" s="1"/>
      <c r="F1714" s="1"/>
    </row>
    <row r="1715" spans="5:6">
      <c r="E1715" s="1"/>
      <c r="F1715" s="1"/>
    </row>
    <row r="1716" spans="5:6">
      <c r="E1716" s="1"/>
      <c r="F1716" s="1"/>
    </row>
    <row r="1717" spans="5:6">
      <c r="E1717" s="1"/>
      <c r="F1717" s="1"/>
    </row>
    <row r="1718" spans="5:6">
      <c r="E1718" s="1"/>
      <c r="F1718" s="1"/>
    </row>
    <row r="1719" spans="5:6">
      <c r="E1719" s="1"/>
      <c r="F1719" s="1"/>
    </row>
    <row r="1720" spans="5:6">
      <c r="E1720" s="1"/>
      <c r="F1720" s="1"/>
    </row>
    <row r="1721" spans="5:6">
      <c r="E1721" s="1"/>
      <c r="F1721" s="1"/>
    </row>
    <row r="1722" spans="5:6">
      <c r="E1722" s="1"/>
      <c r="F1722" s="1"/>
    </row>
    <row r="1723" spans="5:6">
      <c r="E1723" s="1"/>
      <c r="F1723" s="1"/>
    </row>
    <row r="1724" spans="5:6">
      <c r="E1724" s="1"/>
      <c r="F1724" s="1"/>
    </row>
    <row r="1725" spans="5:6">
      <c r="E1725" s="1"/>
      <c r="F1725" s="1"/>
    </row>
    <row r="1726" spans="5:6">
      <c r="E1726" s="1"/>
      <c r="F1726" s="1"/>
    </row>
    <row r="1727" spans="5:6">
      <c r="E1727" s="1"/>
      <c r="F1727" s="1"/>
    </row>
    <row r="1728" spans="5:6">
      <c r="E1728" s="1"/>
      <c r="F1728" s="1"/>
    </row>
    <row r="1729" spans="5:6">
      <c r="E1729" s="1"/>
      <c r="F1729" s="1"/>
    </row>
    <row r="1730" spans="5:6">
      <c r="E1730" s="1"/>
      <c r="F1730" s="1"/>
    </row>
    <row r="1731" spans="5:6">
      <c r="E1731" s="1"/>
      <c r="F1731" s="1"/>
    </row>
    <row r="1732" spans="5:6">
      <c r="E1732" s="1"/>
      <c r="F1732" s="1"/>
    </row>
    <row r="1733" spans="5:6">
      <c r="E1733" s="1"/>
      <c r="F1733" s="1"/>
    </row>
    <row r="1734" spans="5:6">
      <c r="E1734" s="1"/>
      <c r="F1734" s="1"/>
    </row>
    <row r="1735" spans="5:6">
      <c r="E1735" s="1"/>
      <c r="F1735" s="1"/>
    </row>
    <row r="1736" spans="5:6">
      <c r="E1736" s="1"/>
      <c r="F1736" s="1"/>
    </row>
    <row r="1737" spans="5:6">
      <c r="E1737" s="1"/>
      <c r="F1737" s="1"/>
    </row>
    <row r="1738" spans="5:6">
      <c r="E1738" s="1"/>
      <c r="F1738" s="1"/>
    </row>
    <row r="1739" spans="5:6">
      <c r="E1739" s="1"/>
      <c r="F1739" s="1"/>
    </row>
    <row r="1740" spans="5:6">
      <c r="E1740" s="1"/>
      <c r="F1740" s="1"/>
    </row>
    <row r="1741" spans="5:6">
      <c r="E1741" s="1"/>
      <c r="F1741" s="1"/>
    </row>
    <row r="1742" spans="5:6">
      <c r="E1742" s="1"/>
      <c r="F1742" s="1"/>
    </row>
    <row r="1743" spans="5:6">
      <c r="E1743" s="1"/>
      <c r="F1743" s="1"/>
    </row>
    <row r="1744" spans="5:6">
      <c r="E1744" s="1"/>
      <c r="F1744" s="1"/>
    </row>
    <row r="1745" spans="5:6">
      <c r="E1745" s="1"/>
      <c r="F1745" s="1"/>
    </row>
    <row r="1746" spans="5:6">
      <c r="E1746" s="1"/>
      <c r="F1746" s="1"/>
    </row>
    <row r="1747" spans="5:6">
      <c r="E1747" s="1"/>
      <c r="F1747" s="1"/>
    </row>
    <row r="1748" spans="5:6">
      <c r="E1748" s="1"/>
      <c r="F1748" s="1"/>
    </row>
    <row r="1749" spans="5:6">
      <c r="E1749" s="1"/>
      <c r="F1749" s="1"/>
    </row>
    <row r="1750" spans="5:6">
      <c r="E1750" s="1"/>
      <c r="F1750" s="1"/>
    </row>
    <row r="1751" spans="5:6">
      <c r="E1751" s="1"/>
      <c r="F1751" s="1"/>
    </row>
    <row r="1752" spans="5:6">
      <c r="E1752" s="1"/>
      <c r="F1752" s="1"/>
    </row>
    <row r="1753" spans="5:6">
      <c r="E1753" s="1"/>
      <c r="F1753" s="1"/>
    </row>
    <row r="1754" spans="5:6">
      <c r="E1754" s="1"/>
      <c r="F1754" s="1"/>
    </row>
    <row r="1755" spans="5:6">
      <c r="E1755" s="1"/>
      <c r="F1755" s="1"/>
    </row>
    <row r="1756" spans="5:6">
      <c r="E1756" s="1"/>
      <c r="F1756" s="1"/>
    </row>
    <row r="1757" spans="5:6">
      <c r="E1757" s="1"/>
      <c r="F1757" s="1"/>
    </row>
    <row r="1758" spans="5:6">
      <c r="E1758" s="1"/>
      <c r="F1758" s="1"/>
    </row>
    <row r="1759" spans="5:6">
      <c r="E1759" s="1"/>
      <c r="F1759" s="1"/>
    </row>
    <row r="1760" spans="5:6">
      <c r="E1760" s="1"/>
      <c r="F1760" s="1"/>
    </row>
    <row r="1761" spans="5:6">
      <c r="E1761" s="1"/>
      <c r="F1761" s="1"/>
    </row>
    <row r="1762" spans="5:6">
      <c r="E1762" s="1"/>
      <c r="F1762" s="1"/>
    </row>
    <row r="1763" spans="5:6">
      <c r="E1763" s="1"/>
      <c r="F1763" s="1"/>
    </row>
    <row r="1764" spans="5:6">
      <c r="E1764" s="1"/>
      <c r="F1764" s="1"/>
    </row>
    <row r="1765" spans="5:6">
      <c r="E1765" s="1"/>
      <c r="F1765" s="1"/>
    </row>
    <row r="1766" spans="5:6">
      <c r="E1766" s="1"/>
      <c r="F1766" s="1"/>
    </row>
    <row r="1767" spans="5:6">
      <c r="E1767" s="1"/>
      <c r="F1767" s="1"/>
    </row>
    <row r="1768" spans="5:6">
      <c r="E1768" s="1"/>
      <c r="F1768" s="1"/>
    </row>
    <row r="1769" spans="5:6">
      <c r="E1769" s="1"/>
      <c r="F1769" s="1"/>
    </row>
    <row r="1770" spans="5:6">
      <c r="E1770" s="1"/>
      <c r="F1770" s="1"/>
    </row>
    <row r="1771" spans="5:6">
      <c r="E1771" s="1"/>
      <c r="F1771" s="1"/>
    </row>
    <row r="1772" spans="5:6">
      <c r="E1772" s="1"/>
      <c r="F1772" s="1"/>
    </row>
    <row r="1773" spans="5:6">
      <c r="E1773" s="1"/>
      <c r="F1773" s="1"/>
    </row>
    <row r="1774" spans="5:6">
      <c r="E1774" s="1"/>
      <c r="F1774" s="1"/>
    </row>
    <row r="1775" spans="5:6">
      <c r="E1775" s="1"/>
      <c r="F1775" s="1"/>
    </row>
    <row r="1776" spans="5:6">
      <c r="E1776" s="1"/>
      <c r="F1776" s="1"/>
    </row>
    <row r="1777" spans="5:6">
      <c r="E1777" s="1"/>
      <c r="F1777" s="1"/>
    </row>
    <row r="1778" spans="5:6">
      <c r="E1778" s="1"/>
      <c r="F1778" s="1"/>
    </row>
    <row r="1779" spans="5:6">
      <c r="E1779" s="1"/>
      <c r="F1779" s="1"/>
    </row>
    <row r="1780" spans="5:6">
      <c r="E1780" s="1"/>
      <c r="F1780" s="1"/>
    </row>
    <row r="1781" spans="5:6">
      <c r="E1781" s="1"/>
      <c r="F1781" s="1"/>
    </row>
    <row r="1782" spans="5:6">
      <c r="E1782" s="1"/>
      <c r="F1782" s="1"/>
    </row>
    <row r="1783" spans="5:6">
      <c r="E1783" s="1"/>
      <c r="F1783" s="1"/>
    </row>
    <row r="1784" spans="5:6">
      <c r="E1784" s="1"/>
      <c r="F1784" s="1"/>
    </row>
    <row r="1785" spans="5:6">
      <c r="E1785" s="1"/>
      <c r="F1785" s="1"/>
    </row>
    <row r="1786" spans="5:6">
      <c r="E1786" s="1"/>
      <c r="F1786" s="1"/>
    </row>
    <row r="1787" spans="5:6">
      <c r="E1787" s="1"/>
      <c r="F1787" s="1"/>
    </row>
    <row r="1788" spans="5:6">
      <c r="E1788" s="1"/>
      <c r="F1788" s="1"/>
    </row>
    <row r="1789" spans="5:6">
      <c r="E1789" s="1"/>
      <c r="F1789" s="1"/>
    </row>
    <row r="1790" spans="5:6">
      <c r="E1790" s="1"/>
      <c r="F1790" s="1"/>
    </row>
    <row r="1791" spans="5:6">
      <c r="E1791" s="1"/>
      <c r="F1791" s="1"/>
    </row>
    <row r="1792" spans="5:6">
      <c r="E1792" s="1"/>
      <c r="F1792" s="1"/>
    </row>
    <row r="1793" spans="5:6">
      <c r="E1793" s="1"/>
      <c r="F1793" s="1"/>
    </row>
    <row r="1794" spans="5:6">
      <c r="E1794" s="1"/>
      <c r="F1794" s="1"/>
    </row>
    <row r="1795" spans="5:6">
      <c r="E1795" s="1"/>
      <c r="F1795" s="1"/>
    </row>
    <row r="1796" spans="5:6">
      <c r="E1796" s="1"/>
      <c r="F1796" s="1"/>
    </row>
    <row r="1797" spans="5:6">
      <c r="E1797" s="1"/>
      <c r="F1797" s="1"/>
    </row>
    <row r="1798" spans="5:6">
      <c r="E1798" s="1"/>
      <c r="F1798" s="1"/>
    </row>
    <row r="1799" spans="5:6">
      <c r="E1799" s="1"/>
      <c r="F1799" s="1"/>
    </row>
    <row r="1800" spans="5:6">
      <c r="E1800" s="1"/>
      <c r="F1800" s="1"/>
    </row>
    <row r="1801" spans="5:6">
      <c r="E1801" s="1"/>
      <c r="F1801" s="1"/>
    </row>
    <row r="1802" spans="5:6">
      <c r="E1802" s="1"/>
      <c r="F1802" s="1"/>
    </row>
    <row r="1803" spans="5:6">
      <c r="E1803" s="1"/>
      <c r="F1803" s="1"/>
    </row>
    <row r="1804" spans="5:6">
      <c r="E1804" s="1"/>
      <c r="F1804" s="1"/>
    </row>
    <row r="1805" spans="5:6">
      <c r="E1805" s="1"/>
      <c r="F1805" s="1"/>
    </row>
    <row r="1806" spans="5:6">
      <c r="E1806" s="1"/>
      <c r="F1806" s="1"/>
    </row>
    <row r="1807" spans="5:6">
      <c r="E1807" s="1"/>
      <c r="F1807" s="1"/>
    </row>
    <row r="1808" spans="5:6">
      <c r="E1808" s="1"/>
      <c r="F1808" s="1"/>
    </row>
    <row r="1809" spans="5:6">
      <c r="E1809" s="1"/>
      <c r="F1809" s="1"/>
    </row>
    <row r="1810" spans="5:6">
      <c r="E1810" s="1"/>
      <c r="F1810" s="1"/>
    </row>
    <row r="1811" spans="5:6">
      <c r="E1811" s="1"/>
      <c r="F1811" s="1"/>
    </row>
    <row r="1812" spans="5:6">
      <c r="E1812" s="1"/>
      <c r="F1812" s="1"/>
    </row>
    <row r="1813" spans="5:6">
      <c r="E1813" s="1"/>
      <c r="F1813" s="1"/>
    </row>
    <row r="1814" spans="5:6">
      <c r="E1814" s="1"/>
      <c r="F1814" s="1"/>
    </row>
    <row r="1815" spans="5:6">
      <c r="E1815" s="1"/>
      <c r="F1815" s="1"/>
    </row>
    <row r="1816" spans="5:6">
      <c r="E1816" s="1"/>
      <c r="F1816" s="1"/>
    </row>
    <row r="1817" spans="5:6">
      <c r="E1817" s="1"/>
      <c r="F1817" s="1"/>
    </row>
    <row r="1818" spans="5:6">
      <c r="E1818" s="1"/>
      <c r="F1818" s="1"/>
    </row>
    <row r="1819" spans="5:6">
      <c r="E1819" s="1"/>
      <c r="F1819" s="1"/>
    </row>
    <row r="1820" spans="5:6">
      <c r="E1820" s="1"/>
      <c r="F1820" s="1"/>
    </row>
    <row r="1821" spans="5:6">
      <c r="E1821" s="1"/>
      <c r="F1821" s="1"/>
    </row>
    <row r="1822" spans="5:6">
      <c r="E1822" s="1"/>
      <c r="F1822" s="1"/>
    </row>
    <row r="1823" spans="5:6">
      <c r="E1823" s="1"/>
      <c r="F1823" s="1"/>
    </row>
    <row r="1824" spans="5:6">
      <c r="E1824" s="1"/>
      <c r="F1824" s="1"/>
    </row>
    <row r="1825" spans="5:6">
      <c r="E1825" s="1"/>
      <c r="F1825" s="1"/>
    </row>
    <row r="1826" spans="5:6">
      <c r="E1826" s="1"/>
      <c r="F1826" s="1"/>
    </row>
    <row r="1827" spans="5:6">
      <c r="E1827" s="1"/>
      <c r="F1827" s="1"/>
    </row>
    <row r="1828" spans="5:6">
      <c r="E1828" s="1"/>
      <c r="F1828" s="1"/>
    </row>
    <row r="1829" spans="5:6">
      <c r="E1829" s="1"/>
      <c r="F1829" s="1"/>
    </row>
    <row r="1830" spans="5:6">
      <c r="E1830" s="1"/>
      <c r="F1830" s="1"/>
    </row>
    <row r="1831" spans="5:6">
      <c r="E1831" s="1"/>
      <c r="F1831" s="1"/>
    </row>
    <row r="1832" spans="5:6">
      <c r="E1832" s="1"/>
      <c r="F1832" s="1"/>
    </row>
    <row r="1833" spans="5:6">
      <c r="E1833" s="1"/>
      <c r="F1833" s="1"/>
    </row>
    <row r="1834" spans="5:6">
      <c r="E1834" s="1"/>
      <c r="F1834" s="1"/>
    </row>
    <row r="1835" spans="5:6">
      <c r="E1835" s="1"/>
      <c r="F1835" s="1"/>
    </row>
    <row r="1836" spans="5:6">
      <c r="E1836" s="1"/>
      <c r="F1836" s="1"/>
    </row>
    <row r="1837" spans="5:6">
      <c r="E1837" s="1"/>
      <c r="F1837" s="1"/>
    </row>
    <row r="1838" spans="5:6">
      <c r="E1838" s="1"/>
      <c r="F1838" s="1"/>
    </row>
    <row r="1839" spans="5:6">
      <c r="E1839" s="1"/>
      <c r="F1839" s="1"/>
    </row>
    <row r="1840" spans="5:6">
      <c r="E1840" s="1"/>
      <c r="F1840" s="1"/>
    </row>
    <row r="1841" spans="5:6">
      <c r="E1841" s="1"/>
      <c r="F1841" s="1"/>
    </row>
    <row r="1842" spans="5:6">
      <c r="E1842" s="1"/>
      <c r="F1842" s="1"/>
    </row>
    <row r="1843" spans="5:6">
      <c r="E1843" s="1"/>
      <c r="F1843" s="1"/>
    </row>
    <row r="1844" spans="5:6">
      <c r="E1844" s="1"/>
      <c r="F1844" s="1"/>
    </row>
    <row r="1845" spans="5:6">
      <c r="E1845" s="1"/>
      <c r="F1845" s="1"/>
    </row>
    <row r="1846" spans="5:6">
      <c r="E1846" s="1"/>
      <c r="F1846" s="1"/>
    </row>
    <row r="1847" spans="5:6">
      <c r="E1847" s="1"/>
      <c r="F1847" s="1"/>
    </row>
    <row r="1848" spans="5:6">
      <c r="E1848" s="1"/>
      <c r="F1848" s="1"/>
    </row>
    <row r="1849" spans="5:6">
      <c r="E1849" s="1"/>
      <c r="F1849" s="1"/>
    </row>
    <row r="1850" spans="5:6">
      <c r="E1850" s="1"/>
      <c r="F1850" s="1"/>
    </row>
    <row r="1851" spans="5:6">
      <c r="E1851" s="1"/>
      <c r="F1851" s="1"/>
    </row>
    <row r="1852" spans="5:6">
      <c r="E1852" s="1"/>
      <c r="F1852" s="1"/>
    </row>
    <row r="1853" spans="5:6">
      <c r="E1853" s="1"/>
      <c r="F1853" s="1"/>
    </row>
    <row r="1854" spans="5:6">
      <c r="E1854" s="1"/>
      <c r="F1854" s="1"/>
    </row>
    <row r="1855" spans="5:6">
      <c r="E1855" s="1"/>
      <c r="F1855" s="1"/>
    </row>
    <row r="1856" spans="5:6">
      <c r="E1856" s="1"/>
      <c r="F1856" s="1"/>
    </row>
    <row r="1857" spans="5:6">
      <c r="E1857" s="1"/>
      <c r="F1857" s="1"/>
    </row>
    <row r="1858" spans="5:6">
      <c r="E1858" s="1"/>
      <c r="F1858" s="1"/>
    </row>
    <row r="1859" spans="5:6">
      <c r="E1859" s="1"/>
      <c r="F1859" s="1"/>
    </row>
    <row r="1860" spans="5:6">
      <c r="E1860" s="1"/>
      <c r="F1860" s="1"/>
    </row>
    <row r="1861" spans="5:6">
      <c r="E1861" s="1"/>
      <c r="F1861" s="1"/>
    </row>
    <row r="1862" spans="5:6">
      <c r="E1862" s="1"/>
      <c r="F1862" s="1"/>
    </row>
    <row r="1863" spans="5:6">
      <c r="E1863" s="1"/>
      <c r="F1863" s="1"/>
    </row>
    <row r="1864" spans="5:6">
      <c r="E1864" s="1"/>
      <c r="F1864" s="1"/>
    </row>
    <row r="1865" spans="5:6">
      <c r="E1865" s="1"/>
      <c r="F1865" s="1"/>
    </row>
    <row r="1866" spans="5:6">
      <c r="E1866" s="1"/>
      <c r="F1866" s="1"/>
    </row>
    <row r="1867" spans="5:6">
      <c r="E1867" s="1"/>
      <c r="F1867" s="1"/>
    </row>
    <row r="1868" spans="5:6">
      <c r="E1868" s="1"/>
      <c r="F1868" s="1"/>
    </row>
    <row r="1869" spans="5:6">
      <c r="E1869" s="1"/>
      <c r="F1869" s="1"/>
    </row>
    <row r="1870" spans="5:6">
      <c r="E1870" s="1"/>
      <c r="F1870" s="1"/>
    </row>
    <row r="1871" spans="5:6">
      <c r="E1871" s="1"/>
      <c r="F1871" s="1"/>
    </row>
    <row r="1872" spans="5:6">
      <c r="E1872" s="1"/>
      <c r="F1872" s="1"/>
    </row>
    <row r="1873" spans="5:6">
      <c r="E1873" s="1"/>
      <c r="F1873" s="1"/>
    </row>
    <row r="1874" spans="5:6">
      <c r="E1874" s="1"/>
      <c r="F1874" s="1"/>
    </row>
    <row r="1875" spans="5:6">
      <c r="E1875" s="1"/>
      <c r="F1875" s="1"/>
    </row>
    <row r="1876" spans="5:6">
      <c r="E1876" s="1"/>
      <c r="F1876" s="1"/>
    </row>
    <row r="1877" spans="5:6">
      <c r="E1877" s="1"/>
      <c r="F1877" s="1"/>
    </row>
    <row r="1878" spans="5:6">
      <c r="E1878" s="1"/>
      <c r="F1878" s="1"/>
    </row>
    <row r="1879" spans="5:6">
      <c r="E1879" s="1"/>
      <c r="F1879" s="1"/>
    </row>
    <row r="1880" spans="5:6">
      <c r="E1880" s="1"/>
      <c r="F1880" s="1"/>
    </row>
    <row r="1881" spans="5:6">
      <c r="E1881" s="1"/>
      <c r="F1881" s="1"/>
    </row>
    <row r="1882" spans="5:6">
      <c r="E1882" s="1"/>
      <c r="F1882" s="1"/>
    </row>
    <row r="1883" spans="5:6">
      <c r="E1883" s="1"/>
      <c r="F1883" s="1"/>
    </row>
    <row r="1884" spans="5:6">
      <c r="E1884" s="1"/>
      <c r="F1884" s="1"/>
    </row>
    <row r="1885" spans="5:6">
      <c r="E1885" s="1"/>
      <c r="F1885" s="1"/>
    </row>
    <row r="1886" spans="5:6">
      <c r="E1886" s="1"/>
      <c r="F1886" s="1"/>
    </row>
    <row r="1887" spans="5:6">
      <c r="E1887" s="1"/>
      <c r="F1887" s="1"/>
    </row>
    <row r="1888" spans="5:6">
      <c r="E1888" s="1"/>
      <c r="F1888" s="1"/>
    </row>
    <row r="1889" spans="5:6">
      <c r="E1889" s="1"/>
      <c r="F1889" s="1"/>
    </row>
    <row r="1890" spans="5:6">
      <c r="E1890" s="1"/>
      <c r="F1890" s="1"/>
    </row>
    <row r="1891" spans="5:6">
      <c r="E1891" s="1"/>
      <c r="F1891" s="1"/>
    </row>
    <row r="1892" spans="5:6">
      <c r="E1892" s="1"/>
      <c r="F1892" s="1"/>
    </row>
    <row r="1893" spans="5:6">
      <c r="E1893" s="1"/>
      <c r="F1893" s="1"/>
    </row>
    <row r="1894" spans="5:6">
      <c r="E1894" s="1"/>
      <c r="F1894" s="1"/>
    </row>
    <row r="1895" spans="5:6">
      <c r="E1895" s="1"/>
      <c r="F1895" s="1"/>
    </row>
    <row r="1896" spans="5:6">
      <c r="E1896" s="1"/>
      <c r="F1896" s="1"/>
    </row>
    <row r="1897" spans="5:6">
      <c r="E1897" s="1"/>
      <c r="F1897" s="1"/>
    </row>
    <row r="1898" spans="5:6">
      <c r="E1898" s="1"/>
      <c r="F1898" s="1"/>
    </row>
    <row r="1899" spans="5:6">
      <c r="E1899" s="1"/>
      <c r="F1899" s="1"/>
    </row>
    <row r="1900" spans="5:6">
      <c r="E1900" s="1"/>
      <c r="F1900" s="1"/>
    </row>
    <row r="1901" spans="5:6">
      <c r="E1901" s="1"/>
      <c r="F1901" s="1"/>
    </row>
    <row r="1902" spans="5:6">
      <c r="E1902" s="1"/>
      <c r="F1902" s="1"/>
    </row>
    <row r="1903" spans="5:6">
      <c r="E1903" s="1"/>
      <c r="F1903" s="1"/>
    </row>
    <row r="1904" spans="5:6">
      <c r="E1904" s="1"/>
      <c r="F1904" s="1"/>
    </row>
    <row r="1905" spans="5:6">
      <c r="E1905" s="1"/>
      <c r="F1905" s="1"/>
    </row>
    <row r="1906" spans="5:6">
      <c r="E1906" s="1"/>
      <c r="F1906" s="1"/>
    </row>
    <row r="1907" spans="5:6">
      <c r="E1907" s="1"/>
      <c r="F1907" s="1"/>
    </row>
    <row r="1908" spans="5:6">
      <c r="E1908" s="1"/>
      <c r="F1908" s="1"/>
    </row>
    <row r="1909" spans="5:6">
      <c r="E1909" s="1"/>
      <c r="F1909" s="1"/>
    </row>
    <row r="1910" spans="5:6">
      <c r="E1910" s="1"/>
      <c r="F1910" s="1"/>
    </row>
    <row r="1911" spans="5:6">
      <c r="E1911" s="1"/>
      <c r="F1911" s="1"/>
    </row>
    <row r="1912" spans="5:6">
      <c r="E1912" s="1"/>
      <c r="F1912" s="1"/>
    </row>
    <row r="1913" spans="5:6">
      <c r="E1913" s="1"/>
      <c r="F1913" s="1"/>
    </row>
    <row r="1914" spans="5:6">
      <c r="E1914" s="1"/>
      <c r="F1914" s="1"/>
    </row>
    <row r="1915" spans="5:6">
      <c r="E1915" s="1"/>
      <c r="F1915" s="1"/>
    </row>
    <row r="1916" spans="5:6">
      <c r="E1916" s="1"/>
      <c r="F1916" s="1"/>
    </row>
    <row r="1917" spans="5:6">
      <c r="E1917" s="1"/>
      <c r="F1917" s="1"/>
    </row>
    <row r="1918" spans="5:6">
      <c r="E1918" s="1"/>
      <c r="F1918" s="1"/>
    </row>
    <row r="1919" spans="5:6">
      <c r="E1919" s="1"/>
      <c r="F1919" s="1"/>
    </row>
    <row r="1920" spans="5:6">
      <c r="E1920" s="1"/>
      <c r="F1920" s="1"/>
    </row>
    <row r="1921" spans="5:6">
      <c r="E1921" s="1"/>
      <c r="F1921" s="1"/>
    </row>
    <row r="1922" spans="5:6">
      <c r="E1922" s="1"/>
      <c r="F1922" s="1"/>
    </row>
    <row r="1923" spans="5:6">
      <c r="E1923" s="1"/>
      <c r="F1923" s="1"/>
    </row>
    <row r="1924" spans="5:6">
      <c r="E1924" s="1"/>
      <c r="F1924" s="1"/>
    </row>
    <row r="1925" spans="5:6">
      <c r="E1925" s="1"/>
      <c r="F1925" s="1"/>
    </row>
    <row r="1926" spans="5:6">
      <c r="E1926" s="1"/>
      <c r="F1926" s="1"/>
    </row>
    <row r="1927" spans="5:6">
      <c r="E1927" s="1"/>
      <c r="F1927" s="1"/>
    </row>
    <row r="1928" spans="5:6">
      <c r="E1928" s="1"/>
      <c r="F1928" s="1"/>
    </row>
    <row r="1929" spans="5:6">
      <c r="E1929" s="1"/>
      <c r="F1929" s="1"/>
    </row>
    <row r="1930" spans="5:6">
      <c r="E1930" s="1"/>
      <c r="F1930" s="1"/>
    </row>
    <row r="1931" spans="5:6">
      <c r="E1931" s="1"/>
      <c r="F1931" s="1"/>
    </row>
    <row r="1932" spans="5:6">
      <c r="E1932" s="1"/>
      <c r="F1932" s="1"/>
    </row>
    <row r="1933" spans="5:6">
      <c r="E1933" s="1"/>
      <c r="F1933" s="1"/>
    </row>
    <row r="1934" spans="5:6">
      <c r="E1934" s="1"/>
      <c r="F1934" s="1"/>
    </row>
    <row r="1935" spans="5:6">
      <c r="E1935" s="1"/>
      <c r="F1935" s="1"/>
    </row>
    <row r="1936" spans="5:6">
      <c r="E1936" s="1"/>
      <c r="F1936" s="1"/>
    </row>
    <row r="1937" spans="5:6">
      <c r="E1937" s="1"/>
      <c r="F1937" s="1"/>
    </row>
    <row r="1938" spans="5:6">
      <c r="E1938" s="1"/>
      <c r="F1938" s="1"/>
    </row>
    <row r="1939" spans="5:6">
      <c r="E1939" s="1"/>
      <c r="F1939" s="1"/>
    </row>
    <row r="1940" spans="5:6">
      <c r="E1940" s="1"/>
      <c r="F1940" s="1"/>
    </row>
    <row r="1941" spans="5:6">
      <c r="E1941" s="1"/>
      <c r="F1941" s="1"/>
    </row>
    <row r="1942" spans="5:6">
      <c r="E1942" s="1"/>
      <c r="F1942" s="1"/>
    </row>
    <row r="1943" spans="5:6">
      <c r="E1943" s="1"/>
      <c r="F1943" s="1"/>
    </row>
    <row r="1944" spans="5:6">
      <c r="E1944" s="1"/>
      <c r="F1944" s="1"/>
    </row>
    <row r="1945" spans="5:6">
      <c r="E1945" s="1"/>
      <c r="F1945" s="1"/>
    </row>
    <row r="1946" spans="5:6">
      <c r="E1946" s="1"/>
      <c r="F1946" s="1"/>
    </row>
    <row r="1947" spans="5:6">
      <c r="E1947" s="1"/>
      <c r="F1947" s="1"/>
    </row>
    <row r="1948" spans="5:6">
      <c r="E1948" s="1"/>
      <c r="F1948" s="1"/>
    </row>
    <row r="1949" spans="5:6">
      <c r="E1949" s="1"/>
      <c r="F1949" s="1"/>
    </row>
    <row r="1950" spans="5:6">
      <c r="E1950" s="1"/>
      <c r="F1950" s="1"/>
    </row>
    <row r="1951" spans="5:6">
      <c r="E1951" s="1"/>
      <c r="F1951" s="1"/>
    </row>
    <row r="1952" spans="5:6">
      <c r="E1952" s="1"/>
      <c r="F1952" s="1"/>
    </row>
    <row r="1953" spans="5:6">
      <c r="E1953" s="1"/>
      <c r="F1953" s="1"/>
    </row>
    <row r="1954" spans="5:6">
      <c r="E1954" s="1"/>
      <c r="F1954" s="1"/>
    </row>
    <row r="1955" spans="5:6">
      <c r="E1955" s="1"/>
      <c r="F1955" s="1"/>
    </row>
    <row r="1956" spans="5:6">
      <c r="E1956" s="1"/>
      <c r="F1956" s="1"/>
    </row>
    <row r="1957" spans="5:6">
      <c r="E1957" s="1"/>
      <c r="F1957" s="1"/>
    </row>
    <row r="1958" spans="5:6">
      <c r="E1958" s="1"/>
      <c r="F1958" s="1"/>
    </row>
    <row r="1959" spans="5:6">
      <c r="E1959" s="1"/>
      <c r="F1959" s="1"/>
    </row>
    <row r="1960" spans="5:6">
      <c r="E1960" s="1"/>
      <c r="F1960" s="1"/>
    </row>
    <row r="1961" spans="5:6">
      <c r="E1961" s="1"/>
      <c r="F1961" s="1"/>
    </row>
    <row r="1962" spans="5:6">
      <c r="E1962" s="1"/>
      <c r="F1962" s="1"/>
    </row>
    <row r="1963" spans="5:6">
      <c r="E1963" s="1"/>
      <c r="F1963" s="1"/>
    </row>
    <row r="1964" spans="5:6">
      <c r="E1964" s="1"/>
      <c r="F1964" s="1"/>
    </row>
    <row r="1965" spans="5:6">
      <c r="E1965" s="1"/>
      <c r="F1965" s="1"/>
    </row>
    <row r="1966" spans="5:6">
      <c r="E1966" s="1"/>
      <c r="F1966" s="1"/>
    </row>
    <row r="1967" spans="5:6">
      <c r="E1967" s="1"/>
      <c r="F1967" s="1"/>
    </row>
    <row r="1968" spans="5:6">
      <c r="E1968" s="1"/>
      <c r="F1968" s="1"/>
    </row>
    <row r="1969" spans="5:6">
      <c r="E1969" s="1"/>
      <c r="F1969" s="1"/>
    </row>
    <row r="1970" spans="5:6">
      <c r="E1970" s="1"/>
      <c r="F1970" s="1"/>
    </row>
    <row r="1971" spans="5:6">
      <c r="E1971" s="1"/>
      <c r="F1971" s="1"/>
    </row>
    <row r="1972" spans="5:6">
      <c r="E1972" s="1"/>
      <c r="F1972" s="1"/>
    </row>
    <row r="1973" spans="5:6">
      <c r="E1973" s="1"/>
      <c r="F1973" s="1"/>
    </row>
    <row r="1974" spans="5:6">
      <c r="E1974" s="1"/>
      <c r="F1974" s="1"/>
    </row>
    <row r="1975" spans="5:6">
      <c r="E1975" s="1"/>
      <c r="F1975" s="1"/>
    </row>
    <row r="1976" spans="5:6">
      <c r="E1976" s="1"/>
      <c r="F1976" s="1"/>
    </row>
    <row r="1977" spans="5:6">
      <c r="E1977" s="1"/>
      <c r="F1977" s="1"/>
    </row>
    <row r="1978" spans="5:6">
      <c r="E1978" s="1"/>
      <c r="F1978" s="1"/>
    </row>
    <row r="1979" spans="5:6">
      <c r="E1979" s="1"/>
      <c r="F1979" s="1"/>
    </row>
    <row r="1980" spans="5:6">
      <c r="E1980" s="1"/>
      <c r="F1980" s="1"/>
    </row>
    <row r="1981" spans="5:6">
      <c r="E1981" s="1"/>
      <c r="F1981" s="1"/>
    </row>
    <row r="1982" spans="5:6">
      <c r="E1982" s="1"/>
      <c r="F1982" s="1"/>
    </row>
    <row r="1983" spans="5:6">
      <c r="E1983" s="1"/>
      <c r="F1983" s="1"/>
    </row>
    <row r="1984" spans="5:6">
      <c r="E1984" s="1"/>
      <c r="F1984" s="1"/>
    </row>
    <row r="1985" spans="5:6">
      <c r="E1985" s="1"/>
      <c r="F1985" s="1"/>
    </row>
    <row r="1986" spans="5:6">
      <c r="E1986" s="1"/>
      <c r="F1986" s="1"/>
    </row>
    <row r="1987" spans="5:6">
      <c r="E1987" s="1"/>
      <c r="F1987" s="1"/>
    </row>
    <row r="1988" spans="5:6">
      <c r="E1988" s="1"/>
      <c r="F1988" s="1"/>
    </row>
    <row r="1989" spans="5:6">
      <c r="E1989" s="1"/>
      <c r="F1989" s="1"/>
    </row>
    <row r="1990" spans="5:6">
      <c r="E1990" s="1"/>
      <c r="F1990" s="1"/>
    </row>
    <row r="1991" spans="5:6">
      <c r="E1991" s="1"/>
      <c r="F1991" s="1"/>
    </row>
    <row r="1992" spans="5:6">
      <c r="E1992" s="1"/>
      <c r="F1992" s="1"/>
    </row>
    <row r="1993" spans="5:6">
      <c r="E1993" s="1"/>
      <c r="F1993" s="1"/>
    </row>
    <row r="1994" spans="5:6">
      <c r="E1994" s="1"/>
      <c r="F1994" s="1"/>
    </row>
    <row r="1995" spans="5:6">
      <c r="E1995" s="1"/>
      <c r="F1995" s="1"/>
    </row>
    <row r="1996" spans="5:6">
      <c r="E1996" s="1"/>
      <c r="F1996" s="1"/>
    </row>
    <row r="1997" spans="5:6">
      <c r="E1997" s="1"/>
      <c r="F1997" s="1"/>
    </row>
    <row r="1998" spans="5:6">
      <c r="E1998" s="1"/>
      <c r="F1998" s="1"/>
    </row>
    <row r="1999" spans="5:6">
      <c r="E1999" s="1"/>
      <c r="F1999" s="1"/>
    </row>
    <row r="2000" spans="5:6">
      <c r="E2000" s="1"/>
      <c r="F2000" s="1"/>
    </row>
    <row r="2001" spans="5:6">
      <c r="E2001" s="1"/>
      <c r="F2001" s="1"/>
    </row>
    <row r="2002" spans="5:6">
      <c r="E2002" s="1"/>
      <c r="F2002" s="1"/>
    </row>
    <row r="2003" spans="5:6">
      <c r="E2003" s="1"/>
      <c r="F2003" s="1"/>
    </row>
    <row r="2004" spans="5:6">
      <c r="E2004" s="1"/>
      <c r="F2004" s="1"/>
    </row>
    <row r="2005" spans="5:6">
      <c r="E2005" s="1"/>
      <c r="F2005" s="1"/>
    </row>
    <row r="2006" spans="5:6">
      <c r="E2006" s="1"/>
      <c r="F2006" s="1"/>
    </row>
    <row r="2007" spans="5:6">
      <c r="E2007" s="1"/>
      <c r="F2007" s="1"/>
    </row>
    <row r="2008" spans="5:6">
      <c r="E2008" s="1"/>
      <c r="F2008" s="1"/>
    </row>
    <row r="2009" spans="5:6">
      <c r="E2009" s="1"/>
      <c r="F2009" s="1"/>
    </row>
    <row r="2010" spans="5:6">
      <c r="E2010" s="1"/>
      <c r="F2010" s="1"/>
    </row>
    <row r="2011" spans="5:6">
      <c r="E2011" s="1"/>
      <c r="F2011" s="1"/>
    </row>
    <row r="2012" spans="5:6">
      <c r="E2012" s="1"/>
      <c r="F2012" s="1"/>
    </row>
    <row r="2013" spans="5:6">
      <c r="E2013" s="1"/>
      <c r="F2013" s="1"/>
    </row>
    <row r="2014" spans="5:6">
      <c r="E2014" s="1"/>
      <c r="F2014" s="1"/>
    </row>
    <row r="2015" spans="5:6">
      <c r="E2015" s="1"/>
      <c r="F2015" s="1"/>
    </row>
    <row r="2016" spans="5:6">
      <c r="E2016" s="1"/>
      <c r="F2016" s="1"/>
    </row>
    <row r="2017" spans="5:6">
      <c r="E2017" s="1"/>
      <c r="F2017" s="1"/>
    </row>
    <row r="2018" spans="5:6">
      <c r="E2018" s="1"/>
      <c r="F2018" s="1"/>
    </row>
    <row r="2019" spans="5:6">
      <c r="E2019" s="1"/>
      <c r="F2019" s="1"/>
    </row>
    <row r="2020" spans="5:6">
      <c r="E2020" s="1"/>
      <c r="F2020" s="1"/>
    </row>
    <row r="2021" spans="5:6">
      <c r="E2021" s="1"/>
      <c r="F2021" s="1"/>
    </row>
    <row r="2022" spans="5:6">
      <c r="E2022" s="1"/>
      <c r="F2022" s="1"/>
    </row>
    <row r="2023" spans="5:6">
      <c r="E2023" s="1"/>
      <c r="F2023" s="1"/>
    </row>
    <row r="2024" spans="5:6">
      <c r="E2024" s="1"/>
      <c r="F2024" s="1"/>
    </row>
    <row r="2025" spans="5:6">
      <c r="E2025" s="1"/>
      <c r="F2025" s="1"/>
    </row>
    <row r="2026" spans="5:6">
      <c r="E2026" s="1"/>
      <c r="F2026" s="1"/>
    </row>
    <row r="2027" spans="5:6">
      <c r="E2027" s="1"/>
      <c r="F2027" s="1"/>
    </row>
    <row r="2028" spans="5:6">
      <c r="E2028" s="1"/>
      <c r="F2028" s="1"/>
    </row>
    <row r="2029" spans="5:6">
      <c r="E2029" s="1"/>
      <c r="F2029" s="1"/>
    </row>
    <row r="2030" spans="5:6">
      <c r="E2030" s="1"/>
      <c r="F2030" s="1"/>
    </row>
    <row r="2031" spans="5:6">
      <c r="E2031" s="1"/>
      <c r="F2031" s="1"/>
    </row>
    <row r="2032" spans="5:6">
      <c r="E2032" s="1"/>
      <c r="F2032" s="1"/>
    </row>
    <row r="2033" spans="5:6">
      <c r="E2033" s="1"/>
      <c r="F2033" s="1"/>
    </row>
    <row r="2034" spans="5:6">
      <c r="E2034" s="1"/>
      <c r="F2034" s="1"/>
    </row>
    <row r="2035" spans="5:6">
      <c r="E2035" s="1"/>
      <c r="F2035" s="1"/>
    </row>
    <row r="2036" spans="5:6">
      <c r="E2036" s="1"/>
      <c r="F2036" s="1"/>
    </row>
    <row r="2037" spans="5:6">
      <c r="E2037" s="1"/>
      <c r="F2037" s="1"/>
    </row>
    <row r="2038" spans="5:6">
      <c r="E2038" s="1"/>
      <c r="F2038" s="1"/>
    </row>
    <row r="2039" spans="5:6">
      <c r="E2039" s="1"/>
      <c r="F2039" s="1"/>
    </row>
    <row r="2040" spans="5:6">
      <c r="E2040" s="1"/>
      <c r="F2040" s="1"/>
    </row>
    <row r="2041" spans="5:6">
      <c r="E2041" s="1"/>
      <c r="F2041" s="1"/>
    </row>
    <row r="2042" spans="5:6">
      <c r="E2042" s="1"/>
      <c r="F2042" s="1"/>
    </row>
    <row r="2043" spans="5:6">
      <c r="E2043" s="1"/>
      <c r="F2043" s="1"/>
    </row>
    <row r="2044" spans="5:6">
      <c r="E2044" s="1"/>
      <c r="F2044" s="1"/>
    </row>
    <row r="2045" spans="5:6">
      <c r="E2045" s="1"/>
      <c r="F2045" s="1"/>
    </row>
    <row r="2046" spans="5:6">
      <c r="E2046" s="1"/>
      <c r="F2046" s="1"/>
    </row>
    <row r="2047" spans="5:6">
      <c r="E2047" s="1"/>
      <c r="F2047" s="1"/>
    </row>
    <row r="2048" spans="5:6">
      <c r="E2048" s="1"/>
      <c r="F2048" s="1"/>
    </row>
    <row r="2049" spans="5:6">
      <c r="E2049" s="1"/>
      <c r="F2049" s="1"/>
    </row>
    <row r="2050" spans="5:6">
      <c r="E2050" s="1"/>
      <c r="F2050" s="1"/>
    </row>
    <row r="2051" spans="5:6">
      <c r="E2051" s="1"/>
      <c r="F2051" s="1"/>
    </row>
    <row r="2052" spans="5:6">
      <c r="E2052" s="1"/>
      <c r="F2052" s="1"/>
    </row>
    <row r="2053" spans="5:6">
      <c r="E2053" s="1"/>
      <c r="F2053" s="1"/>
    </row>
    <row r="2054" spans="5:6">
      <c r="E2054" s="1"/>
      <c r="F2054" s="1"/>
    </row>
    <row r="2055" spans="5:6">
      <c r="E2055" s="1"/>
      <c r="F2055" s="1"/>
    </row>
    <row r="2056" spans="5:6">
      <c r="E2056" s="1"/>
      <c r="F2056" s="1"/>
    </row>
    <row r="2057" spans="5:6">
      <c r="E2057" s="1"/>
      <c r="F2057" s="1"/>
    </row>
    <row r="2058" spans="5:6">
      <c r="E2058" s="1"/>
      <c r="F2058" s="1"/>
    </row>
    <row r="2059" spans="5:6">
      <c r="E2059" s="1"/>
      <c r="F2059" s="1"/>
    </row>
    <row r="2060" spans="5:6">
      <c r="E2060" s="1"/>
      <c r="F2060" s="1"/>
    </row>
    <row r="2061" spans="5:6">
      <c r="E2061" s="1"/>
      <c r="F2061" s="1"/>
    </row>
    <row r="2062" spans="5:6">
      <c r="E2062" s="1"/>
      <c r="F2062" s="1"/>
    </row>
    <row r="2063" spans="5:6">
      <c r="E2063" s="1"/>
      <c r="F2063" s="1"/>
    </row>
    <row r="2064" spans="5:6">
      <c r="E2064" s="1"/>
      <c r="F2064" s="1"/>
    </row>
    <row r="2065" spans="5:6">
      <c r="E2065" s="1"/>
      <c r="F2065" s="1"/>
    </row>
    <row r="2066" spans="5:6">
      <c r="E2066" s="1"/>
      <c r="F2066" s="1"/>
    </row>
    <row r="2067" spans="5:6">
      <c r="E2067" s="1"/>
      <c r="F2067" s="1"/>
    </row>
    <row r="2068" spans="5:6">
      <c r="E2068" s="1"/>
      <c r="F2068" s="1"/>
    </row>
    <row r="2069" spans="5:6">
      <c r="E2069" s="1"/>
      <c r="F2069" s="1"/>
    </row>
    <row r="2070" spans="5:6">
      <c r="E2070" s="1"/>
      <c r="F2070" s="1"/>
    </row>
    <row r="2071" spans="5:6">
      <c r="E2071" s="1"/>
      <c r="F2071" s="1"/>
    </row>
    <row r="2072" spans="5:6">
      <c r="E2072" s="1"/>
      <c r="F2072" s="1"/>
    </row>
    <row r="2073" spans="5:6">
      <c r="E2073" s="1"/>
      <c r="F2073" s="1"/>
    </row>
    <row r="2074" spans="5:6">
      <c r="E2074" s="1"/>
      <c r="F2074" s="1"/>
    </row>
    <row r="2075" spans="5:6">
      <c r="E2075" s="1"/>
      <c r="F2075" s="1"/>
    </row>
    <row r="2076" spans="5:6">
      <c r="E2076" s="1"/>
      <c r="F2076" s="1"/>
    </row>
    <row r="2077" spans="5:6">
      <c r="E2077" s="1"/>
      <c r="F2077" s="1"/>
    </row>
    <row r="2078" spans="5:6">
      <c r="E2078" s="1"/>
      <c r="F2078" s="1"/>
    </row>
    <row r="2079" spans="5:6">
      <c r="E2079" s="1"/>
      <c r="F2079" s="1"/>
    </row>
    <row r="2080" spans="5:6">
      <c r="E2080" s="1"/>
      <c r="F2080" s="1"/>
    </row>
    <row r="2081" spans="5:6">
      <c r="E2081" s="1"/>
      <c r="F2081" s="1"/>
    </row>
    <row r="2082" spans="5:6">
      <c r="E2082" s="1"/>
      <c r="F2082" s="1"/>
    </row>
    <row r="2083" spans="5:6">
      <c r="E2083" s="1"/>
      <c r="F2083" s="1"/>
    </row>
    <row r="2084" spans="5:6">
      <c r="E2084" s="1"/>
      <c r="F2084" s="1"/>
    </row>
    <row r="2085" spans="5:6">
      <c r="E2085" s="1"/>
      <c r="F2085" s="1"/>
    </row>
    <row r="2086" spans="5:6">
      <c r="E2086" s="1"/>
      <c r="F2086" s="1"/>
    </row>
    <row r="2087" spans="5:6">
      <c r="E2087" s="1"/>
      <c r="F2087" s="1"/>
    </row>
    <row r="2088" spans="5:6">
      <c r="E2088" s="1"/>
      <c r="F2088" s="1"/>
    </row>
    <row r="2089" spans="5:6">
      <c r="E2089" s="1"/>
      <c r="F2089" s="1"/>
    </row>
    <row r="2090" spans="5:6">
      <c r="E2090" s="1"/>
      <c r="F2090" s="1"/>
    </row>
    <row r="2091" spans="5:6">
      <c r="E2091" s="1"/>
      <c r="F2091" s="1"/>
    </row>
    <row r="2092" spans="5:6">
      <c r="E2092" s="1"/>
      <c r="F2092" s="1"/>
    </row>
    <row r="2093" spans="5:6">
      <c r="E2093" s="1"/>
      <c r="F2093" s="1"/>
    </row>
    <row r="2094" spans="5:6">
      <c r="E2094" s="1"/>
      <c r="F2094" s="1"/>
    </row>
    <row r="2095" spans="5:6">
      <c r="E2095" s="1"/>
      <c r="F2095" s="1"/>
    </row>
    <row r="2096" spans="5:6">
      <c r="E2096" s="1"/>
      <c r="F2096" s="1"/>
    </row>
    <row r="2097" spans="5:6">
      <c r="E2097" s="1"/>
      <c r="F2097" s="1"/>
    </row>
    <row r="2098" spans="5:6">
      <c r="E2098" s="1"/>
      <c r="F2098" s="1"/>
    </row>
    <row r="2099" spans="5:6">
      <c r="E2099" s="1"/>
      <c r="F2099" s="1"/>
    </row>
    <row r="2100" spans="5:6">
      <c r="E2100" s="1"/>
      <c r="F2100" s="1"/>
    </row>
    <row r="2101" spans="5:6">
      <c r="E2101" s="1"/>
      <c r="F2101" s="1"/>
    </row>
    <row r="2102" spans="5:6">
      <c r="E2102" s="1"/>
      <c r="F2102" s="1"/>
    </row>
    <row r="2103" spans="5:6">
      <c r="E2103" s="1"/>
      <c r="F2103" s="1"/>
    </row>
    <row r="2104" spans="5:6">
      <c r="E2104" s="1"/>
      <c r="F2104" s="1"/>
    </row>
    <row r="2105" spans="5:6">
      <c r="E2105" s="1"/>
      <c r="F2105" s="1"/>
    </row>
    <row r="2106" spans="5:6">
      <c r="E2106" s="1"/>
      <c r="F2106" s="1"/>
    </row>
    <row r="2107" spans="5:6">
      <c r="E2107" s="1"/>
      <c r="F2107" s="1"/>
    </row>
    <row r="2108" spans="5:6">
      <c r="E2108" s="1"/>
      <c r="F2108" s="1"/>
    </row>
    <row r="2109" spans="5:6">
      <c r="E2109" s="1"/>
      <c r="F2109" s="1"/>
    </row>
    <row r="2110" spans="5:6">
      <c r="E2110" s="1"/>
      <c r="F2110" s="1"/>
    </row>
    <row r="2111" spans="5:6">
      <c r="E2111" s="1"/>
      <c r="F2111" s="1"/>
    </row>
    <row r="2112" spans="5:6">
      <c r="E2112" s="1"/>
      <c r="F2112" s="1"/>
    </row>
    <row r="2113" spans="5:6">
      <c r="E2113" s="1"/>
      <c r="F2113" s="1"/>
    </row>
    <row r="2114" spans="5:6">
      <c r="E2114" s="1"/>
      <c r="F2114" s="1"/>
    </row>
    <row r="2115" spans="5:6">
      <c r="E2115" s="1"/>
      <c r="F2115" s="1"/>
    </row>
    <row r="2116" spans="5:6">
      <c r="E2116" s="1"/>
      <c r="F2116" s="1"/>
    </row>
    <row r="2117" spans="5:6">
      <c r="E2117" s="1"/>
      <c r="F2117" s="1"/>
    </row>
    <row r="2118" spans="5:6">
      <c r="E2118" s="1"/>
      <c r="F2118" s="1"/>
    </row>
    <row r="2119" spans="5:6">
      <c r="E2119" s="1"/>
      <c r="F2119" s="1"/>
    </row>
    <row r="2120" spans="5:6">
      <c r="E2120" s="1"/>
      <c r="F2120" s="1"/>
    </row>
    <row r="2121" spans="5:6">
      <c r="E2121" s="1"/>
      <c r="F2121" s="1"/>
    </row>
    <row r="2122" spans="5:6">
      <c r="E2122" s="1"/>
      <c r="F2122" s="1"/>
    </row>
    <row r="2123" spans="5:6">
      <c r="E2123" s="1"/>
      <c r="F2123" s="1"/>
    </row>
    <row r="2124" spans="5:6">
      <c r="E2124" s="1"/>
      <c r="F2124" s="1"/>
    </row>
    <row r="2125" spans="5:6">
      <c r="E2125" s="1"/>
      <c r="F2125" s="1"/>
    </row>
    <row r="2126" spans="5:6">
      <c r="E2126" s="1"/>
      <c r="F2126" s="1"/>
    </row>
    <row r="2127" spans="5:6">
      <c r="E2127" s="1"/>
      <c r="F2127" s="1"/>
    </row>
    <row r="2128" spans="5:6">
      <c r="E2128" s="1"/>
      <c r="F2128" s="1"/>
    </row>
    <row r="2129" spans="5:6">
      <c r="E2129" s="1"/>
      <c r="F2129" s="1"/>
    </row>
    <row r="2130" spans="5:6">
      <c r="E2130" s="1"/>
      <c r="F2130" s="1"/>
    </row>
    <row r="2131" spans="5:6">
      <c r="E2131" s="1"/>
      <c r="F2131" s="1"/>
    </row>
    <row r="2132" spans="5:6">
      <c r="E2132" s="1"/>
      <c r="F2132" s="1"/>
    </row>
    <row r="2133" spans="5:6">
      <c r="E2133" s="1"/>
      <c r="F2133" s="1"/>
    </row>
    <row r="2134" spans="5:6">
      <c r="E2134" s="1"/>
      <c r="F2134" s="1"/>
    </row>
    <row r="2135" spans="5:6">
      <c r="E2135" s="1"/>
      <c r="F2135" s="1"/>
    </row>
    <row r="2136" spans="5:6">
      <c r="E2136" s="1"/>
      <c r="F2136" s="1"/>
    </row>
    <row r="2137" spans="5:6">
      <c r="E2137" s="1"/>
      <c r="F2137" s="1"/>
    </row>
    <row r="2138" spans="5:6">
      <c r="E2138" s="1"/>
      <c r="F2138" s="1"/>
    </row>
    <row r="2139" spans="5:6">
      <c r="E2139" s="1"/>
      <c r="F2139" s="1"/>
    </row>
    <row r="2140" spans="5:6">
      <c r="E2140" s="1"/>
      <c r="F2140" s="1"/>
    </row>
    <row r="2141" spans="5:6">
      <c r="E2141" s="1"/>
      <c r="F2141" s="1"/>
    </row>
    <row r="2142" spans="5:6">
      <c r="E2142" s="1"/>
      <c r="F2142" s="1"/>
    </row>
    <row r="2143" spans="5:6">
      <c r="E2143" s="1"/>
      <c r="F2143" s="1"/>
    </row>
    <row r="2144" spans="5:6">
      <c r="E2144" s="1"/>
      <c r="F2144" s="1"/>
    </row>
    <row r="2145" spans="5:6">
      <c r="E2145" s="1"/>
      <c r="F2145" s="1"/>
    </row>
    <row r="2146" spans="5:6">
      <c r="E2146" s="1"/>
      <c r="F2146" s="1"/>
    </row>
    <row r="2147" spans="5:6">
      <c r="E2147" s="1"/>
      <c r="F2147" s="1"/>
    </row>
    <row r="2148" spans="5:6">
      <c r="E2148" s="1"/>
      <c r="F2148" s="1"/>
    </row>
    <row r="2149" spans="5:6">
      <c r="E2149" s="1"/>
      <c r="F2149" s="1"/>
    </row>
    <row r="2150" spans="5:6">
      <c r="E2150" s="1"/>
      <c r="F2150" s="1"/>
    </row>
    <row r="2151" spans="5:6">
      <c r="E2151" s="1"/>
      <c r="F2151" s="1"/>
    </row>
    <row r="2152" spans="5:6">
      <c r="E2152" s="1"/>
      <c r="F2152" s="1"/>
    </row>
    <row r="2153" spans="5:6">
      <c r="E2153" s="1"/>
      <c r="F2153" s="1"/>
    </row>
    <row r="2154" spans="5:6">
      <c r="E2154" s="1"/>
      <c r="F2154" s="1"/>
    </row>
    <row r="2155" spans="5:6">
      <c r="E2155" s="1"/>
      <c r="F2155" s="1"/>
    </row>
    <row r="2156" spans="5:6">
      <c r="E2156" s="1"/>
      <c r="F2156" s="1"/>
    </row>
    <row r="2157" spans="5:6">
      <c r="E2157" s="1"/>
      <c r="F2157" s="1"/>
    </row>
    <row r="2158" spans="5:6">
      <c r="E2158" s="1"/>
      <c r="F2158" s="1"/>
    </row>
    <row r="2159" spans="5:6">
      <c r="E2159" s="1"/>
      <c r="F2159" s="1"/>
    </row>
    <row r="2160" spans="5:6">
      <c r="E2160" s="1"/>
      <c r="F2160" s="1"/>
    </row>
    <row r="2161" spans="5:6">
      <c r="E2161" s="1"/>
      <c r="F2161" s="1"/>
    </row>
    <row r="2162" spans="5:6">
      <c r="E2162" s="1"/>
      <c r="F2162" s="1"/>
    </row>
    <row r="2163" spans="5:6">
      <c r="E2163" s="1"/>
      <c r="F2163" s="1"/>
    </row>
    <row r="2164" spans="5:6">
      <c r="E2164" s="1"/>
      <c r="F2164" s="1"/>
    </row>
    <row r="2165" spans="5:6">
      <c r="E2165" s="1"/>
      <c r="F2165" s="1"/>
    </row>
    <row r="2166" spans="5:6">
      <c r="E2166" s="1"/>
      <c r="F2166" s="1"/>
    </row>
    <row r="2167" spans="5:6">
      <c r="E2167" s="1"/>
      <c r="F2167" s="1"/>
    </row>
    <row r="2168" spans="5:6">
      <c r="E2168" s="1"/>
      <c r="F2168" s="1"/>
    </row>
    <row r="2169" spans="5:6">
      <c r="E2169" s="1"/>
      <c r="F2169" s="1"/>
    </row>
    <row r="2170" spans="5:6">
      <c r="E2170" s="1"/>
      <c r="F2170" s="1"/>
    </row>
    <row r="2171" spans="5:6">
      <c r="E2171" s="1"/>
      <c r="F2171" s="1"/>
    </row>
    <row r="2172" spans="5:6">
      <c r="E2172" s="1"/>
      <c r="F2172" s="1"/>
    </row>
    <row r="2173" spans="5:6">
      <c r="E2173" s="1"/>
      <c r="F2173" s="1"/>
    </row>
    <row r="2174" spans="5:6">
      <c r="E2174" s="1"/>
      <c r="F2174" s="1"/>
    </row>
    <row r="2175" spans="5:6">
      <c r="E2175" s="1"/>
      <c r="F2175" s="1"/>
    </row>
    <row r="2176" spans="5:6">
      <c r="E2176" s="1"/>
      <c r="F2176" s="1"/>
    </row>
    <row r="2177" spans="5:6">
      <c r="E2177" s="1"/>
      <c r="F2177" s="1"/>
    </row>
    <row r="2178" spans="5:6">
      <c r="E2178" s="1"/>
      <c r="F2178" s="1"/>
    </row>
    <row r="2179" spans="5:6">
      <c r="E2179" s="1"/>
      <c r="F2179" s="1"/>
    </row>
    <row r="2180" spans="5:6">
      <c r="E2180" s="1"/>
      <c r="F2180" s="1"/>
    </row>
    <row r="2181" spans="5:6">
      <c r="E2181" s="1"/>
      <c r="F2181" s="1"/>
    </row>
    <row r="2182" spans="5:6">
      <c r="E2182" s="1"/>
      <c r="F2182" s="1"/>
    </row>
    <row r="2183" spans="5:6">
      <c r="E2183" s="1"/>
      <c r="F2183" s="1"/>
    </row>
    <row r="2184" spans="5:6">
      <c r="E2184" s="1"/>
      <c r="F2184" s="1"/>
    </row>
    <row r="2185" spans="5:6">
      <c r="E2185" s="1"/>
      <c r="F2185" s="1"/>
    </row>
    <row r="2186" spans="5:6">
      <c r="E2186" s="1"/>
      <c r="F2186" s="1"/>
    </row>
    <row r="2187" spans="5:6">
      <c r="E2187" s="1"/>
      <c r="F2187" s="1"/>
    </row>
    <row r="2188" spans="5:6">
      <c r="E2188" s="1"/>
      <c r="F2188" s="1"/>
    </row>
    <row r="2189" spans="5:6">
      <c r="E2189" s="1"/>
      <c r="F2189" s="1"/>
    </row>
    <row r="2190" spans="5:6">
      <c r="E2190" s="1"/>
      <c r="F2190" s="1"/>
    </row>
    <row r="2191" spans="5:6">
      <c r="E2191" s="1"/>
      <c r="F2191" s="1"/>
    </row>
    <row r="2192" spans="5:6">
      <c r="E2192" s="1"/>
      <c r="F2192" s="1"/>
    </row>
    <row r="2193" spans="5:6">
      <c r="E2193" s="1"/>
      <c r="F2193" s="1"/>
    </row>
    <row r="2194" spans="5:6">
      <c r="E2194" s="1"/>
      <c r="F2194" s="1"/>
    </row>
    <row r="2195" spans="5:6">
      <c r="E2195" s="1"/>
      <c r="F2195" s="1"/>
    </row>
    <row r="2196" spans="5:6">
      <c r="E2196" s="1"/>
      <c r="F2196" s="1"/>
    </row>
    <row r="2197" spans="5:6">
      <c r="E2197" s="1"/>
      <c r="F2197" s="1"/>
    </row>
    <row r="2198" spans="5:6">
      <c r="E2198" s="1"/>
      <c r="F2198" s="1"/>
    </row>
    <row r="2199" spans="5:6">
      <c r="E2199" s="1"/>
      <c r="F2199" s="1"/>
    </row>
    <row r="2200" spans="5:6">
      <c r="E2200" s="1"/>
      <c r="F2200" s="1"/>
    </row>
    <row r="2201" spans="5:6">
      <c r="E2201" s="1"/>
      <c r="F2201" s="1"/>
    </row>
    <row r="2202" spans="5:6">
      <c r="E2202" s="1"/>
      <c r="F2202" s="1"/>
    </row>
    <row r="2203" spans="5:6">
      <c r="E2203" s="1"/>
      <c r="F2203" s="1"/>
    </row>
    <row r="2204" spans="5:6">
      <c r="E2204" s="1"/>
      <c r="F2204" s="1"/>
    </row>
    <row r="2205" spans="5:6">
      <c r="E2205" s="1"/>
      <c r="F2205" s="1"/>
    </row>
    <row r="2206" spans="5:6">
      <c r="E2206" s="1"/>
      <c r="F2206" s="1"/>
    </row>
    <row r="2207" spans="5:6">
      <c r="E2207" s="1"/>
      <c r="F2207" s="1"/>
    </row>
    <row r="2208" spans="5:6">
      <c r="E2208" s="1"/>
      <c r="F2208" s="1"/>
    </row>
    <row r="2209" spans="5:6">
      <c r="E2209" s="1"/>
      <c r="F2209" s="1"/>
    </row>
    <row r="2210" spans="5:6">
      <c r="E2210" s="1"/>
      <c r="F2210" s="1"/>
    </row>
    <row r="2211" spans="5:6">
      <c r="E2211" s="1"/>
      <c r="F2211" s="1"/>
    </row>
    <row r="2212" spans="5:6">
      <c r="E2212" s="1"/>
      <c r="F2212" s="1"/>
    </row>
    <row r="2213" spans="5:6">
      <c r="E2213" s="1"/>
      <c r="F2213" s="1"/>
    </row>
    <row r="2214" spans="5:6">
      <c r="E2214" s="1"/>
      <c r="F2214" s="1"/>
    </row>
    <row r="2215" spans="5:6">
      <c r="E2215" s="1"/>
      <c r="F2215" s="1"/>
    </row>
    <row r="2216" spans="5:6">
      <c r="E2216" s="1"/>
      <c r="F2216" s="1"/>
    </row>
    <row r="2217" spans="5:6">
      <c r="E2217" s="1"/>
      <c r="F2217" s="1"/>
    </row>
    <row r="2218" spans="5:6">
      <c r="E2218" s="1"/>
      <c r="F2218" s="1"/>
    </row>
    <row r="2219" spans="5:6">
      <c r="E2219" s="1"/>
      <c r="F2219" s="1"/>
    </row>
    <row r="2220" spans="5:6">
      <c r="E2220" s="1"/>
      <c r="F2220" s="1"/>
    </row>
    <row r="2221" spans="5:6">
      <c r="E2221" s="1"/>
      <c r="F2221" s="1"/>
    </row>
    <row r="2222" spans="5:6">
      <c r="E2222" s="1"/>
      <c r="F2222" s="1"/>
    </row>
    <row r="2223" spans="5:6">
      <c r="E2223" s="1"/>
      <c r="F2223" s="1"/>
    </row>
    <row r="2224" spans="5:6">
      <c r="E2224" s="1"/>
      <c r="F2224" s="1"/>
    </row>
    <row r="2225" spans="5:6">
      <c r="E2225" s="1"/>
      <c r="F2225" s="1"/>
    </row>
    <row r="2226" spans="5:6">
      <c r="E2226" s="1"/>
      <c r="F2226" s="1"/>
    </row>
    <row r="2227" spans="5:6">
      <c r="E2227" s="1"/>
      <c r="F2227" s="1"/>
    </row>
    <row r="2228" spans="5:6">
      <c r="E2228" s="1"/>
      <c r="F2228" s="1"/>
    </row>
    <row r="2229" spans="5:6">
      <c r="E2229" s="1"/>
      <c r="F2229" s="1"/>
    </row>
    <row r="2230" spans="5:6">
      <c r="E2230" s="1"/>
      <c r="F2230" s="1"/>
    </row>
    <row r="2231" spans="5:6">
      <c r="E2231" s="1"/>
      <c r="F2231" s="1"/>
    </row>
    <row r="2232" spans="5:6">
      <c r="E2232" s="1"/>
      <c r="F2232" s="1"/>
    </row>
    <row r="2233" spans="5:6">
      <c r="E2233" s="1"/>
      <c r="F2233" s="1"/>
    </row>
    <row r="2234" spans="5:6">
      <c r="E2234" s="1"/>
      <c r="F2234" s="1"/>
    </row>
    <row r="2235" spans="5:6">
      <c r="E2235" s="1"/>
      <c r="F2235" s="1"/>
    </row>
    <row r="2236" spans="5:6">
      <c r="E2236" s="1"/>
      <c r="F2236" s="1"/>
    </row>
    <row r="2237" spans="5:6">
      <c r="E2237" s="1"/>
      <c r="F2237" s="1"/>
    </row>
    <row r="2238" spans="5:6">
      <c r="E2238" s="1"/>
      <c r="F2238" s="1"/>
    </row>
    <row r="2239" spans="5:6">
      <c r="E2239" s="1"/>
      <c r="F2239" s="1"/>
    </row>
    <row r="2240" spans="5:6">
      <c r="E2240" s="1"/>
      <c r="F2240" s="1"/>
    </row>
    <row r="2241" spans="5:6">
      <c r="E2241" s="1"/>
      <c r="F2241" s="1"/>
    </row>
    <row r="2242" spans="5:6">
      <c r="E2242" s="1"/>
      <c r="F2242" s="1"/>
    </row>
    <row r="2243" spans="5:6">
      <c r="E2243" s="1"/>
      <c r="F2243" s="1"/>
    </row>
    <row r="2244" spans="5:6">
      <c r="E2244" s="1"/>
      <c r="F2244" s="1"/>
    </row>
    <row r="2245" spans="5:6">
      <c r="E2245" s="1"/>
      <c r="F2245" s="1"/>
    </row>
    <row r="2246" spans="5:6">
      <c r="E2246" s="1"/>
      <c r="F2246" s="1"/>
    </row>
    <row r="2247" spans="5:6">
      <c r="E2247" s="1"/>
      <c r="F2247" s="1"/>
    </row>
    <row r="2248" spans="5:6">
      <c r="E2248" s="1"/>
      <c r="F2248" s="1"/>
    </row>
    <row r="2249" spans="5:6">
      <c r="E2249" s="1"/>
      <c r="F2249" s="1"/>
    </row>
    <row r="2250" spans="5:6">
      <c r="E2250" s="1"/>
      <c r="F2250" s="1"/>
    </row>
    <row r="2251" spans="5:6">
      <c r="E2251" s="1"/>
      <c r="F2251" s="1"/>
    </row>
    <row r="2252" spans="5:6">
      <c r="E2252" s="1"/>
      <c r="F2252" s="1"/>
    </row>
    <row r="2253" spans="5:6">
      <c r="E2253" s="1"/>
      <c r="F2253" s="1"/>
    </row>
    <row r="2254" spans="5:6">
      <c r="E2254" s="1"/>
      <c r="F2254" s="1"/>
    </row>
    <row r="2255" spans="5:6">
      <c r="E2255" s="1"/>
      <c r="F2255" s="1"/>
    </row>
    <row r="2256" spans="5:6">
      <c r="E2256" s="1"/>
      <c r="F2256" s="1"/>
    </row>
    <row r="2257" spans="5:6">
      <c r="E2257" s="1"/>
      <c r="F2257" s="1"/>
    </row>
    <row r="2258" spans="5:6">
      <c r="E2258" s="1"/>
      <c r="F2258" s="1"/>
    </row>
    <row r="2259" spans="5:6">
      <c r="E2259" s="1"/>
      <c r="F2259" s="1"/>
    </row>
    <row r="2260" spans="5:6">
      <c r="E2260" s="1"/>
      <c r="F2260" s="1"/>
    </row>
    <row r="2261" spans="5:6">
      <c r="E2261" s="1"/>
      <c r="F2261" s="1"/>
    </row>
    <row r="2262" spans="5:6">
      <c r="E2262" s="1"/>
      <c r="F2262" s="1"/>
    </row>
    <row r="2263" spans="5:6">
      <c r="E2263" s="1"/>
      <c r="F2263" s="1"/>
    </row>
    <row r="2264" spans="5:6">
      <c r="E2264" s="1"/>
      <c r="F2264" s="1"/>
    </row>
    <row r="2265" spans="5:6">
      <c r="E2265" s="1"/>
      <c r="F2265" s="1"/>
    </row>
    <row r="2266" spans="5:6">
      <c r="E2266" s="1"/>
      <c r="F2266" s="1"/>
    </row>
    <row r="2267" spans="5:6">
      <c r="E2267" s="1"/>
      <c r="F2267" s="1"/>
    </row>
    <row r="2268" spans="5:6">
      <c r="E2268" s="1"/>
      <c r="F2268" s="1"/>
    </row>
    <row r="2269" spans="5:6">
      <c r="E2269" s="1"/>
      <c r="F2269" s="1"/>
    </row>
    <row r="2270" spans="5:6">
      <c r="E2270" s="1"/>
      <c r="F2270" s="1"/>
    </row>
    <row r="2271" spans="5:6">
      <c r="E2271" s="1"/>
      <c r="F2271" s="1"/>
    </row>
    <row r="2272" spans="5:6">
      <c r="E2272" s="1"/>
      <c r="F2272" s="1"/>
    </row>
    <row r="2273" spans="5:6">
      <c r="E2273" s="1"/>
      <c r="F2273" s="1"/>
    </row>
    <row r="2274" spans="5:6">
      <c r="E2274" s="1"/>
      <c r="F2274" s="1"/>
    </row>
    <row r="2275" spans="5:6">
      <c r="E2275" s="1"/>
      <c r="F2275" s="1"/>
    </row>
    <row r="2276" spans="5:6">
      <c r="E2276" s="1"/>
      <c r="F2276" s="1"/>
    </row>
    <row r="2277" spans="5:6">
      <c r="E2277" s="1"/>
      <c r="F2277" s="1"/>
    </row>
    <row r="2278" spans="5:6">
      <c r="E2278" s="1"/>
      <c r="F2278" s="1"/>
    </row>
    <row r="2279" spans="5:6">
      <c r="E2279" s="1"/>
      <c r="F2279" s="1"/>
    </row>
    <row r="2280" spans="5:6">
      <c r="E2280" s="1"/>
      <c r="F2280" s="1"/>
    </row>
    <row r="2281" spans="5:6">
      <c r="E2281" s="1"/>
      <c r="F2281" s="1"/>
    </row>
    <row r="2282" spans="5:6">
      <c r="E2282" s="1"/>
      <c r="F2282" s="1"/>
    </row>
    <row r="2283" spans="5:6">
      <c r="E2283" s="1"/>
      <c r="F2283" s="1"/>
    </row>
    <row r="2284" spans="5:6">
      <c r="E2284" s="1"/>
      <c r="F2284" s="1"/>
    </row>
    <row r="2285" spans="5:6">
      <c r="E2285" s="1"/>
      <c r="F2285" s="1"/>
    </row>
    <row r="2286" spans="5:6">
      <c r="E2286" s="1"/>
      <c r="F2286" s="1"/>
    </row>
    <row r="2287" spans="5:6">
      <c r="E2287" s="1"/>
      <c r="F2287" s="1"/>
    </row>
    <row r="2288" spans="5:6">
      <c r="E2288" s="1"/>
      <c r="F2288" s="1"/>
    </row>
    <row r="2289" spans="5:6">
      <c r="E2289" s="1"/>
      <c r="F2289" s="1"/>
    </row>
    <row r="2290" spans="5:6">
      <c r="E2290" s="1"/>
      <c r="F2290" s="1"/>
    </row>
    <row r="2291" spans="5:6">
      <c r="E2291" s="1"/>
      <c r="F2291" s="1"/>
    </row>
    <row r="2292" spans="5:6">
      <c r="E2292" s="1"/>
      <c r="F2292" s="1"/>
    </row>
    <row r="2293" spans="5:6">
      <c r="E2293" s="1"/>
      <c r="F2293" s="1"/>
    </row>
    <row r="2294" spans="5:6">
      <c r="E2294" s="1"/>
      <c r="F2294" s="1"/>
    </row>
    <row r="2295" spans="5:6">
      <c r="E2295" s="1"/>
      <c r="F2295" s="1"/>
    </row>
    <row r="2296" spans="5:6">
      <c r="E2296" s="1"/>
      <c r="F2296" s="1"/>
    </row>
    <row r="2297" spans="5:6">
      <c r="E2297" s="1"/>
      <c r="F2297" s="1"/>
    </row>
    <row r="2298" spans="5:6">
      <c r="E2298" s="1"/>
      <c r="F2298" s="1"/>
    </row>
    <row r="2299" spans="5:6">
      <c r="E2299" s="1"/>
      <c r="F2299" s="1"/>
    </row>
    <row r="2300" spans="5:6">
      <c r="E2300" s="1"/>
      <c r="F2300" s="1"/>
    </row>
    <row r="2301" spans="5:6">
      <c r="E2301" s="1"/>
      <c r="F2301" s="1"/>
    </row>
    <row r="2302" spans="5:6">
      <c r="E2302" s="1"/>
      <c r="F2302" s="1"/>
    </row>
    <row r="2303" spans="5:6">
      <c r="E2303" s="1"/>
      <c r="F2303" s="1"/>
    </row>
    <row r="2304" spans="5:6">
      <c r="E2304" s="1"/>
      <c r="F2304" s="1"/>
    </row>
    <row r="2305" spans="5:6">
      <c r="E2305" s="1"/>
      <c r="F2305" s="1"/>
    </row>
    <row r="2306" spans="5:6">
      <c r="E2306" s="1"/>
      <c r="F2306" s="1"/>
    </row>
    <row r="2307" spans="5:6">
      <c r="E2307" s="1"/>
      <c r="F2307" s="1"/>
    </row>
    <row r="2308" spans="5:6">
      <c r="E2308" s="1"/>
      <c r="F2308" s="1"/>
    </row>
    <row r="2309" spans="5:6">
      <c r="E2309" s="1"/>
      <c r="F2309" s="1"/>
    </row>
    <row r="2310" spans="5:6">
      <c r="E2310" s="1"/>
      <c r="F2310" s="1"/>
    </row>
    <row r="2311" spans="5:6">
      <c r="E2311" s="1"/>
      <c r="F2311" s="1"/>
    </row>
    <row r="2312" spans="5:6">
      <c r="E2312" s="1"/>
      <c r="F2312" s="1"/>
    </row>
    <row r="2313" spans="5:6">
      <c r="E2313" s="1"/>
      <c r="F2313" s="1"/>
    </row>
    <row r="2314" spans="5:6">
      <c r="E2314" s="1"/>
      <c r="F2314" s="1"/>
    </row>
    <row r="2315" spans="5:6">
      <c r="E2315" s="1"/>
      <c r="F2315" s="1"/>
    </row>
    <row r="2316" spans="5:6">
      <c r="E2316" s="1"/>
      <c r="F2316" s="1"/>
    </row>
    <row r="2317" spans="5:6">
      <c r="E2317" s="1"/>
      <c r="F2317" s="1"/>
    </row>
    <row r="2318" spans="5:6">
      <c r="E2318" s="1"/>
      <c r="F2318" s="1"/>
    </row>
    <row r="2319" spans="5:6">
      <c r="E2319" s="1"/>
      <c r="F2319" s="1"/>
    </row>
    <row r="2320" spans="5:6">
      <c r="E2320" s="1"/>
      <c r="F2320" s="1"/>
    </row>
    <row r="2321" spans="5:6">
      <c r="E2321" s="1"/>
      <c r="F2321" s="1"/>
    </row>
    <row r="2322" spans="5:6">
      <c r="E2322" s="1"/>
      <c r="F2322" s="1"/>
    </row>
    <row r="2323" spans="5:6">
      <c r="E2323" s="1"/>
      <c r="F2323" s="1"/>
    </row>
    <row r="2324" spans="5:6">
      <c r="E2324" s="1"/>
      <c r="F2324" s="1"/>
    </row>
    <row r="2325" spans="5:6">
      <c r="E2325" s="1"/>
      <c r="F2325" s="1"/>
    </row>
    <row r="2326" spans="5:6">
      <c r="E2326" s="1"/>
      <c r="F2326" s="1"/>
    </row>
    <row r="2327" spans="5:6">
      <c r="E2327" s="1"/>
      <c r="F2327" s="1"/>
    </row>
    <row r="2328" spans="5:6">
      <c r="E2328" s="1"/>
      <c r="F2328" s="1"/>
    </row>
    <row r="2329" spans="5:6">
      <c r="E2329" s="1"/>
      <c r="F2329" s="1"/>
    </row>
    <row r="2330" spans="5:6">
      <c r="E2330" s="1"/>
      <c r="F2330" s="1"/>
    </row>
    <row r="2331" spans="5:6">
      <c r="E2331" s="1"/>
      <c r="F2331" s="1"/>
    </row>
    <row r="2332" spans="5:6">
      <c r="E2332" s="1"/>
      <c r="F2332" s="1"/>
    </row>
    <row r="2333" spans="5:6">
      <c r="E2333" s="1"/>
      <c r="F2333" s="1"/>
    </row>
    <row r="2334" spans="5:6">
      <c r="E2334" s="1"/>
      <c r="F2334" s="1"/>
    </row>
    <row r="2335" spans="5:6">
      <c r="E2335" s="1"/>
      <c r="F2335" s="1"/>
    </row>
    <row r="2336" spans="5:6">
      <c r="E2336" s="1"/>
      <c r="F2336" s="1"/>
    </row>
    <row r="2337" spans="5:6">
      <c r="E2337" s="1"/>
      <c r="F2337" s="1"/>
    </row>
    <row r="2338" spans="5:6">
      <c r="E2338" s="1"/>
      <c r="F2338" s="1"/>
    </row>
    <row r="2339" spans="5:6">
      <c r="E2339" s="1"/>
      <c r="F2339" s="1"/>
    </row>
    <row r="2340" spans="5:6">
      <c r="E2340" s="1"/>
      <c r="F2340" s="1"/>
    </row>
    <row r="2341" spans="5:6">
      <c r="E2341" s="1"/>
      <c r="F2341" s="1"/>
    </row>
    <row r="2342" spans="5:6">
      <c r="E2342" s="1"/>
      <c r="F2342" s="1"/>
    </row>
    <row r="2343" spans="5:6">
      <c r="E2343" s="1"/>
      <c r="F2343" s="1"/>
    </row>
    <row r="2344" spans="5:6">
      <c r="E2344" s="1"/>
      <c r="F2344" s="1"/>
    </row>
    <row r="2345" spans="5:6">
      <c r="E2345" s="1"/>
      <c r="F2345" s="1"/>
    </row>
    <row r="2346" spans="5:6">
      <c r="E2346" s="1"/>
      <c r="F2346" s="1"/>
    </row>
    <row r="2347" spans="5:6">
      <c r="E2347" s="1"/>
      <c r="F2347" s="1"/>
    </row>
    <row r="2348" spans="5:6">
      <c r="E2348" s="1"/>
      <c r="F2348" s="1"/>
    </row>
    <row r="2349" spans="5:6">
      <c r="E2349" s="1"/>
      <c r="F2349" s="1"/>
    </row>
    <row r="2350" spans="5:6">
      <c r="E2350" s="1"/>
      <c r="F2350" s="1"/>
    </row>
    <row r="2351" spans="5:6">
      <c r="E2351" s="1"/>
      <c r="F2351" s="1"/>
    </row>
    <row r="2352" spans="5:6">
      <c r="E2352" s="1"/>
      <c r="F2352" s="1"/>
    </row>
    <row r="2353" spans="5:6">
      <c r="E2353" s="1"/>
      <c r="F2353" s="1"/>
    </row>
    <row r="2354" spans="5:6">
      <c r="E2354" s="1"/>
      <c r="F2354" s="1"/>
    </row>
    <row r="2355" spans="5:6">
      <c r="E2355" s="1"/>
      <c r="F2355" s="1"/>
    </row>
    <row r="2356" spans="5:6">
      <c r="E2356" s="1"/>
      <c r="F2356" s="1"/>
    </row>
    <row r="2357" spans="5:6">
      <c r="E2357" s="1"/>
      <c r="F2357" s="1"/>
    </row>
    <row r="2358" spans="5:6">
      <c r="E2358" s="1"/>
      <c r="F2358" s="1"/>
    </row>
    <row r="2359" spans="5:6">
      <c r="E2359" s="1"/>
      <c r="F2359" s="1"/>
    </row>
    <row r="2360" spans="5:6">
      <c r="E2360" s="1"/>
      <c r="F2360" s="1"/>
    </row>
    <row r="2361" spans="5:6">
      <c r="E2361" s="1"/>
      <c r="F2361" s="1"/>
    </row>
    <row r="2362" spans="5:6">
      <c r="E2362" s="1"/>
      <c r="F2362" s="1"/>
    </row>
    <row r="2363" spans="5:6">
      <c r="E2363" s="1"/>
      <c r="F2363" s="1"/>
    </row>
    <row r="2364" spans="5:6">
      <c r="E2364" s="1"/>
      <c r="F2364" s="1"/>
    </row>
    <row r="2365" spans="5:6">
      <c r="E2365" s="1"/>
      <c r="F2365" s="1"/>
    </row>
    <row r="2366" spans="5:6">
      <c r="E2366" s="1"/>
      <c r="F2366" s="1"/>
    </row>
    <row r="2367" spans="5:6">
      <c r="E2367" s="1"/>
      <c r="F2367" s="1"/>
    </row>
    <row r="2368" spans="5:6">
      <c r="E2368" s="1"/>
      <c r="F2368" s="1"/>
    </row>
    <row r="2369" spans="5:6">
      <c r="E2369" s="1"/>
      <c r="F2369" s="1"/>
    </row>
    <row r="2370" spans="5:6">
      <c r="E2370" s="1"/>
      <c r="F2370" s="1"/>
    </row>
    <row r="2371" spans="5:6">
      <c r="E2371" s="1"/>
      <c r="F2371" s="1"/>
    </row>
    <row r="2372" spans="5:6">
      <c r="E2372" s="1"/>
      <c r="F2372" s="1"/>
    </row>
    <row r="2373" spans="5:6">
      <c r="E2373" s="1"/>
      <c r="F2373" s="1"/>
    </row>
    <row r="2374" spans="5:6">
      <c r="E2374" s="1"/>
      <c r="F2374" s="1"/>
    </row>
    <row r="2375" spans="5:6">
      <c r="E2375" s="1"/>
      <c r="F2375" s="1"/>
    </row>
    <row r="2376" spans="5:6">
      <c r="E2376" s="1"/>
      <c r="F2376" s="1"/>
    </row>
    <row r="2377" spans="5:6">
      <c r="E2377" s="1"/>
      <c r="F2377" s="1"/>
    </row>
    <row r="2378" spans="5:6">
      <c r="E2378" s="1"/>
      <c r="F2378" s="1"/>
    </row>
    <row r="2379" spans="5:6">
      <c r="E2379" s="1"/>
      <c r="F2379" s="1"/>
    </row>
    <row r="2380" spans="5:6">
      <c r="E2380" s="1"/>
      <c r="F2380" s="1"/>
    </row>
    <row r="2381" spans="5:6">
      <c r="E2381" s="1"/>
      <c r="F2381" s="1"/>
    </row>
    <row r="2382" spans="5:6">
      <c r="E2382" s="1"/>
      <c r="F2382" s="1"/>
    </row>
    <row r="2383" spans="5:6">
      <c r="E2383" s="1"/>
      <c r="F2383" s="1"/>
    </row>
    <row r="2384" spans="5:6">
      <c r="E2384" s="1"/>
      <c r="F2384" s="1"/>
    </row>
    <row r="2385" spans="5:6">
      <c r="E2385" s="1"/>
      <c r="F2385" s="1"/>
    </row>
    <row r="2386" spans="5:6">
      <c r="E2386" s="1"/>
      <c r="F2386" s="1"/>
    </row>
    <row r="2387" spans="5:6">
      <c r="E2387" s="1"/>
      <c r="F2387" s="1"/>
    </row>
    <row r="2388" spans="5:6">
      <c r="E2388" s="1"/>
      <c r="F2388" s="1"/>
    </row>
    <row r="2389" spans="5:6">
      <c r="E2389" s="1"/>
      <c r="F2389" s="1"/>
    </row>
    <row r="2390" spans="5:6">
      <c r="E2390" s="1"/>
      <c r="F2390" s="1"/>
    </row>
    <row r="2391" spans="5:6">
      <c r="E2391" s="1"/>
      <c r="F2391" s="1"/>
    </row>
    <row r="2392" spans="5:6">
      <c r="E2392" s="1"/>
      <c r="F2392" s="1"/>
    </row>
    <row r="2393" spans="5:6">
      <c r="E2393" s="1"/>
      <c r="F2393" s="1"/>
    </row>
    <row r="2394" spans="5:6">
      <c r="E2394" s="1"/>
      <c r="F2394" s="1"/>
    </row>
    <row r="2395" spans="5:6">
      <c r="E2395" s="1"/>
      <c r="F2395" s="1"/>
    </row>
    <row r="2396" spans="5:6">
      <c r="E2396" s="1"/>
      <c r="F2396" s="1"/>
    </row>
    <row r="2397" spans="5:6">
      <c r="E2397" s="1"/>
      <c r="F2397" s="1"/>
    </row>
    <row r="2398" spans="5:6">
      <c r="E2398" s="1"/>
      <c r="F2398" s="1"/>
    </row>
    <row r="2399" spans="5:6">
      <c r="E2399" s="1"/>
      <c r="F2399" s="1"/>
    </row>
    <row r="2400" spans="5:6">
      <c r="E2400" s="1"/>
      <c r="F2400" s="1"/>
    </row>
    <row r="2401" spans="5:6">
      <c r="E2401" s="1"/>
      <c r="F2401" s="1"/>
    </row>
    <row r="2402" spans="5:6">
      <c r="E2402" s="1"/>
      <c r="F2402" s="1"/>
    </row>
    <row r="2403" spans="5:6">
      <c r="E2403" s="1"/>
      <c r="F2403" s="1"/>
    </row>
    <row r="2404" spans="5:6">
      <c r="E2404" s="1"/>
      <c r="F2404" s="1"/>
    </row>
    <row r="2405" spans="5:6">
      <c r="E2405" s="1"/>
      <c r="F2405" s="1"/>
    </row>
    <row r="2406" spans="5:6">
      <c r="E2406" s="1"/>
      <c r="F2406" s="1"/>
    </row>
    <row r="2407" spans="5:6">
      <c r="E2407" s="1"/>
      <c r="F2407" s="1"/>
    </row>
    <row r="2408" spans="5:6">
      <c r="E2408" s="1"/>
      <c r="F2408" s="1"/>
    </row>
    <row r="2409" spans="5:6">
      <c r="E2409" s="1"/>
      <c r="F2409" s="1"/>
    </row>
    <row r="2410" spans="5:6">
      <c r="E2410" s="1"/>
      <c r="F2410" s="1"/>
    </row>
    <row r="2411" spans="5:6">
      <c r="E2411" s="1"/>
      <c r="F2411" s="1"/>
    </row>
    <row r="2412" spans="5:6">
      <c r="E2412" s="1"/>
      <c r="F2412" s="1"/>
    </row>
    <row r="2413" spans="5:6">
      <c r="E2413" s="1"/>
      <c r="F2413" s="1"/>
    </row>
    <row r="2414" spans="5:6">
      <c r="E2414" s="1"/>
      <c r="F2414" s="1"/>
    </row>
    <row r="2415" spans="5:6">
      <c r="E2415" s="1"/>
      <c r="F2415" s="1"/>
    </row>
    <row r="2416" spans="5:6">
      <c r="E2416" s="1"/>
      <c r="F2416" s="1"/>
    </row>
    <row r="2417" spans="5:6">
      <c r="E2417" s="1"/>
      <c r="F2417" s="1"/>
    </row>
    <row r="2418" spans="5:6">
      <c r="E2418" s="1"/>
      <c r="F2418" s="1"/>
    </row>
    <row r="2419" spans="5:6">
      <c r="E2419" s="1"/>
      <c r="F2419" s="1"/>
    </row>
    <row r="2420" spans="5:6">
      <c r="E2420" s="1"/>
      <c r="F2420" s="1"/>
    </row>
    <row r="2421" spans="5:6">
      <c r="E2421" s="1"/>
      <c r="F2421" s="1"/>
    </row>
    <row r="2422" spans="5:6">
      <c r="E2422" s="1"/>
      <c r="F2422" s="1"/>
    </row>
    <row r="2423" spans="5:6">
      <c r="E2423" s="1"/>
      <c r="F2423" s="1"/>
    </row>
    <row r="2424" spans="5:6">
      <c r="E2424" s="1"/>
      <c r="F2424" s="1"/>
    </row>
    <row r="2425" spans="5:6">
      <c r="E2425" s="1"/>
      <c r="F2425" s="1"/>
    </row>
    <row r="2426" spans="5:6">
      <c r="E2426" s="1"/>
      <c r="F2426" s="1"/>
    </row>
    <row r="2427" spans="5:6">
      <c r="E2427" s="1"/>
      <c r="F2427" s="1"/>
    </row>
    <row r="2428" spans="5:6">
      <c r="E2428" s="1"/>
      <c r="F2428" s="1"/>
    </row>
    <row r="2429" spans="5:6">
      <c r="E2429" s="1"/>
      <c r="F2429" s="1"/>
    </row>
    <row r="2430" spans="5:6">
      <c r="E2430" s="1"/>
      <c r="F2430" s="1"/>
    </row>
    <row r="2431" spans="5:6">
      <c r="E2431" s="1"/>
      <c r="F2431" s="1"/>
    </row>
    <row r="2432" spans="5:6">
      <c r="E2432" s="1"/>
      <c r="F2432" s="1"/>
    </row>
    <row r="2433" spans="5:6">
      <c r="E2433" s="1"/>
      <c r="F2433" s="1"/>
    </row>
    <row r="2434" spans="5:6">
      <c r="E2434" s="1"/>
      <c r="F2434" s="1"/>
    </row>
    <row r="2435" spans="5:6">
      <c r="E2435" s="1"/>
      <c r="F2435" s="1"/>
    </row>
    <row r="2436" spans="5:6">
      <c r="E2436" s="1"/>
      <c r="F2436" s="1"/>
    </row>
    <row r="2437" spans="5:6">
      <c r="E2437" s="1"/>
      <c r="F2437" s="1"/>
    </row>
    <row r="2438" spans="5:6">
      <c r="E2438" s="1"/>
      <c r="F2438" s="1"/>
    </row>
    <row r="2439" spans="5:6">
      <c r="E2439" s="1"/>
      <c r="F2439" s="1"/>
    </row>
    <row r="2440" spans="5:6">
      <c r="E2440" s="1"/>
      <c r="F2440" s="1"/>
    </row>
    <row r="2441" spans="5:6">
      <c r="E2441" s="1"/>
      <c r="F2441" s="1"/>
    </row>
    <row r="2442" spans="5:6">
      <c r="E2442" s="1"/>
      <c r="F2442" s="1"/>
    </row>
    <row r="2443" spans="5:6">
      <c r="E2443" s="1"/>
      <c r="F2443" s="1"/>
    </row>
    <row r="2444" spans="5:6">
      <c r="E2444" s="1"/>
      <c r="F2444" s="1"/>
    </row>
    <row r="2445" spans="5:6">
      <c r="E2445" s="1"/>
      <c r="F2445" s="1"/>
    </row>
    <row r="2446" spans="5:6">
      <c r="E2446" s="1"/>
      <c r="F2446" s="1"/>
    </row>
    <row r="2447" spans="5:6">
      <c r="E2447" s="1"/>
      <c r="F2447" s="1"/>
    </row>
    <row r="2448" spans="5:6">
      <c r="E2448" s="1"/>
      <c r="F2448" s="1"/>
    </row>
    <row r="2449" spans="5:6">
      <c r="E2449" s="1"/>
      <c r="F2449" s="1"/>
    </row>
    <row r="2450" spans="5:6">
      <c r="E2450" s="1"/>
      <c r="F2450" s="1"/>
    </row>
    <row r="2451" spans="5:6">
      <c r="E2451" s="1"/>
      <c r="F2451" s="1"/>
    </row>
    <row r="2452" spans="5:6">
      <c r="E2452" s="1"/>
      <c r="F2452" s="1"/>
    </row>
    <row r="2453" spans="5:6">
      <c r="E2453" s="1"/>
      <c r="F2453" s="1"/>
    </row>
    <row r="2454" spans="5:6">
      <c r="E2454" s="1"/>
      <c r="F2454" s="1"/>
    </row>
    <row r="2455" spans="5:6">
      <c r="E2455" s="1"/>
      <c r="F2455" s="1"/>
    </row>
    <row r="2456" spans="5:6">
      <c r="E2456" s="1"/>
      <c r="F2456" s="1"/>
    </row>
    <row r="2457" spans="5:6">
      <c r="E2457" s="1"/>
      <c r="F2457" s="1"/>
    </row>
    <row r="2458" spans="5:6">
      <c r="E2458" s="1"/>
      <c r="F2458" s="1"/>
    </row>
    <row r="2459" spans="5:6">
      <c r="E2459" s="1"/>
      <c r="F2459" s="1"/>
    </row>
    <row r="2460" spans="5:6">
      <c r="E2460" s="1"/>
      <c r="F2460" s="1"/>
    </row>
    <row r="2461" spans="5:6">
      <c r="E2461" s="1"/>
      <c r="F2461" s="1"/>
    </row>
    <row r="2462" spans="5:6">
      <c r="E2462" s="1"/>
      <c r="F2462" s="1"/>
    </row>
    <row r="2463" spans="5:6">
      <c r="E2463" s="1"/>
      <c r="F2463" s="1"/>
    </row>
    <row r="2464" spans="5:6">
      <c r="E2464" s="1"/>
      <c r="F2464" s="1"/>
    </row>
    <row r="2465" spans="5:6">
      <c r="E2465" s="1"/>
      <c r="F2465" s="1"/>
    </row>
    <row r="2466" spans="5:6">
      <c r="E2466" s="1"/>
      <c r="F2466" s="1"/>
    </row>
    <row r="2467" spans="5:6">
      <c r="E2467" s="1"/>
      <c r="F2467" s="1"/>
    </row>
    <row r="2468" spans="5:6">
      <c r="E2468" s="1"/>
      <c r="F2468" s="1"/>
    </row>
    <row r="2469" spans="5:6">
      <c r="E2469" s="1"/>
      <c r="F2469" s="1"/>
    </row>
    <row r="2470" spans="5:6">
      <c r="E2470" s="1"/>
      <c r="F2470" s="1"/>
    </row>
    <row r="2471" spans="5:6">
      <c r="E2471" s="1"/>
      <c r="F2471" s="1"/>
    </row>
    <row r="2472" spans="5:6">
      <c r="E2472" s="1"/>
      <c r="F2472" s="1"/>
    </row>
    <row r="2473" spans="5:6">
      <c r="E2473" s="1"/>
      <c r="F2473" s="1"/>
    </row>
    <row r="2474" spans="5:6">
      <c r="E2474" s="1"/>
      <c r="F2474" s="1"/>
    </row>
    <row r="2475" spans="5:6">
      <c r="E2475" s="1"/>
      <c r="F2475" s="1"/>
    </row>
    <row r="2476" spans="5:6">
      <c r="E2476" s="1"/>
      <c r="F2476" s="1"/>
    </row>
    <row r="2477" spans="5:6">
      <c r="E2477" s="1"/>
      <c r="F2477" s="1"/>
    </row>
    <row r="2478" spans="5:6">
      <c r="E2478" s="1"/>
      <c r="F2478" s="1"/>
    </row>
    <row r="2479" spans="5:6">
      <c r="E2479" s="1"/>
      <c r="F2479" s="1"/>
    </row>
    <row r="2480" spans="5:6">
      <c r="E2480" s="1"/>
      <c r="F2480" s="1"/>
    </row>
    <row r="2481" spans="5:6">
      <c r="E2481" s="1"/>
      <c r="F2481" s="1"/>
    </row>
    <row r="2482" spans="5:6">
      <c r="E2482" s="1"/>
      <c r="F2482" s="1"/>
    </row>
    <row r="2483" spans="5:6">
      <c r="E2483" s="1"/>
      <c r="F2483" s="1"/>
    </row>
    <row r="2484" spans="5:6">
      <c r="E2484" s="1"/>
      <c r="F2484" s="1"/>
    </row>
    <row r="2485" spans="5:6">
      <c r="E2485" s="1"/>
      <c r="F2485" s="1"/>
    </row>
    <row r="2486" spans="5:6">
      <c r="E2486" s="1"/>
      <c r="F2486" s="1"/>
    </row>
    <row r="2487" spans="5:6">
      <c r="E2487" s="1"/>
      <c r="F2487" s="1"/>
    </row>
    <row r="2488" spans="5:6">
      <c r="E2488" s="1"/>
      <c r="F2488" s="1"/>
    </row>
    <row r="2489" spans="5:6">
      <c r="E2489" s="1"/>
      <c r="F2489" s="1"/>
    </row>
    <row r="2490" spans="5:6">
      <c r="E2490" s="1"/>
      <c r="F2490" s="1"/>
    </row>
    <row r="2491" spans="5:6">
      <c r="E2491" s="1"/>
      <c r="F2491" s="1"/>
    </row>
    <row r="2492" spans="5:6">
      <c r="E2492" s="1"/>
      <c r="F2492" s="1"/>
    </row>
    <row r="2493" spans="5:6">
      <c r="E2493" s="1"/>
      <c r="F2493" s="1"/>
    </row>
    <row r="2494" spans="5:6">
      <c r="E2494" s="1"/>
      <c r="F2494" s="1"/>
    </row>
    <row r="2495" spans="5:6">
      <c r="E2495" s="1"/>
      <c r="F2495" s="1"/>
    </row>
    <row r="2496" spans="5:6">
      <c r="E2496" s="1"/>
      <c r="F2496" s="1"/>
    </row>
    <row r="2497" spans="5:6">
      <c r="E2497" s="1"/>
      <c r="F2497" s="1"/>
    </row>
    <row r="2498" spans="5:6">
      <c r="E2498" s="1"/>
      <c r="F2498" s="1"/>
    </row>
    <row r="2499" spans="5:6">
      <c r="E2499" s="1"/>
      <c r="F2499" s="1"/>
    </row>
    <row r="2500" spans="5:6">
      <c r="E2500" s="1"/>
      <c r="F2500" s="1"/>
    </row>
    <row r="2501" spans="5:6">
      <c r="E2501" s="1"/>
      <c r="F2501" s="1"/>
    </row>
    <row r="2502" spans="5:6">
      <c r="E2502" s="1"/>
      <c r="F2502" s="1"/>
    </row>
    <row r="2503" spans="5:6">
      <c r="E2503" s="1"/>
      <c r="F2503" s="1"/>
    </row>
    <row r="2504" spans="5:6">
      <c r="E2504" s="1"/>
      <c r="F2504" s="1"/>
    </row>
    <row r="2505" spans="5:6">
      <c r="E2505" s="1"/>
      <c r="F2505" s="1"/>
    </row>
    <row r="2506" spans="5:6">
      <c r="E2506" s="1"/>
      <c r="F2506" s="1"/>
    </row>
    <row r="2507" spans="5:6">
      <c r="E2507" s="1"/>
      <c r="F2507" s="1"/>
    </row>
    <row r="2508" spans="5:6">
      <c r="E2508" s="1"/>
      <c r="F2508" s="1"/>
    </row>
    <row r="2509" spans="5:6">
      <c r="E2509" s="1"/>
      <c r="F2509" s="1"/>
    </row>
    <row r="2510" spans="5:6">
      <c r="E2510" s="1"/>
      <c r="F2510" s="1"/>
    </row>
    <row r="2511" spans="5:6">
      <c r="E2511" s="1"/>
      <c r="F2511" s="1"/>
    </row>
    <row r="2512" spans="5:6">
      <c r="E2512" s="1"/>
      <c r="F2512" s="1"/>
    </row>
    <row r="2513" spans="5:6">
      <c r="E2513" s="1"/>
      <c r="F2513" s="1"/>
    </row>
    <row r="2514" spans="5:6">
      <c r="E2514" s="1"/>
      <c r="F2514" s="1"/>
    </row>
    <row r="2515" spans="5:6">
      <c r="E2515" s="1"/>
      <c r="F2515" s="1"/>
    </row>
    <row r="2516" spans="5:6">
      <c r="E2516" s="1"/>
      <c r="F2516" s="1"/>
    </row>
    <row r="2517" spans="5:6">
      <c r="E2517" s="1"/>
      <c r="F2517" s="1"/>
    </row>
    <row r="2518" spans="5:6">
      <c r="E2518" s="1"/>
      <c r="F2518" s="1"/>
    </row>
    <row r="2519" spans="5:6">
      <c r="E2519" s="1"/>
      <c r="F2519" s="1"/>
    </row>
    <row r="2520" spans="5:6">
      <c r="E2520" s="1"/>
      <c r="F2520" s="1"/>
    </row>
    <row r="2521" spans="5:6">
      <c r="E2521" s="1"/>
      <c r="F2521" s="1"/>
    </row>
    <row r="2522" spans="5:6">
      <c r="E2522" s="1"/>
      <c r="F2522" s="1"/>
    </row>
    <row r="2523" spans="5:6">
      <c r="E2523" s="1"/>
      <c r="F2523" s="1"/>
    </row>
    <row r="2524" spans="5:6">
      <c r="E2524" s="1"/>
      <c r="F2524" s="1"/>
    </row>
    <row r="2525" spans="5:6">
      <c r="E2525" s="1"/>
      <c r="F2525" s="1"/>
    </row>
    <row r="2526" spans="5:6">
      <c r="E2526" s="1"/>
      <c r="F2526" s="1"/>
    </row>
    <row r="2527" spans="5:6">
      <c r="E2527" s="1"/>
      <c r="F2527" s="1"/>
    </row>
    <row r="2528" spans="5:6">
      <c r="E2528" s="1"/>
      <c r="F2528" s="1"/>
    </row>
    <row r="2529" spans="5:6">
      <c r="E2529" s="1"/>
      <c r="F2529" s="1"/>
    </row>
    <row r="2530" spans="5:6">
      <c r="E2530" s="1"/>
      <c r="F2530" s="1"/>
    </row>
    <row r="2531" spans="5:6">
      <c r="E2531" s="1"/>
      <c r="F2531" s="1"/>
    </row>
    <row r="2532" spans="5:6">
      <c r="E2532" s="1"/>
      <c r="F2532" s="1"/>
    </row>
    <row r="2533" spans="5:6">
      <c r="E2533" s="1"/>
      <c r="F2533" s="1"/>
    </row>
    <row r="2534" spans="5:6">
      <c r="E2534" s="1"/>
      <c r="F2534" s="1"/>
    </row>
    <row r="2535" spans="5:6">
      <c r="E2535" s="1"/>
      <c r="F2535" s="1"/>
    </row>
    <row r="2536" spans="5:6">
      <c r="E2536" s="1"/>
      <c r="F2536" s="1"/>
    </row>
    <row r="2537" spans="5:6">
      <c r="E2537" s="1"/>
      <c r="F2537" s="1"/>
    </row>
    <row r="2538" spans="5:6">
      <c r="E2538" s="1"/>
      <c r="F2538" s="1"/>
    </row>
    <row r="2539" spans="5:6">
      <c r="E2539" s="1"/>
      <c r="F2539" s="1"/>
    </row>
    <row r="2540" spans="5:6">
      <c r="E2540" s="1"/>
      <c r="F2540" s="1"/>
    </row>
    <row r="2541" spans="5:6">
      <c r="E2541" s="1"/>
      <c r="F2541" s="1"/>
    </row>
    <row r="2542" spans="5:6">
      <c r="E2542" s="1"/>
      <c r="F2542" s="1"/>
    </row>
    <row r="2543" spans="5:6">
      <c r="E2543" s="1"/>
      <c r="F2543" s="1"/>
    </row>
    <row r="2544" spans="5:6">
      <c r="E2544" s="1"/>
      <c r="F2544" s="1"/>
    </row>
    <row r="2545" spans="5:6">
      <c r="E2545" s="1"/>
      <c r="F2545" s="1"/>
    </row>
    <row r="2546" spans="5:6">
      <c r="E2546" s="1"/>
      <c r="F2546" s="1"/>
    </row>
    <row r="2547" spans="5:6">
      <c r="E2547" s="1"/>
      <c r="F2547" s="1"/>
    </row>
    <row r="2548" spans="5:6">
      <c r="E2548" s="1"/>
      <c r="F2548" s="1"/>
    </row>
    <row r="2549" spans="5:6">
      <c r="E2549" s="1"/>
      <c r="F2549" s="1"/>
    </row>
    <row r="2550" spans="5:6">
      <c r="E2550" s="1"/>
      <c r="F2550" s="1"/>
    </row>
    <row r="2551" spans="5:6">
      <c r="E2551" s="1"/>
      <c r="F2551" s="1"/>
    </row>
    <row r="2552" spans="5:6">
      <c r="E2552" s="1"/>
      <c r="F2552" s="1"/>
    </row>
    <row r="2553" spans="5:6">
      <c r="E2553" s="1"/>
      <c r="F2553" s="1"/>
    </row>
    <row r="2554" spans="5:6">
      <c r="E2554" s="1"/>
      <c r="F2554" s="1"/>
    </row>
    <row r="2555" spans="5:6">
      <c r="E2555" s="1"/>
      <c r="F2555" s="1"/>
    </row>
    <row r="2556" spans="5:6">
      <c r="E2556" s="1"/>
      <c r="F2556" s="1"/>
    </row>
    <row r="2557" spans="5:6">
      <c r="E2557" s="1"/>
      <c r="F2557" s="1"/>
    </row>
    <row r="2558" spans="5:6">
      <c r="E2558" s="1"/>
      <c r="F2558" s="1"/>
    </row>
    <row r="2559" spans="5:6">
      <c r="E2559" s="1"/>
      <c r="F2559" s="1"/>
    </row>
    <row r="2560" spans="5:6">
      <c r="E2560" s="1"/>
      <c r="F2560" s="1"/>
    </row>
    <row r="2561" spans="5:6">
      <c r="E2561" s="1"/>
      <c r="F2561" s="1"/>
    </row>
    <row r="2562" spans="5:6">
      <c r="E2562" s="1"/>
      <c r="F2562" s="1"/>
    </row>
    <row r="2563" spans="5:6">
      <c r="E2563" s="1"/>
      <c r="F2563" s="1"/>
    </row>
    <row r="2564" spans="5:6">
      <c r="E2564" s="1"/>
      <c r="F2564" s="1"/>
    </row>
    <row r="2565" spans="5:6">
      <c r="E2565" s="1"/>
      <c r="F2565" s="1"/>
    </row>
    <row r="2566" spans="5:6">
      <c r="E2566" s="1"/>
      <c r="F2566" s="1"/>
    </row>
    <row r="2567" spans="5:6">
      <c r="E2567" s="1"/>
      <c r="F2567" s="1"/>
    </row>
    <row r="2568" spans="5:6">
      <c r="E2568" s="1"/>
      <c r="F2568" s="1"/>
    </row>
    <row r="2569" spans="5:6">
      <c r="E2569" s="1"/>
      <c r="F2569" s="1"/>
    </row>
    <row r="2570" spans="5:6">
      <c r="E2570" s="1"/>
      <c r="F2570" s="1"/>
    </row>
    <row r="2571" spans="5:6">
      <c r="E2571" s="1"/>
      <c r="F2571" s="1"/>
    </row>
    <row r="2572" spans="5:6">
      <c r="E2572" s="1"/>
      <c r="F2572" s="1"/>
    </row>
    <row r="2573" spans="5:6">
      <c r="E2573" s="1"/>
      <c r="F2573" s="1"/>
    </row>
    <row r="2574" spans="5:6">
      <c r="E2574" s="1"/>
      <c r="F2574" s="1"/>
    </row>
    <row r="2575" spans="5:6">
      <c r="E2575" s="1"/>
      <c r="F2575" s="1"/>
    </row>
    <row r="2576" spans="5:6">
      <c r="E2576" s="1"/>
      <c r="F2576" s="1"/>
    </row>
    <row r="2577" spans="5:6">
      <c r="E2577" s="1"/>
      <c r="F2577" s="1"/>
    </row>
    <row r="2578" spans="5:6">
      <c r="E2578" s="1"/>
      <c r="F2578" s="1"/>
    </row>
    <row r="2579" spans="5:6">
      <c r="E2579" s="1"/>
      <c r="F2579" s="1"/>
    </row>
    <row r="2580" spans="5:6">
      <c r="E2580" s="1"/>
      <c r="F2580" s="1"/>
    </row>
    <row r="2581" spans="5:6">
      <c r="E2581" s="1"/>
      <c r="F2581" s="1"/>
    </row>
    <row r="2582" spans="5:6">
      <c r="E2582" s="1"/>
      <c r="F2582" s="1"/>
    </row>
    <row r="2583" spans="5:6">
      <c r="E2583" s="1"/>
      <c r="F2583" s="1"/>
    </row>
    <row r="2584" spans="5:6">
      <c r="E2584" s="1"/>
      <c r="F2584" s="1"/>
    </row>
    <row r="2585" spans="5:6">
      <c r="E2585" s="1"/>
      <c r="F2585" s="1"/>
    </row>
    <row r="2586" spans="5:6">
      <c r="E2586" s="1"/>
      <c r="F2586" s="1"/>
    </row>
    <row r="2587" spans="5:6">
      <c r="E2587" s="1"/>
      <c r="F2587" s="1"/>
    </row>
    <row r="2588" spans="5:6">
      <c r="E2588" s="1"/>
      <c r="F2588" s="1"/>
    </row>
    <row r="2589" spans="5:6">
      <c r="E2589" s="1"/>
      <c r="F2589" s="1"/>
    </row>
    <row r="2590" spans="5:6">
      <c r="E2590" s="1"/>
      <c r="F2590" s="1"/>
    </row>
    <row r="2591" spans="5:6">
      <c r="E2591" s="1"/>
      <c r="F2591" s="1"/>
    </row>
    <row r="2592" spans="5:6">
      <c r="E2592" s="1"/>
      <c r="F2592" s="1"/>
    </row>
    <row r="2593" spans="5:6">
      <c r="E2593" s="1"/>
      <c r="F2593" s="1"/>
    </row>
    <row r="2594" spans="5:6">
      <c r="E2594" s="1"/>
      <c r="F2594" s="1"/>
    </row>
    <row r="2595" spans="5:6">
      <c r="E2595" s="1"/>
      <c r="F2595" s="1"/>
    </row>
    <row r="2596" spans="5:6">
      <c r="E2596" s="1"/>
      <c r="F2596" s="1"/>
    </row>
    <row r="2597" spans="5:6">
      <c r="E2597" s="1"/>
      <c r="F2597" s="1"/>
    </row>
    <row r="2598" spans="5:6">
      <c r="E2598" s="1"/>
      <c r="F2598" s="1"/>
    </row>
    <row r="2599" spans="5:6">
      <c r="E2599" s="1"/>
      <c r="F2599" s="1"/>
    </row>
    <row r="2600" spans="5:6">
      <c r="E2600" s="1"/>
      <c r="F2600" s="1"/>
    </row>
    <row r="2601" spans="5:6">
      <c r="E2601" s="1"/>
      <c r="F2601" s="1"/>
    </row>
    <row r="2602" spans="5:6">
      <c r="E2602" s="1"/>
      <c r="F2602" s="1"/>
    </row>
    <row r="2603" spans="5:6">
      <c r="E2603" s="1"/>
      <c r="F2603" s="1"/>
    </row>
    <row r="2604" spans="5:6">
      <c r="E2604" s="1"/>
      <c r="F2604" s="1"/>
    </row>
    <row r="2605" spans="5:6">
      <c r="E2605" s="1"/>
      <c r="F2605" s="1"/>
    </row>
    <row r="2606" spans="5:6">
      <c r="E2606" s="1"/>
      <c r="F2606" s="1"/>
    </row>
    <row r="2607" spans="5:6">
      <c r="E2607" s="1"/>
      <c r="F2607" s="1"/>
    </row>
    <row r="2608" spans="5:6">
      <c r="E2608" s="1"/>
      <c r="F2608" s="1"/>
    </row>
    <row r="2609" spans="5:6">
      <c r="E2609" s="1"/>
      <c r="F2609" s="1"/>
    </row>
    <row r="2610" spans="5:6">
      <c r="E2610" s="1"/>
      <c r="F2610" s="1"/>
    </row>
    <row r="2611" spans="5:6">
      <c r="E2611" s="1"/>
      <c r="F2611" s="1"/>
    </row>
    <row r="2612" spans="5:6">
      <c r="E2612" s="1"/>
      <c r="F2612" s="1"/>
    </row>
    <row r="2613" spans="5:6">
      <c r="E2613" s="1"/>
      <c r="F2613" s="1"/>
    </row>
    <row r="2614" spans="5:6">
      <c r="E2614" s="1"/>
      <c r="F2614" s="1"/>
    </row>
    <row r="2615" spans="5:6">
      <c r="E2615" s="1"/>
      <c r="F2615" s="1"/>
    </row>
    <row r="2616" spans="5:6">
      <c r="E2616" s="1"/>
      <c r="F2616" s="1"/>
    </row>
    <row r="2617" spans="5:6">
      <c r="E2617" s="1"/>
      <c r="F2617" s="1"/>
    </row>
    <row r="2618" spans="5:6">
      <c r="E2618" s="1"/>
      <c r="F2618" s="1"/>
    </row>
    <row r="2619" spans="5:6">
      <c r="E2619" s="1"/>
      <c r="F2619" s="1"/>
    </row>
    <row r="2620" spans="5:6">
      <c r="E2620" s="1"/>
      <c r="F2620" s="1"/>
    </row>
    <row r="2621" spans="5:6">
      <c r="E2621" s="1"/>
      <c r="F2621" s="1"/>
    </row>
    <row r="2622" spans="5:6">
      <c r="E2622" s="1"/>
      <c r="F2622" s="1"/>
    </row>
    <row r="2623" spans="5:6">
      <c r="E2623" s="1"/>
      <c r="F2623" s="1"/>
    </row>
    <row r="2624" spans="5:6">
      <c r="E2624" s="1"/>
      <c r="F2624" s="1"/>
    </row>
    <row r="2625" spans="5:6">
      <c r="E2625" s="1"/>
      <c r="F2625" s="1"/>
    </row>
    <row r="2626" spans="5:6">
      <c r="E2626" s="1"/>
      <c r="F2626" s="1"/>
    </row>
    <row r="2627" spans="5:6">
      <c r="E2627" s="1"/>
      <c r="F2627" s="1"/>
    </row>
    <row r="2628" spans="5:6">
      <c r="E2628" s="1"/>
      <c r="F2628" s="1"/>
    </row>
    <row r="2629" spans="5:6">
      <c r="E2629" s="1"/>
      <c r="F2629" s="1"/>
    </row>
    <row r="2630" spans="5:6">
      <c r="E2630" s="1"/>
      <c r="F2630" s="1"/>
    </row>
    <row r="2631" spans="5:6">
      <c r="E2631" s="1"/>
      <c r="F2631" s="1"/>
    </row>
    <row r="2632" spans="5:6">
      <c r="E2632" s="1"/>
      <c r="F2632" s="1"/>
    </row>
    <row r="2633" spans="5:6">
      <c r="E2633" s="1"/>
      <c r="F2633" s="1"/>
    </row>
    <row r="2634" spans="5:6">
      <c r="E2634" s="1"/>
      <c r="F2634" s="1"/>
    </row>
    <row r="2635" spans="5:6">
      <c r="E2635" s="1"/>
      <c r="F2635" s="1"/>
    </row>
    <row r="2636" spans="5:6">
      <c r="E2636" s="1"/>
      <c r="F2636" s="1"/>
    </row>
    <row r="2637" spans="5:6">
      <c r="E2637" s="1"/>
      <c r="F2637" s="1"/>
    </row>
    <row r="2638" spans="5:6">
      <c r="E2638" s="1"/>
      <c r="F2638" s="1"/>
    </row>
    <row r="2639" spans="5:6">
      <c r="E2639" s="1"/>
      <c r="F2639" s="1"/>
    </row>
    <row r="2640" spans="5:6">
      <c r="E2640" s="1"/>
      <c r="F2640" s="1"/>
    </row>
    <row r="2641" spans="5:6">
      <c r="E2641" s="1"/>
      <c r="F2641" s="1"/>
    </row>
    <row r="2642" spans="5:6">
      <c r="E2642" s="1"/>
      <c r="F2642" s="1"/>
    </row>
    <row r="2643" spans="5:6">
      <c r="E2643" s="1"/>
      <c r="F2643" s="1"/>
    </row>
    <row r="2644" spans="5:6">
      <c r="E2644" s="1"/>
      <c r="F2644" s="1"/>
    </row>
    <row r="2645" spans="5:6">
      <c r="E2645" s="1"/>
      <c r="F2645" s="1"/>
    </row>
    <row r="2646" spans="5:6">
      <c r="E2646" s="1"/>
      <c r="F2646" s="1"/>
    </row>
    <row r="2647" spans="5:6">
      <c r="E2647" s="1"/>
      <c r="F2647" s="1"/>
    </row>
    <row r="2648" spans="5:6">
      <c r="E2648" s="1"/>
      <c r="F2648" s="1"/>
    </row>
    <row r="2649" spans="5:6">
      <c r="E2649" s="1"/>
      <c r="F2649" s="1"/>
    </row>
    <row r="2650" spans="5:6">
      <c r="E2650" s="1"/>
      <c r="F2650" s="1"/>
    </row>
    <row r="2651" spans="5:6">
      <c r="E2651" s="1"/>
      <c r="F2651" s="1"/>
    </row>
    <row r="2652" spans="5:6">
      <c r="E2652" s="1"/>
      <c r="F2652" s="1"/>
    </row>
    <row r="2653" spans="5:6">
      <c r="E2653" s="1"/>
      <c r="F2653" s="1"/>
    </row>
    <row r="2654" spans="5:6">
      <c r="E2654" s="1"/>
      <c r="F2654" s="1"/>
    </row>
    <row r="2655" spans="5:6">
      <c r="E2655" s="1"/>
      <c r="F2655" s="1"/>
    </row>
    <row r="2656" spans="5:6">
      <c r="E2656" s="1"/>
      <c r="F2656" s="1"/>
    </row>
    <row r="2657" spans="5:6">
      <c r="E2657" s="1"/>
      <c r="F2657" s="1"/>
    </row>
    <row r="2658" spans="5:6">
      <c r="E2658" s="1"/>
      <c r="F2658" s="1"/>
    </row>
    <row r="2659" spans="5:6">
      <c r="E2659" s="1"/>
      <c r="F2659" s="1"/>
    </row>
    <row r="2660" spans="5:6">
      <c r="E2660" s="1"/>
      <c r="F2660" s="1"/>
    </row>
    <row r="2661" spans="5:6">
      <c r="E2661" s="1"/>
      <c r="F2661" s="1"/>
    </row>
    <row r="2662" spans="5:6">
      <c r="E2662" s="1"/>
      <c r="F2662" s="1"/>
    </row>
    <row r="2663" spans="5:6">
      <c r="E2663" s="1"/>
      <c r="F2663" s="1"/>
    </row>
    <row r="2664" spans="5:6">
      <c r="E2664" s="1"/>
      <c r="F2664" s="1"/>
    </row>
    <row r="2665" spans="5:6">
      <c r="E2665" s="1"/>
      <c r="F2665" s="1"/>
    </row>
    <row r="2666" spans="5:6">
      <c r="E2666" s="1"/>
      <c r="F2666" s="1"/>
    </row>
    <row r="2667" spans="5:6">
      <c r="E2667" s="1"/>
      <c r="F2667" s="1"/>
    </row>
    <row r="2668" spans="5:6">
      <c r="E2668" s="1"/>
      <c r="F2668" s="1"/>
    </row>
    <row r="2669" spans="5:6">
      <c r="E2669" s="1"/>
      <c r="F2669" s="1"/>
    </row>
    <row r="2670" spans="5:6">
      <c r="E2670" s="1"/>
      <c r="F2670" s="1"/>
    </row>
    <row r="2671" spans="5:6">
      <c r="E2671" s="1"/>
      <c r="F2671" s="1"/>
    </row>
    <row r="2672" spans="5:6">
      <c r="E2672" s="1"/>
      <c r="F2672" s="1"/>
    </row>
    <row r="2673" spans="5:6">
      <c r="E2673" s="1"/>
      <c r="F2673" s="1"/>
    </row>
    <row r="2674" spans="5:6">
      <c r="E2674" s="1"/>
      <c r="F2674" s="1"/>
    </row>
    <row r="2675" spans="5:6">
      <c r="E2675" s="1"/>
      <c r="F2675" s="1"/>
    </row>
    <row r="2676" spans="5:6">
      <c r="E2676" s="1"/>
      <c r="F2676" s="1"/>
    </row>
    <row r="2677" spans="5:6">
      <c r="E2677" s="1"/>
      <c r="F2677" s="1"/>
    </row>
    <row r="2678" spans="5:6">
      <c r="E2678" s="1"/>
      <c r="F2678" s="1"/>
    </row>
    <row r="2679" spans="5:6">
      <c r="E2679" s="1"/>
      <c r="F2679" s="1"/>
    </row>
    <row r="2680" spans="5:6">
      <c r="E2680" s="1"/>
      <c r="F2680" s="1"/>
    </row>
    <row r="2681" spans="5:6">
      <c r="E2681" s="1"/>
      <c r="F2681" s="1"/>
    </row>
    <row r="2682" spans="5:6">
      <c r="E2682" s="1"/>
      <c r="F2682" s="1"/>
    </row>
    <row r="2683" spans="5:6">
      <c r="E2683" s="1"/>
      <c r="F2683" s="1"/>
    </row>
    <row r="2684" spans="5:6">
      <c r="E2684" s="1"/>
      <c r="F2684" s="1"/>
    </row>
    <row r="2685" spans="5:6">
      <c r="E2685" s="1"/>
      <c r="F2685" s="1"/>
    </row>
    <row r="2686" spans="5:6">
      <c r="E2686" s="1"/>
      <c r="F2686" s="1"/>
    </row>
    <row r="2687" spans="5:6">
      <c r="E2687" s="1"/>
      <c r="F2687" s="1"/>
    </row>
    <row r="2688" spans="5:6">
      <c r="E2688" s="1"/>
      <c r="F2688" s="1"/>
    </row>
    <row r="2689" spans="5:6">
      <c r="E2689" s="1"/>
      <c r="F2689" s="1"/>
    </row>
    <row r="2690" spans="5:6">
      <c r="E2690" s="1"/>
      <c r="F2690" s="1"/>
    </row>
    <row r="2691" spans="5:6">
      <c r="E2691" s="1"/>
      <c r="F2691" s="1"/>
    </row>
    <row r="2692" spans="5:6">
      <c r="E2692" s="1"/>
      <c r="F2692" s="1"/>
    </row>
    <row r="2693" spans="5:6">
      <c r="E2693" s="1"/>
      <c r="F2693" s="1"/>
    </row>
    <row r="2694" spans="5:6">
      <c r="E2694" s="1"/>
      <c r="F2694" s="1"/>
    </row>
    <row r="2695" spans="5:6">
      <c r="E2695" s="1"/>
      <c r="F2695" s="1"/>
    </row>
    <row r="2696" spans="5:6">
      <c r="E2696" s="1"/>
      <c r="F2696" s="1"/>
    </row>
    <row r="2697" spans="5:6">
      <c r="E2697" s="1"/>
      <c r="F2697" s="1"/>
    </row>
    <row r="2698" spans="5:6">
      <c r="E2698" s="1"/>
      <c r="F2698" s="1"/>
    </row>
    <row r="2699" spans="5:6">
      <c r="E2699" s="1"/>
      <c r="F2699" s="1"/>
    </row>
    <row r="2700" spans="5:6">
      <c r="E2700" s="1"/>
      <c r="F2700" s="1"/>
    </row>
    <row r="2701" spans="5:6">
      <c r="E2701" s="1"/>
      <c r="F2701" s="1"/>
    </row>
    <row r="2702" spans="5:6">
      <c r="E2702" s="1"/>
      <c r="F2702" s="1"/>
    </row>
    <row r="2703" spans="5:6">
      <c r="E2703" s="1"/>
      <c r="F2703" s="1"/>
    </row>
    <row r="2704" spans="5:6">
      <c r="E2704" s="1"/>
      <c r="F2704" s="1"/>
    </row>
    <row r="2705" spans="5:6">
      <c r="E2705" s="1"/>
      <c r="F2705" s="1"/>
    </row>
    <row r="2706" spans="5:6">
      <c r="E2706" s="1"/>
      <c r="F2706" s="1"/>
    </row>
    <row r="2707" spans="5:6">
      <c r="E2707" s="1"/>
      <c r="F2707" s="1"/>
    </row>
    <row r="2708" spans="5:6">
      <c r="E2708" s="1"/>
      <c r="F2708" s="1"/>
    </row>
    <row r="2709" spans="5:6">
      <c r="E2709" s="1"/>
      <c r="F2709" s="1"/>
    </row>
    <row r="2710" spans="5:6">
      <c r="E2710" s="1"/>
      <c r="F2710" s="1"/>
    </row>
    <row r="2711" spans="5:6">
      <c r="E2711" s="1"/>
      <c r="F2711" s="1"/>
    </row>
    <row r="2712" spans="5:6">
      <c r="E2712" s="1"/>
      <c r="F2712" s="1"/>
    </row>
    <row r="2713" spans="5:6">
      <c r="E2713" s="1"/>
      <c r="F2713" s="1"/>
    </row>
    <row r="2714" spans="5:6">
      <c r="E2714" s="1"/>
      <c r="F2714" s="1"/>
    </row>
    <row r="2715" spans="5:6">
      <c r="E2715" s="1"/>
      <c r="F2715" s="1"/>
    </row>
    <row r="2716" spans="5:6">
      <c r="E2716" s="1"/>
      <c r="F2716" s="1"/>
    </row>
    <row r="2717" spans="5:6">
      <c r="E2717" s="1"/>
      <c r="F2717" s="1"/>
    </row>
    <row r="2718" spans="5:6">
      <c r="E2718" s="1"/>
      <c r="F2718" s="1"/>
    </row>
    <row r="2719" spans="5:6">
      <c r="E2719" s="1"/>
      <c r="F2719" s="1"/>
    </row>
    <row r="2720" spans="5:6">
      <c r="E2720" s="1"/>
      <c r="F2720" s="1"/>
    </row>
    <row r="2721" spans="5:6">
      <c r="E2721" s="1"/>
      <c r="F2721" s="1"/>
    </row>
    <row r="2722" spans="5:6">
      <c r="E2722" s="1"/>
      <c r="F2722" s="1"/>
    </row>
    <row r="2723" spans="5:6">
      <c r="E2723" s="1"/>
      <c r="F2723" s="1"/>
    </row>
    <row r="2724" spans="5:6">
      <c r="E2724" s="1"/>
      <c r="F2724" s="1"/>
    </row>
    <row r="2725" spans="5:6">
      <c r="E2725" s="1"/>
      <c r="F2725" s="1"/>
    </row>
    <row r="2726" spans="5:6">
      <c r="E2726" s="1"/>
      <c r="F2726" s="1"/>
    </row>
    <row r="2727" spans="5:6">
      <c r="E2727" s="1"/>
      <c r="F2727" s="1"/>
    </row>
    <row r="2728" spans="5:6">
      <c r="E2728" s="1"/>
      <c r="F2728" s="1"/>
    </row>
    <row r="2729" spans="5:6">
      <c r="E2729" s="1"/>
      <c r="F2729" s="1"/>
    </row>
    <row r="2730" spans="5:6">
      <c r="E2730" s="1"/>
      <c r="F2730" s="1"/>
    </row>
    <row r="2731" spans="5:6">
      <c r="E2731" s="1"/>
      <c r="F2731" s="1"/>
    </row>
    <row r="2732" spans="5:6">
      <c r="E2732" s="1"/>
      <c r="F2732" s="1"/>
    </row>
    <row r="2733" spans="5:6">
      <c r="E2733" s="1"/>
      <c r="F2733" s="1"/>
    </row>
    <row r="2734" spans="5:6">
      <c r="E2734" s="1"/>
      <c r="F2734" s="1"/>
    </row>
    <row r="2735" spans="5:6">
      <c r="E2735" s="1"/>
      <c r="F2735" s="1"/>
    </row>
    <row r="2736" spans="5:6">
      <c r="E2736" s="1"/>
      <c r="F2736" s="1"/>
    </row>
    <row r="2737" spans="5:6">
      <c r="E2737" s="1"/>
      <c r="F2737" s="1"/>
    </row>
    <row r="2738" spans="5:6">
      <c r="E2738" s="1"/>
      <c r="F2738" s="1"/>
    </row>
    <row r="2739" spans="5:6">
      <c r="E2739" s="1"/>
      <c r="F2739" s="1"/>
    </row>
    <row r="2740" spans="5:6">
      <c r="E2740" s="1"/>
      <c r="F2740" s="1"/>
    </row>
    <row r="2741" spans="5:6">
      <c r="E2741" s="1"/>
      <c r="F2741" s="1"/>
    </row>
    <row r="2742" spans="5:6">
      <c r="E2742" s="1"/>
      <c r="F2742" s="1"/>
    </row>
    <row r="2743" spans="5:6">
      <c r="E2743" s="1"/>
      <c r="F2743" s="1"/>
    </row>
    <row r="2744" spans="5:6">
      <c r="E2744" s="1"/>
      <c r="F2744" s="1"/>
    </row>
    <row r="2745" spans="5:6">
      <c r="E2745" s="1"/>
      <c r="F2745" s="1"/>
    </row>
    <row r="2746" spans="5:6">
      <c r="E2746" s="1"/>
      <c r="F2746" s="1"/>
    </row>
    <row r="2747" spans="5:6">
      <c r="E2747" s="1"/>
      <c r="F2747" s="1"/>
    </row>
    <row r="2748" spans="5:6">
      <c r="E2748" s="1"/>
      <c r="F2748" s="1"/>
    </row>
    <row r="2749" spans="5:6">
      <c r="E2749" s="1"/>
      <c r="F2749" s="1"/>
    </row>
    <row r="2750" spans="5:6">
      <c r="E2750" s="1"/>
      <c r="F2750" s="1"/>
    </row>
    <row r="2751" spans="5:6">
      <c r="E2751" s="1"/>
      <c r="F2751" s="1"/>
    </row>
    <row r="2752" spans="5:6">
      <c r="E2752" s="1"/>
      <c r="F2752" s="1"/>
    </row>
    <row r="2753" spans="5:6">
      <c r="E2753" s="1"/>
      <c r="F2753" s="1"/>
    </row>
    <row r="2754" spans="5:6">
      <c r="E2754" s="1"/>
      <c r="F2754" s="1"/>
    </row>
    <row r="2755" spans="5:6">
      <c r="E2755" s="1"/>
      <c r="F2755" s="1"/>
    </row>
    <row r="2756" spans="5:6">
      <c r="E2756" s="1"/>
      <c r="F2756" s="1"/>
    </row>
    <row r="2757" spans="5:6">
      <c r="E2757" s="1"/>
      <c r="F2757" s="1"/>
    </row>
    <row r="2758" spans="5:6">
      <c r="E2758" s="1"/>
      <c r="F2758" s="1"/>
    </row>
    <row r="2759" spans="5:6">
      <c r="E2759" s="1"/>
      <c r="F2759" s="1"/>
    </row>
    <row r="2760" spans="5:6">
      <c r="E2760" s="1"/>
      <c r="F2760" s="1"/>
    </row>
    <row r="2761" spans="5:6">
      <c r="E2761" s="1"/>
      <c r="F2761" s="1"/>
    </row>
    <row r="2762" spans="5:6">
      <c r="E2762" s="1"/>
      <c r="F2762" s="1"/>
    </row>
    <row r="2763" spans="5:6">
      <c r="E2763" s="1"/>
      <c r="F2763" s="1"/>
    </row>
    <row r="2764" spans="5:6">
      <c r="E2764" s="1"/>
      <c r="F2764" s="1"/>
    </row>
    <row r="2765" spans="5:6">
      <c r="E2765" s="1"/>
      <c r="F2765" s="1"/>
    </row>
    <row r="2766" spans="5:6">
      <c r="E2766" s="1"/>
      <c r="F2766" s="1"/>
    </row>
    <row r="2767" spans="5:6">
      <c r="E2767" s="1"/>
      <c r="F2767" s="1"/>
    </row>
    <row r="2768" spans="5:6">
      <c r="E2768" s="1"/>
      <c r="F2768" s="1"/>
    </row>
    <row r="2769" spans="5:6">
      <c r="E2769" s="1"/>
      <c r="F2769" s="1"/>
    </row>
    <row r="2770" spans="5:6">
      <c r="E2770" s="1"/>
      <c r="F2770" s="1"/>
    </row>
    <row r="2771" spans="5:6">
      <c r="E2771" s="1"/>
      <c r="F2771" s="1"/>
    </row>
    <row r="2772" spans="5:6">
      <c r="E2772" s="1"/>
      <c r="F2772" s="1"/>
    </row>
    <row r="2773" spans="5:6">
      <c r="E2773" s="1"/>
      <c r="F2773" s="1"/>
    </row>
    <row r="2774" spans="5:6">
      <c r="E2774" s="1"/>
      <c r="F2774" s="1"/>
    </row>
    <row r="2775" spans="5:6">
      <c r="E2775" s="1"/>
      <c r="F2775" s="1"/>
    </row>
    <row r="2776" spans="5:6">
      <c r="E2776" s="1"/>
      <c r="F2776" s="1"/>
    </row>
    <row r="2777" spans="5:6">
      <c r="E2777" s="1"/>
      <c r="F2777" s="1"/>
    </row>
    <row r="2778" spans="5:6">
      <c r="E2778" s="1"/>
      <c r="F2778" s="1"/>
    </row>
    <row r="2779" spans="5:6">
      <c r="E2779" s="1"/>
      <c r="F2779" s="1"/>
    </row>
    <row r="2780" spans="5:6">
      <c r="E2780" s="1"/>
      <c r="F2780" s="1"/>
    </row>
    <row r="2781" spans="5:6">
      <c r="E2781" s="1"/>
      <c r="F2781" s="1"/>
    </row>
    <row r="2782" spans="5:6">
      <c r="E2782" s="1"/>
      <c r="F2782" s="1"/>
    </row>
    <row r="2783" spans="5:6">
      <c r="E2783" s="1"/>
      <c r="F2783" s="1"/>
    </row>
    <row r="2784" spans="5:6">
      <c r="E2784" s="1"/>
      <c r="F2784" s="1"/>
    </row>
    <row r="2785" spans="5:6">
      <c r="E2785" s="1"/>
      <c r="F2785" s="1"/>
    </row>
    <row r="2786" spans="5:6">
      <c r="E2786" s="1"/>
      <c r="F2786" s="1"/>
    </row>
    <row r="2787" spans="5:6">
      <c r="E2787" s="1"/>
      <c r="F2787" s="1"/>
    </row>
    <row r="2788" spans="5:6">
      <c r="E2788" s="1"/>
      <c r="F2788" s="1"/>
    </row>
    <row r="2789" spans="5:6">
      <c r="E2789" s="1"/>
      <c r="F2789" s="1"/>
    </row>
    <row r="2790" spans="5:6">
      <c r="E2790" s="1"/>
      <c r="F2790" s="1"/>
    </row>
    <row r="2791" spans="5:6">
      <c r="E2791" s="1"/>
      <c r="F2791" s="1"/>
    </row>
    <row r="2792" spans="5:6">
      <c r="E2792" s="1"/>
      <c r="F2792" s="1"/>
    </row>
    <row r="2793" spans="5:6">
      <c r="E2793" s="1"/>
      <c r="F2793" s="1"/>
    </row>
    <row r="2794" spans="5:6">
      <c r="E2794" s="1"/>
      <c r="F2794" s="1"/>
    </row>
    <row r="2795" spans="5:6">
      <c r="E2795" s="1"/>
      <c r="F2795" s="1"/>
    </row>
    <row r="2796" spans="5:6">
      <c r="E2796" s="1"/>
      <c r="F2796" s="1"/>
    </row>
    <row r="2797" spans="5:6">
      <c r="E2797" s="1"/>
      <c r="F2797" s="1"/>
    </row>
    <row r="2798" spans="5:6">
      <c r="E2798" s="1"/>
      <c r="F2798" s="1"/>
    </row>
    <row r="2799" spans="5:6">
      <c r="E2799" s="1"/>
      <c r="F2799" s="1"/>
    </row>
    <row r="2800" spans="5:6">
      <c r="E2800" s="1"/>
      <c r="F2800" s="1"/>
    </row>
    <row r="2801" spans="5:6">
      <c r="E2801" s="1"/>
      <c r="F2801" s="1"/>
    </row>
    <row r="2802" spans="5:6">
      <c r="E2802" s="1"/>
      <c r="F2802" s="1"/>
    </row>
    <row r="2803" spans="5:6">
      <c r="E2803" s="1"/>
      <c r="F2803" s="1"/>
    </row>
    <row r="2804" spans="5:6">
      <c r="E2804" s="1"/>
      <c r="F2804" s="1"/>
    </row>
    <row r="2805" spans="5:6">
      <c r="E2805" s="1"/>
      <c r="F2805" s="1"/>
    </row>
    <row r="2806" spans="5:6">
      <c r="E2806" s="1"/>
      <c r="F2806" s="1"/>
    </row>
    <row r="2807" spans="5:6">
      <c r="E2807" s="1"/>
      <c r="F2807" s="1"/>
    </row>
    <row r="2808" spans="5:6">
      <c r="E2808" s="1"/>
      <c r="F2808" s="1"/>
    </row>
    <row r="2809" spans="5:6">
      <c r="E2809" s="1"/>
      <c r="F2809" s="1"/>
    </row>
    <row r="2810" spans="5:6">
      <c r="E2810" s="1"/>
      <c r="F2810" s="1"/>
    </row>
    <row r="2811" spans="5:6">
      <c r="E2811" s="1"/>
      <c r="F2811" s="1"/>
    </row>
    <row r="2812" spans="5:6">
      <c r="E2812" s="1"/>
      <c r="F2812" s="1"/>
    </row>
    <row r="2813" spans="5:6">
      <c r="E2813" s="1"/>
      <c r="F2813" s="1"/>
    </row>
    <row r="2814" spans="5:6">
      <c r="E2814" s="1"/>
      <c r="F2814" s="1"/>
    </row>
    <row r="2815" spans="5:6">
      <c r="E2815" s="1"/>
      <c r="F2815" s="1"/>
    </row>
    <row r="2816" spans="5:6">
      <c r="E2816" s="1"/>
      <c r="F2816" s="1"/>
    </row>
    <row r="2817" spans="5:6">
      <c r="E2817" s="1"/>
      <c r="F2817" s="1"/>
    </row>
    <row r="2818" spans="5:6">
      <c r="E2818" s="1"/>
      <c r="F2818" s="1"/>
    </row>
    <row r="2819" spans="5:6">
      <c r="E2819" s="1"/>
      <c r="F2819" s="1"/>
    </row>
    <row r="2820" spans="5:6">
      <c r="E2820" s="1"/>
      <c r="F2820" s="1"/>
    </row>
    <row r="2821" spans="5:6">
      <c r="E2821" s="1"/>
      <c r="F2821" s="1"/>
    </row>
    <row r="2822" spans="5:6">
      <c r="E2822" s="1"/>
      <c r="F2822" s="1"/>
    </row>
    <row r="2823" spans="5:6">
      <c r="E2823" s="1"/>
      <c r="F2823" s="1"/>
    </row>
    <row r="2824" spans="5:6">
      <c r="E2824" s="1"/>
      <c r="F2824" s="1"/>
    </row>
    <row r="2825" spans="5:6">
      <c r="E2825" s="1"/>
      <c r="F2825" s="1"/>
    </row>
    <row r="2826" spans="5:6">
      <c r="E2826" s="1"/>
      <c r="F2826" s="1"/>
    </row>
    <row r="2827" spans="5:6">
      <c r="E2827" s="1"/>
      <c r="F2827" s="1"/>
    </row>
    <row r="2828" spans="5:6">
      <c r="E2828" s="1"/>
      <c r="F2828" s="1"/>
    </row>
    <row r="2829" spans="5:6">
      <c r="E2829" s="1"/>
      <c r="F2829" s="1"/>
    </row>
    <row r="2830" spans="5:6">
      <c r="E2830" s="1"/>
      <c r="F2830" s="1"/>
    </row>
    <row r="2831" spans="5:6">
      <c r="E2831" s="1"/>
      <c r="F2831" s="1"/>
    </row>
    <row r="2832" spans="5:6">
      <c r="E2832" s="1"/>
      <c r="F2832" s="1"/>
    </row>
    <row r="2833" spans="5:6">
      <c r="E2833" s="1"/>
      <c r="F2833" s="1"/>
    </row>
    <row r="2834" spans="5:6">
      <c r="E2834" s="1"/>
      <c r="F2834" s="1"/>
    </row>
    <row r="2835" spans="5:6">
      <c r="E2835" s="1"/>
      <c r="F2835" s="1"/>
    </row>
    <row r="2836" spans="5:6">
      <c r="E2836" s="1"/>
      <c r="F2836" s="1"/>
    </row>
    <row r="2837" spans="5:6">
      <c r="E2837" s="1"/>
      <c r="F2837" s="1"/>
    </row>
    <row r="2838" spans="5:6">
      <c r="E2838" s="1"/>
      <c r="F2838" s="1"/>
    </row>
    <row r="2839" spans="5:6">
      <c r="E2839" s="1"/>
      <c r="F2839" s="1"/>
    </row>
    <row r="2840" spans="5:6">
      <c r="E2840" s="1"/>
      <c r="F2840" s="1"/>
    </row>
    <row r="2841" spans="5:6">
      <c r="E2841" s="1"/>
      <c r="F2841" s="1"/>
    </row>
    <row r="2842" spans="5:6">
      <c r="E2842" s="1"/>
      <c r="F2842" s="1"/>
    </row>
    <row r="2843" spans="5:6">
      <c r="E2843" s="1"/>
      <c r="F2843" s="1"/>
    </row>
    <row r="2844" spans="5:6">
      <c r="E2844" s="1"/>
      <c r="F2844" s="1"/>
    </row>
    <row r="2845" spans="5:6">
      <c r="E2845" s="1"/>
      <c r="F2845" s="1"/>
    </row>
    <row r="2846" spans="5:6">
      <c r="E2846" s="1"/>
      <c r="F2846" s="1"/>
    </row>
    <row r="2847" spans="5:6">
      <c r="E2847" s="1"/>
      <c r="F2847" s="1"/>
    </row>
    <row r="2848" spans="5:6">
      <c r="E2848" s="1"/>
      <c r="F2848" s="1"/>
    </row>
    <row r="2849" spans="5:6">
      <c r="E2849" s="1"/>
      <c r="F2849" s="1"/>
    </row>
    <row r="2850" spans="5:6">
      <c r="E2850" s="1"/>
      <c r="F2850" s="1"/>
    </row>
    <row r="2851" spans="5:6">
      <c r="E2851" s="1"/>
      <c r="F2851" s="1"/>
    </row>
    <row r="2852" spans="5:6">
      <c r="E2852" s="1"/>
      <c r="F2852" s="1"/>
    </row>
    <row r="2853" spans="5:6">
      <c r="E2853" s="1"/>
      <c r="F2853" s="1"/>
    </row>
    <row r="2854" spans="5:6">
      <c r="E2854" s="1"/>
      <c r="F2854" s="1"/>
    </row>
    <row r="2855" spans="5:6">
      <c r="E2855" s="1"/>
      <c r="F2855" s="1"/>
    </row>
    <row r="2856" spans="5:6">
      <c r="E2856" s="1"/>
      <c r="F2856" s="1"/>
    </row>
    <row r="2857" spans="5:6">
      <c r="E2857" s="1"/>
      <c r="F2857" s="1"/>
    </row>
    <row r="2858" spans="5:6">
      <c r="E2858" s="1"/>
      <c r="F2858" s="1"/>
    </row>
    <row r="2859" spans="5:6">
      <c r="E2859" s="1"/>
      <c r="F2859" s="1"/>
    </row>
    <row r="2860" spans="5:6">
      <c r="E2860" s="1"/>
      <c r="F2860" s="1"/>
    </row>
    <row r="2861" spans="5:6">
      <c r="E2861" s="1"/>
      <c r="F2861" s="1"/>
    </row>
    <row r="2862" spans="5:6">
      <c r="E2862" s="1"/>
      <c r="F2862" s="1"/>
    </row>
    <row r="2863" spans="5:6">
      <c r="E2863" s="1"/>
      <c r="F2863" s="1"/>
    </row>
    <row r="2864" spans="5:6">
      <c r="E2864" s="1"/>
      <c r="F2864" s="1"/>
    </row>
    <row r="2865" spans="5:6">
      <c r="E2865" s="1"/>
      <c r="F2865" s="1"/>
    </row>
    <row r="2866" spans="5:6">
      <c r="E2866" s="1"/>
      <c r="F2866" s="1"/>
    </row>
    <row r="2867" spans="5:6">
      <c r="E2867" s="1"/>
      <c r="F2867" s="1"/>
    </row>
    <row r="2868" spans="5:6">
      <c r="E2868" s="1"/>
      <c r="F2868" s="1"/>
    </row>
    <row r="2869" spans="5:6">
      <c r="E2869" s="1"/>
      <c r="F2869" s="1"/>
    </row>
    <row r="2870" spans="5:6">
      <c r="E2870" s="1"/>
      <c r="F2870" s="1"/>
    </row>
    <row r="2871" spans="5:6">
      <c r="E2871" s="1"/>
      <c r="F2871" s="1"/>
    </row>
    <row r="2872" spans="5:6">
      <c r="E2872" s="1"/>
      <c r="F2872" s="1"/>
    </row>
    <row r="2873" spans="5:6">
      <c r="E2873" s="1"/>
      <c r="F2873" s="1"/>
    </row>
    <row r="2874" spans="5:6">
      <c r="E2874" s="1"/>
      <c r="F2874" s="1"/>
    </row>
    <row r="2875" spans="5:6">
      <c r="E2875" s="1"/>
      <c r="F2875" s="1"/>
    </row>
    <row r="2876" spans="5:6">
      <c r="E2876" s="1"/>
      <c r="F2876" s="1"/>
    </row>
    <row r="2877" spans="5:6">
      <c r="E2877" s="1"/>
      <c r="F2877" s="1"/>
    </row>
    <row r="2878" spans="5:6">
      <c r="E2878" s="1"/>
      <c r="F2878" s="1"/>
    </row>
    <row r="2879" spans="5:6">
      <c r="E2879" s="1"/>
      <c r="F2879" s="1"/>
    </row>
    <row r="2880" spans="5:6">
      <c r="E2880" s="1"/>
      <c r="F2880" s="1"/>
    </row>
    <row r="2881" spans="5:6">
      <c r="E2881" s="1"/>
      <c r="F2881" s="1"/>
    </row>
    <row r="2882" spans="5:6">
      <c r="E2882" s="1"/>
      <c r="F2882" s="1"/>
    </row>
    <row r="2883" spans="5:6">
      <c r="E2883" s="1"/>
      <c r="F2883" s="1"/>
    </row>
    <row r="2884" spans="5:6">
      <c r="E2884" s="1"/>
      <c r="F2884" s="1"/>
    </row>
    <row r="2885" spans="5:6">
      <c r="E2885" s="1"/>
      <c r="F2885" s="1"/>
    </row>
    <row r="2886" spans="5:6">
      <c r="E2886" s="1"/>
      <c r="F2886" s="1"/>
    </row>
    <row r="2887" spans="5:6">
      <c r="E2887" s="1"/>
      <c r="F2887" s="1"/>
    </row>
    <row r="2888" spans="5:6">
      <c r="E2888" s="1"/>
      <c r="F2888" s="1"/>
    </row>
    <row r="2889" spans="5:6">
      <c r="E2889" s="1"/>
      <c r="F2889" s="1"/>
    </row>
    <row r="2890" spans="5:6">
      <c r="E2890" s="1"/>
      <c r="F2890" s="1"/>
    </row>
    <row r="2891" spans="5:6">
      <c r="E2891" s="1"/>
      <c r="F2891" s="1"/>
    </row>
    <row r="2892" spans="5:6">
      <c r="E2892" s="1"/>
      <c r="F2892" s="1"/>
    </row>
    <row r="2893" spans="5:6">
      <c r="E2893" s="1"/>
      <c r="F2893" s="1"/>
    </row>
    <row r="2894" spans="5:6">
      <c r="E2894" s="1"/>
      <c r="F2894" s="1"/>
    </row>
    <row r="2895" spans="5:6">
      <c r="E2895" s="1"/>
      <c r="F2895" s="1"/>
    </row>
    <row r="2896" spans="5:6">
      <c r="E2896" s="1"/>
      <c r="F2896" s="1"/>
    </row>
    <row r="2897" spans="5:6">
      <c r="E2897" s="1"/>
      <c r="F2897" s="1"/>
    </row>
    <row r="2898" spans="5:6">
      <c r="E2898" s="1"/>
      <c r="F2898" s="1"/>
    </row>
    <row r="2899" spans="5:6">
      <c r="E2899" s="1"/>
      <c r="F2899" s="1"/>
    </row>
    <row r="2900" spans="5:6">
      <c r="E2900" s="1"/>
      <c r="F2900" s="1"/>
    </row>
    <row r="2901" spans="5:6">
      <c r="E2901" s="1"/>
      <c r="F2901" s="1"/>
    </row>
    <row r="2902" spans="5:6">
      <c r="E2902" s="1"/>
      <c r="F2902" s="1"/>
    </row>
    <row r="2903" spans="5:6">
      <c r="E2903" s="1"/>
      <c r="F2903" s="1"/>
    </row>
    <row r="2904" spans="5:6">
      <c r="E2904" s="1"/>
      <c r="F2904" s="1"/>
    </row>
    <row r="2905" spans="5:6">
      <c r="E2905" s="1"/>
      <c r="F2905" s="1"/>
    </row>
    <row r="2906" spans="5:6">
      <c r="E2906" s="1"/>
      <c r="F2906" s="1"/>
    </row>
    <row r="2907" spans="5:6">
      <c r="E2907" s="1"/>
      <c r="F2907" s="1"/>
    </row>
    <row r="2908" spans="5:6">
      <c r="E2908" s="1"/>
      <c r="F2908" s="1"/>
    </row>
    <row r="2909" spans="5:6">
      <c r="E2909" s="1"/>
      <c r="F2909" s="1"/>
    </row>
    <row r="2910" spans="5:6">
      <c r="E2910" s="1"/>
      <c r="F2910" s="1"/>
    </row>
    <row r="2911" spans="5:6">
      <c r="E2911" s="1"/>
      <c r="F2911" s="1"/>
    </row>
    <row r="2912" spans="5:6">
      <c r="E2912" s="1"/>
      <c r="F2912" s="1"/>
    </row>
    <row r="2913" spans="5:6">
      <c r="E2913" s="1"/>
      <c r="F2913" s="1"/>
    </row>
    <row r="2914" spans="5:6">
      <c r="E2914" s="1"/>
      <c r="F2914" s="1"/>
    </row>
    <row r="2915" spans="5:6">
      <c r="E2915" s="1"/>
      <c r="F2915" s="1"/>
    </row>
    <row r="2916" spans="5:6">
      <c r="E2916" s="1"/>
      <c r="F2916" s="1"/>
    </row>
    <row r="2917" spans="5:6">
      <c r="E2917" s="1"/>
      <c r="F2917" s="1"/>
    </row>
    <row r="2918" spans="5:6">
      <c r="E2918" s="1"/>
      <c r="F2918" s="1"/>
    </row>
    <row r="2919" spans="5:6">
      <c r="E2919" s="1"/>
      <c r="F2919" s="1"/>
    </row>
    <row r="2920" spans="5:6">
      <c r="E2920" s="1"/>
      <c r="F2920" s="1"/>
    </row>
    <row r="2921" spans="5:6">
      <c r="E2921" s="1"/>
      <c r="F2921" s="1"/>
    </row>
    <row r="2922" spans="5:6">
      <c r="E2922" s="1"/>
      <c r="F2922" s="1"/>
    </row>
    <row r="2923" spans="5:6">
      <c r="E2923" s="1"/>
      <c r="F2923" s="1"/>
    </row>
    <row r="2924" spans="5:6">
      <c r="E2924" s="1"/>
      <c r="F2924" s="1"/>
    </row>
    <row r="2925" spans="5:6">
      <c r="E2925" s="1"/>
      <c r="F2925" s="1"/>
    </row>
    <row r="2926" spans="5:6">
      <c r="E2926" s="1"/>
      <c r="F2926" s="1"/>
    </row>
    <row r="2927" spans="5:6">
      <c r="E2927" s="1"/>
      <c r="F2927" s="1"/>
    </row>
    <row r="2928" spans="5:6">
      <c r="E2928" s="1"/>
      <c r="F2928" s="1"/>
    </row>
    <row r="2929" spans="5:6">
      <c r="E2929" s="1"/>
      <c r="F2929" s="1"/>
    </row>
    <row r="2930" spans="5:6">
      <c r="E2930" s="1"/>
      <c r="F2930" s="1"/>
    </row>
    <row r="2931" spans="5:6">
      <c r="E2931" s="1"/>
      <c r="F2931" s="1"/>
    </row>
    <row r="2932" spans="5:6">
      <c r="E2932" s="1"/>
      <c r="F2932" s="1"/>
    </row>
    <row r="2933" spans="5:6">
      <c r="E2933" s="1"/>
      <c r="F2933" s="1"/>
    </row>
    <row r="2934" spans="5:6">
      <c r="E2934" s="1"/>
      <c r="F2934" s="1"/>
    </row>
    <row r="2935" spans="5:6">
      <c r="E2935" s="1"/>
      <c r="F2935" s="1"/>
    </row>
    <row r="2936" spans="5:6">
      <c r="E2936" s="1"/>
      <c r="F2936" s="1"/>
    </row>
    <row r="2937" spans="5:6">
      <c r="E2937" s="1"/>
      <c r="F2937" s="1"/>
    </row>
    <row r="2938" spans="5:6">
      <c r="E2938" s="1"/>
      <c r="F2938" s="1"/>
    </row>
    <row r="2939" spans="5:6">
      <c r="E2939" s="1"/>
      <c r="F2939" s="1"/>
    </row>
    <row r="2940" spans="5:6">
      <c r="E2940" s="1"/>
      <c r="F2940" s="1"/>
    </row>
    <row r="2941" spans="5:6">
      <c r="E2941" s="1"/>
      <c r="F2941" s="1"/>
    </row>
    <row r="2942" spans="5:6">
      <c r="E2942" s="1"/>
      <c r="F2942" s="1"/>
    </row>
    <row r="2943" spans="5:6">
      <c r="E2943" s="1"/>
      <c r="F2943" s="1"/>
    </row>
    <row r="2944" spans="5:6">
      <c r="E2944" s="1"/>
      <c r="F2944" s="1"/>
    </row>
    <row r="2945" spans="5:6">
      <c r="E2945" s="1"/>
      <c r="F2945" s="1"/>
    </row>
    <row r="2946" spans="5:6">
      <c r="E2946" s="1"/>
      <c r="F2946" s="1"/>
    </row>
    <row r="2947" spans="5:6">
      <c r="E2947" s="1"/>
      <c r="F2947" s="1"/>
    </row>
    <row r="2948" spans="5:6">
      <c r="E2948" s="1"/>
      <c r="F2948" s="1"/>
    </row>
    <row r="2949" spans="5:6">
      <c r="E2949" s="1"/>
      <c r="F2949" s="1"/>
    </row>
    <row r="2950" spans="5:6">
      <c r="E2950" s="1"/>
      <c r="F2950" s="1"/>
    </row>
    <row r="2951" spans="5:6">
      <c r="E2951" s="1"/>
      <c r="F2951" s="1"/>
    </row>
    <row r="2952" spans="5:6">
      <c r="E2952" s="1"/>
      <c r="F2952" s="1"/>
    </row>
    <row r="2953" spans="5:6">
      <c r="E2953" s="1"/>
      <c r="F2953" s="1"/>
    </row>
    <row r="2954" spans="5:6">
      <c r="E2954" s="1"/>
      <c r="F2954" s="1"/>
    </row>
    <row r="2955" spans="5:6">
      <c r="E2955" s="1"/>
      <c r="F2955" s="1"/>
    </row>
    <row r="2956" spans="5:6">
      <c r="E2956" s="1"/>
      <c r="F2956" s="1"/>
    </row>
    <row r="2957" spans="5:6">
      <c r="E2957" s="1"/>
      <c r="F2957" s="1"/>
    </row>
    <row r="2958" spans="5:6">
      <c r="E2958" s="1"/>
      <c r="F2958" s="1"/>
    </row>
    <row r="2959" spans="5:6">
      <c r="E2959" s="1"/>
      <c r="F2959" s="1"/>
    </row>
    <row r="2960" spans="5:6">
      <c r="E2960" s="1"/>
      <c r="F2960" s="1"/>
    </row>
    <row r="2961" spans="5:6">
      <c r="E2961" s="1"/>
      <c r="F2961" s="1"/>
    </row>
    <row r="2962" spans="5:6">
      <c r="E2962" s="1"/>
      <c r="F2962" s="1"/>
    </row>
    <row r="2963" spans="5:6">
      <c r="E2963" s="1"/>
      <c r="F2963" s="1"/>
    </row>
    <row r="2964" spans="5:6">
      <c r="E2964" s="1"/>
      <c r="F2964" s="1"/>
    </row>
    <row r="2965" spans="5:6">
      <c r="E2965" s="1"/>
      <c r="F2965" s="1"/>
    </row>
    <row r="2966" spans="5:6">
      <c r="E2966" s="1"/>
      <c r="F2966" s="1"/>
    </row>
    <row r="2967" spans="5:6">
      <c r="E2967" s="1"/>
      <c r="F2967" s="1"/>
    </row>
    <row r="2968" spans="5:6">
      <c r="E2968" s="1"/>
      <c r="F2968" s="1"/>
    </row>
    <row r="2969" spans="5:6">
      <c r="E2969" s="1"/>
      <c r="F2969" s="1"/>
    </row>
    <row r="2970" spans="5:6">
      <c r="E2970" s="1"/>
      <c r="F2970" s="1"/>
    </row>
    <row r="2971" spans="5:6">
      <c r="E2971" s="1"/>
      <c r="F2971" s="1"/>
    </row>
    <row r="2972" spans="5:6">
      <c r="E2972" s="1"/>
      <c r="F2972" s="1"/>
    </row>
    <row r="2973" spans="5:6">
      <c r="E2973" s="1"/>
      <c r="F2973" s="1"/>
    </row>
    <row r="2974" spans="5:6">
      <c r="E2974" s="1"/>
      <c r="F2974" s="1"/>
    </row>
    <row r="2975" spans="5:6">
      <c r="E2975" s="1"/>
      <c r="F2975" s="1"/>
    </row>
    <row r="2976" spans="5:6">
      <c r="E2976" s="1"/>
      <c r="F2976" s="1"/>
    </row>
    <row r="2977" spans="5:6">
      <c r="E2977" s="1"/>
      <c r="F2977" s="1"/>
    </row>
    <row r="2978" spans="5:6">
      <c r="E2978" s="1"/>
      <c r="F2978" s="1"/>
    </row>
    <row r="2979" spans="5:6">
      <c r="E2979" s="1"/>
      <c r="F2979" s="1"/>
    </row>
    <row r="2980" spans="5:6">
      <c r="E2980" s="1"/>
      <c r="F2980" s="1"/>
    </row>
    <row r="2981" spans="5:6">
      <c r="E2981" s="1"/>
      <c r="F2981" s="1"/>
    </row>
    <row r="2982" spans="5:6">
      <c r="E2982" s="1"/>
      <c r="F2982" s="1"/>
    </row>
    <row r="2983" spans="5:6">
      <c r="E2983" s="1"/>
      <c r="F2983" s="1"/>
    </row>
    <row r="2984" spans="5:6">
      <c r="E2984" s="1"/>
      <c r="F2984" s="1"/>
    </row>
    <row r="2985" spans="5:6">
      <c r="E2985" s="1"/>
      <c r="F2985" s="1"/>
    </row>
    <row r="2986" spans="5:6">
      <c r="E2986" s="1"/>
      <c r="F2986" s="1"/>
    </row>
    <row r="2987" spans="5:6">
      <c r="E2987" s="1"/>
      <c r="F2987" s="1"/>
    </row>
    <row r="2988" spans="5:6">
      <c r="E2988" s="1"/>
      <c r="F2988" s="1"/>
    </row>
    <row r="2989" spans="5:6">
      <c r="E2989" s="1"/>
      <c r="F2989" s="1"/>
    </row>
    <row r="2990" spans="5:6">
      <c r="E2990" s="1"/>
      <c r="F2990" s="1"/>
    </row>
    <row r="2991" spans="5:6">
      <c r="E2991" s="1"/>
      <c r="F2991" s="1"/>
    </row>
    <row r="2992" spans="5:6">
      <c r="E2992" s="1"/>
      <c r="F2992" s="1"/>
    </row>
    <row r="2993" spans="5:6">
      <c r="E2993" s="1"/>
      <c r="F2993" s="1"/>
    </row>
    <row r="2994" spans="5:6">
      <c r="E2994" s="1"/>
      <c r="F2994" s="1"/>
    </row>
    <row r="2995" spans="5:6">
      <c r="E2995" s="1"/>
      <c r="F2995" s="1"/>
    </row>
    <row r="2996" spans="5:6">
      <c r="E2996" s="1"/>
      <c r="F2996" s="1"/>
    </row>
    <row r="2997" spans="5:6">
      <c r="E2997" s="1"/>
      <c r="F2997" s="1"/>
    </row>
    <row r="2998" spans="5:6">
      <c r="E2998" s="1"/>
      <c r="F2998" s="1"/>
    </row>
    <row r="2999" spans="5:6">
      <c r="E2999" s="1"/>
      <c r="F2999" s="1"/>
    </row>
    <row r="3000" spans="5:6">
      <c r="E3000" s="1"/>
      <c r="F3000" s="1"/>
    </row>
    <row r="3001" spans="5:6">
      <c r="E3001" s="1"/>
      <c r="F3001" s="1"/>
    </row>
    <row r="3002" spans="5:6">
      <c r="E3002" s="1"/>
      <c r="F3002" s="1"/>
    </row>
    <row r="3003" spans="5:6">
      <c r="E3003" s="1"/>
      <c r="F3003" s="1"/>
    </row>
    <row r="3004" spans="5:6">
      <c r="E3004" s="1"/>
      <c r="F3004" s="1"/>
    </row>
    <row r="3005" spans="5:6">
      <c r="E3005" s="1"/>
      <c r="F3005" s="1"/>
    </row>
    <row r="3006" spans="5:6">
      <c r="E3006" s="1"/>
      <c r="F3006" s="1"/>
    </row>
    <row r="3007" spans="5:6">
      <c r="E3007" s="1"/>
      <c r="F3007" s="1"/>
    </row>
    <row r="3008" spans="5:6">
      <c r="E3008" s="1"/>
      <c r="F3008" s="1"/>
    </row>
    <row r="3009" spans="5:6">
      <c r="E3009" s="1"/>
      <c r="F3009" s="1"/>
    </row>
    <row r="3010" spans="5:6">
      <c r="E3010" s="1"/>
      <c r="F3010" s="1"/>
    </row>
    <row r="3011" spans="5:6">
      <c r="E3011" s="1"/>
      <c r="F3011" s="1"/>
    </row>
    <row r="3012" spans="5:6">
      <c r="E3012" s="1"/>
      <c r="F3012" s="1"/>
    </row>
    <row r="3013" spans="5:6">
      <c r="E3013" s="1"/>
      <c r="F3013" s="1"/>
    </row>
    <row r="3014" spans="5:6">
      <c r="E3014" s="1"/>
      <c r="F3014" s="1"/>
    </row>
    <row r="3015" spans="5:6">
      <c r="E3015" s="1"/>
      <c r="F3015" s="1"/>
    </row>
    <row r="3016" spans="5:6">
      <c r="E3016" s="1"/>
      <c r="F3016" s="1"/>
    </row>
    <row r="3017" spans="5:6">
      <c r="E3017" s="1"/>
      <c r="F3017" s="1"/>
    </row>
    <row r="3018" spans="5:6">
      <c r="E3018" s="1"/>
      <c r="F3018" s="1"/>
    </row>
    <row r="3019" spans="5:6">
      <c r="E3019" s="1"/>
      <c r="F3019" s="1"/>
    </row>
    <row r="3020" spans="5:6">
      <c r="E3020" s="1"/>
      <c r="F3020" s="1"/>
    </row>
    <row r="3021" spans="5:6">
      <c r="E3021" s="1"/>
      <c r="F3021" s="1"/>
    </row>
    <row r="3022" spans="5:6">
      <c r="E3022" s="1"/>
      <c r="F3022" s="1"/>
    </row>
    <row r="3023" spans="5:6">
      <c r="E3023" s="1"/>
      <c r="F3023" s="1"/>
    </row>
    <row r="3024" spans="5:6">
      <c r="E3024" s="1"/>
      <c r="F3024" s="1"/>
    </row>
    <row r="3025" spans="5:6">
      <c r="E3025" s="1"/>
      <c r="F3025" s="1"/>
    </row>
    <row r="3026" spans="5:6">
      <c r="E3026" s="1"/>
      <c r="F3026" s="1"/>
    </row>
    <row r="3027" spans="5:6">
      <c r="E3027" s="1"/>
      <c r="F3027" s="1"/>
    </row>
    <row r="3028" spans="5:6">
      <c r="E3028" s="1"/>
      <c r="F3028" s="1"/>
    </row>
    <row r="3029" spans="5:6">
      <c r="E3029" s="1"/>
      <c r="F3029" s="1"/>
    </row>
    <row r="3030" spans="5:6">
      <c r="E3030" s="1"/>
      <c r="F3030" s="1"/>
    </row>
    <row r="3031" spans="5:6">
      <c r="E3031" s="1"/>
      <c r="F3031" s="1"/>
    </row>
    <row r="3032" spans="5:6">
      <c r="E3032" s="1"/>
      <c r="F3032" s="1"/>
    </row>
    <row r="3033" spans="5:6">
      <c r="E3033" s="1"/>
      <c r="F3033" s="1"/>
    </row>
    <row r="3034" spans="5:6">
      <c r="E3034" s="1"/>
      <c r="F3034" s="1"/>
    </row>
    <row r="3035" spans="5:6">
      <c r="E3035" s="1"/>
      <c r="F3035" s="1"/>
    </row>
    <row r="3036" spans="5:6">
      <c r="E3036" s="1"/>
      <c r="F3036" s="1"/>
    </row>
    <row r="3037" spans="5:6">
      <c r="E3037" s="1"/>
      <c r="F3037" s="1"/>
    </row>
    <row r="3038" spans="5:6">
      <c r="E3038" s="1"/>
      <c r="F3038" s="1"/>
    </row>
    <row r="3039" spans="5:6">
      <c r="E3039" s="1"/>
      <c r="F3039" s="1"/>
    </row>
    <row r="3040" spans="5:6">
      <c r="E3040" s="1"/>
      <c r="F3040" s="1"/>
    </row>
    <row r="3041" spans="5:6">
      <c r="E3041" s="1"/>
      <c r="F3041" s="1"/>
    </row>
    <row r="3042" spans="5:6">
      <c r="E3042" s="1"/>
      <c r="F3042" s="1"/>
    </row>
    <row r="3043" spans="5:6">
      <c r="E3043" s="1"/>
      <c r="F3043" s="1"/>
    </row>
    <row r="3044" spans="5:6">
      <c r="E3044" s="1"/>
      <c r="F3044" s="1"/>
    </row>
    <row r="3045" spans="5:6">
      <c r="E3045" s="1"/>
      <c r="F3045" s="1"/>
    </row>
    <row r="3046" spans="5:6">
      <c r="E3046" s="1"/>
      <c r="F3046" s="1"/>
    </row>
    <row r="3047" spans="5:6">
      <c r="E3047" s="1"/>
      <c r="F3047" s="1"/>
    </row>
    <row r="3048" spans="5:6">
      <c r="E3048" s="1"/>
      <c r="F3048" s="1"/>
    </row>
    <row r="3049" spans="5:6">
      <c r="E3049" s="1"/>
      <c r="F3049" s="1"/>
    </row>
    <row r="3050" spans="5:6">
      <c r="E3050" s="1"/>
      <c r="F3050" s="1"/>
    </row>
    <row r="3051" spans="5:6">
      <c r="E3051" s="1"/>
      <c r="F3051" s="1"/>
    </row>
    <row r="3052" spans="5:6">
      <c r="E3052" s="1"/>
      <c r="F3052" s="1"/>
    </row>
    <row r="3053" spans="5:6">
      <c r="E3053" s="1"/>
      <c r="F3053" s="1"/>
    </row>
    <row r="3054" spans="5:6">
      <c r="E3054" s="1"/>
      <c r="F3054" s="1"/>
    </row>
    <row r="3055" spans="5:6">
      <c r="E3055" s="1"/>
      <c r="F3055" s="1"/>
    </row>
    <row r="3056" spans="5:6">
      <c r="E3056" s="1"/>
      <c r="F3056" s="1"/>
    </row>
    <row r="3057" spans="5:6">
      <c r="E3057" s="1"/>
      <c r="F3057" s="1"/>
    </row>
    <row r="3058" spans="5:6">
      <c r="E3058" s="1"/>
      <c r="F3058" s="1"/>
    </row>
    <row r="3059" spans="5:6">
      <c r="E3059" s="1"/>
      <c r="F3059" s="1"/>
    </row>
    <row r="3060" spans="5:6">
      <c r="E3060" s="1"/>
      <c r="F3060" s="1"/>
    </row>
    <row r="3061" spans="5:6">
      <c r="E3061" s="1"/>
      <c r="F3061" s="1"/>
    </row>
    <row r="3062" spans="5:6">
      <c r="E3062" s="1"/>
      <c r="F3062" s="1"/>
    </row>
    <row r="3063" spans="5:6">
      <c r="E3063" s="1"/>
      <c r="F3063" s="1"/>
    </row>
    <row r="3064" spans="5:6">
      <c r="E3064" s="1"/>
      <c r="F3064" s="1"/>
    </row>
    <row r="3065" spans="5:6">
      <c r="E3065" s="1"/>
      <c r="F3065" s="1"/>
    </row>
    <row r="3066" spans="5:6">
      <c r="E3066" s="1"/>
      <c r="F3066" s="1"/>
    </row>
    <row r="3067" spans="5:6">
      <c r="E3067" s="1"/>
      <c r="F3067" s="1"/>
    </row>
    <row r="3068" spans="5:6">
      <c r="E3068" s="1"/>
      <c r="F3068" s="1"/>
    </row>
    <row r="3069" spans="5:6">
      <c r="E3069" s="1"/>
      <c r="F3069" s="1"/>
    </row>
    <row r="3070" spans="5:6">
      <c r="E3070" s="1"/>
      <c r="F3070" s="1"/>
    </row>
    <row r="3071" spans="5:6">
      <c r="E3071" s="1"/>
      <c r="F3071" s="1"/>
    </row>
    <row r="3072" spans="5:6">
      <c r="E3072" s="1"/>
      <c r="F3072" s="1"/>
    </row>
    <row r="3073" spans="5:6">
      <c r="E3073" s="1"/>
      <c r="F3073" s="1"/>
    </row>
    <row r="3074" spans="5:6">
      <c r="E3074" s="1"/>
      <c r="F3074" s="1"/>
    </row>
    <row r="3075" spans="5:6">
      <c r="E3075" s="1"/>
      <c r="F3075" s="1"/>
    </row>
    <row r="3076" spans="5:6">
      <c r="E3076" s="1"/>
      <c r="F3076" s="1"/>
    </row>
    <row r="3077" spans="5:6">
      <c r="E3077" s="1"/>
      <c r="F3077" s="1"/>
    </row>
    <row r="3078" spans="5:6">
      <c r="E3078" s="1"/>
      <c r="F3078" s="1"/>
    </row>
    <row r="3079" spans="5:6">
      <c r="E3079" s="1"/>
      <c r="F3079" s="1"/>
    </row>
    <row r="3080" spans="5:6">
      <c r="E3080" s="1"/>
      <c r="F3080" s="1"/>
    </row>
    <row r="3081" spans="5:6">
      <c r="E3081" s="1"/>
      <c r="F3081" s="1"/>
    </row>
    <row r="3082" spans="5:6">
      <c r="E3082" s="1"/>
      <c r="F3082" s="1"/>
    </row>
    <row r="3083" spans="5:6">
      <c r="E3083" s="1"/>
      <c r="F3083" s="1"/>
    </row>
    <row r="3084" spans="5:6">
      <c r="E3084" s="1"/>
      <c r="F3084" s="1"/>
    </row>
    <row r="3085" spans="5:6">
      <c r="E3085" s="1"/>
      <c r="F3085" s="1"/>
    </row>
    <row r="3086" spans="5:6">
      <c r="E3086" s="1"/>
      <c r="F3086" s="1"/>
    </row>
    <row r="3087" spans="5:6">
      <c r="E3087" s="1"/>
      <c r="F3087" s="1"/>
    </row>
    <row r="3088" spans="5:6">
      <c r="E3088" s="1"/>
      <c r="F3088" s="1"/>
    </row>
    <row r="3089" spans="5:6">
      <c r="E3089" s="1"/>
      <c r="F3089" s="1"/>
    </row>
    <row r="3090" spans="5:6">
      <c r="E3090" s="1"/>
      <c r="F3090" s="1"/>
    </row>
    <row r="3091" spans="5:6">
      <c r="E3091" s="1"/>
      <c r="F3091" s="1"/>
    </row>
    <row r="3092" spans="5:6">
      <c r="E3092" s="1"/>
      <c r="F3092" s="1"/>
    </row>
    <row r="3093" spans="5:6">
      <c r="E3093" s="1"/>
      <c r="F3093" s="1"/>
    </row>
    <row r="3094" spans="5:6">
      <c r="E3094" s="1"/>
      <c r="F3094" s="1"/>
    </row>
    <row r="3095" spans="5:6">
      <c r="E3095" s="1"/>
      <c r="F3095" s="1"/>
    </row>
    <row r="3096" spans="5:6">
      <c r="E3096" s="1"/>
      <c r="F3096" s="1"/>
    </row>
    <row r="3097" spans="5:6">
      <c r="E3097" s="1"/>
      <c r="F3097" s="1"/>
    </row>
    <row r="3098" spans="5:6">
      <c r="E3098" s="1"/>
      <c r="F3098" s="1"/>
    </row>
    <row r="3099" spans="5:6">
      <c r="E3099" s="1"/>
      <c r="F3099" s="1"/>
    </row>
    <row r="3100" spans="5:6">
      <c r="E3100" s="1"/>
      <c r="F3100" s="1"/>
    </row>
    <row r="3101" spans="5:6">
      <c r="E3101" s="1"/>
      <c r="F3101" s="1"/>
    </row>
    <row r="3102" spans="5:6">
      <c r="E3102" s="1"/>
      <c r="F3102" s="1"/>
    </row>
    <row r="3103" spans="5:6">
      <c r="E3103" s="1"/>
      <c r="F3103" s="1"/>
    </row>
    <row r="3104" spans="5:6">
      <c r="E3104" s="1"/>
      <c r="F3104" s="1"/>
    </row>
    <row r="3105" spans="5:6">
      <c r="E3105" s="1"/>
      <c r="F3105" s="1"/>
    </row>
    <row r="3106" spans="5:6">
      <c r="E3106" s="1"/>
      <c r="F3106" s="1"/>
    </row>
    <row r="3107" spans="5:6">
      <c r="E3107" s="1"/>
      <c r="F3107" s="1"/>
    </row>
    <row r="3108" spans="5:6">
      <c r="E3108" s="1"/>
      <c r="F3108" s="1"/>
    </row>
    <row r="3109" spans="5:6">
      <c r="E3109" s="1"/>
      <c r="F3109" s="1"/>
    </row>
    <row r="3110" spans="5:6">
      <c r="E3110" s="1"/>
      <c r="F3110" s="1"/>
    </row>
    <row r="3111" spans="5:6">
      <c r="E3111" s="1"/>
      <c r="F3111" s="1"/>
    </row>
    <row r="3112" spans="5:6">
      <c r="E3112" s="1"/>
      <c r="F3112" s="1"/>
    </row>
    <row r="3113" spans="5:6">
      <c r="E3113" s="1"/>
      <c r="F3113" s="1"/>
    </row>
    <row r="3114" spans="5:6">
      <c r="E3114" s="1"/>
      <c r="F3114" s="1"/>
    </row>
    <row r="3115" spans="5:6">
      <c r="E3115" s="1"/>
      <c r="F3115" s="1"/>
    </row>
    <row r="3116" spans="5:6">
      <c r="E3116" s="1"/>
      <c r="F3116" s="1"/>
    </row>
    <row r="3117" spans="5:6">
      <c r="E3117" s="1"/>
      <c r="F3117" s="1"/>
    </row>
    <row r="3118" spans="5:6">
      <c r="E3118" s="1"/>
      <c r="F3118" s="1"/>
    </row>
    <row r="3119" spans="5:6">
      <c r="E3119" s="1"/>
      <c r="F3119" s="1"/>
    </row>
    <row r="3120" spans="5:6">
      <c r="E3120" s="1"/>
      <c r="F3120" s="1"/>
    </row>
    <row r="3121" spans="5:6">
      <c r="E3121" s="1"/>
      <c r="F3121" s="1"/>
    </row>
    <row r="3122" spans="5:6">
      <c r="E3122" s="1"/>
      <c r="F3122" s="1"/>
    </row>
    <row r="3123" spans="5:6">
      <c r="E3123" s="1"/>
      <c r="F3123" s="1"/>
    </row>
    <row r="3124" spans="5:6">
      <c r="E3124" s="1"/>
      <c r="F3124" s="1"/>
    </row>
    <row r="3125" spans="5:6">
      <c r="E3125" s="1"/>
      <c r="F3125" s="1"/>
    </row>
    <row r="3126" spans="5:6">
      <c r="E3126" s="1"/>
      <c r="F3126" s="1"/>
    </row>
    <row r="3127" spans="5:6">
      <c r="E3127" s="1"/>
      <c r="F3127" s="1"/>
    </row>
    <row r="3128" spans="5:6">
      <c r="E3128" s="1"/>
      <c r="F3128" s="1"/>
    </row>
    <row r="3129" spans="5:6">
      <c r="E3129" s="1"/>
      <c r="F3129" s="1"/>
    </row>
    <row r="3130" spans="5:6">
      <c r="E3130" s="1"/>
      <c r="F3130" s="1"/>
    </row>
    <row r="3131" spans="5:6">
      <c r="E3131" s="1"/>
      <c r="F3131" s="1"/>
    </row>
    <row r="3132" spans="5:6">
      <c r="E3132" s="1"/>
      <c r="F3132" s="1"/>
    </row>
    <row r="3133" spans="5:6">
      <c r="E3133" s="1"/>
      <c r="F3133" s="1"/>
    </row>
    <row r="3134" spans="5:6">
      <c r="E3134" s="1"/>
      <c r="F3134" s="1"/>
    </row>
    <row r="3135" spans="5:6">
      <c r="E3135" s="1"/>
      <c r="F3135" s="1"/>
    </row>
    <row r="3136" spans="5:6">
      <c r="E3136" s="1"/>
      <c r="F3136" s="1"/>
    </row>
    <row r="3137" spans="5:6">
      <c r="E3137" s="1"/>
      <c r="F3137" s="1"/>
    </row>
    <row r="3138" spans="5:6">
      <c r="E3138" s="1"/>
      <c r="F3138" s="1"/>
    </row>
    <row r="3139" spans="5:6">
      <c r="E3139" s="1"/>
      <c r="F3139" s="1"/>
    </row>
    <row r="3140" spans="5:6">
      <c r="E3140" s="1"/>
      <c r="F3140" s="1"/>
    </row>
    <row r="3141" spans="5:6">
      <c r="E3141" s="1"/>
      <c r="F3141" s="1"/>
    </row>
    <row r="3142" spans="5:6">
      <c r="E3142" s="1"/>
      <c r="F3142" s="1"/>
    </row>
    <row r="3143" spans="5:6">
      <c r="E3143" s="1"/>
      <c r="F3143" s="1"/>
    </row>
    <row r="3144" spans="5:6">
      <c r="E3144" s="1"/>
      <c r="F3144" s="1"/>
    </row>
    <row r="3145" spans="5:6">
      <c r="E3145" s="1"/>
      <c r="F3145" s="1"/>
    </row>
    <row r="3146" spans="5:6">
      <c r="E3146" s="1"/>
      <c r="F3146" s="1"/>
    </row>
    <row r="3147" spans="5:6">
      <c r="E3147" s="1"/>
      <c r="F3147" s="1"/>
    </row>
    <row r="3148" spans="5:6">
      <c r="E3148" s="1"/>
      <c r="F3148" s="1"/>
    </row>
    <row r="3149" spans="5:6">
      <c r="E3149" s="1"/>
      <c r="F3149" s="1"/>
    </row>
    <row r="3150" spans="5:6">
      <c r="E3150" s="1"/>
      <c r="F3150" s="1"/>
    </row>
    <row r="3151" spans="5:6">
      <c r="E3151" s="1"/>
      <c r="F3151" s="1"/>
    </row>
    <row r="3152" spans="5:6">
      <c r="E3152" s="1"/>
      <c r="F3152" s="1"/>
    </row>
    <row r="3153" spans="5:6">
      <c r="E3153" s="1"/>
      <c r="F3153" s="1"/>
    </row>
    <row r="3154" spans="5:6">
      <c r="E3154" s="1"/>
      <c r="F3154" s="1"/>
    </row>
    <row r="3155" spans="5:6">
      <c r="E3155" s="1"/>
      <c r="F3155" s="1"/>
    </row>
    <row r="3156" spans="5:6">
      <c r="E3156" s="1"/>
      <c r="F3156" s="1"/>
    </row>
    <row r="3157" spans="5:6">
      <c r="E3157" s="1"/>
      <c r="F3157" s="1"/>
    </row>
    <row r="3158" spans="5:6">
      <c r="E3158" s="1"/>
      <c r="F3158" s="1"/>
    </row>
    <row r="3159" spans="5:6">
      <c r="E3159" s="1"/>
      <c r="F3159" s="1"/>
    </row>
    <row r="3160" spans="5:6">
      <c r="E3160" s="1"/>
      <c r="F3160" s="1"/>
    </row>
    <row r="3161" spans="5:6">
      <c r="E3161" s="1"/>
      <c r="F3161" s="1"/>
    </row>
    <row r="3162" spans="5:6">
      <c r="E3162" s="1"/>
      <c r="F3162" s="1"/>
    </row>
    <row r="3163" spans="5:6">
      <c r="E3163" s="1"/>
      <c r="F3163" s="1"/>
    </row>
    <row r="3164" spans="5:6">
      <c r="E3164" s="1"/>
      <c r="F3164" s="1"/>
    </row>
    <row r="3165" spans="5:6">
      <c r="E3165" s="1"/>
      <c r="F3165" s="1"/>
    </row>
    <row r="3166" spans="5:6">
      <c r="E3166" s="1"/>
      <c r="F3166" s="1"/>
    </row>
    <row r="3167" spans="5:6">
      <c r="E3167" s="1"/>
      <c r="F3167" s="1"/>
    </row>
    <row r="3168" spans="5:6">
      <c r="E3168" s="1"/>
      <c r="F3168" s="1"/>
    </row>
    <row r="3169" spans="5:6">
      <c r="E3169" s="1"/>
      <c r="F3169" s="1"/>
    </row>
    <row r="3170" spans="5:6">
      <c r="E3170" s="1"/>
      <c r="F3170" s="1"/>
    </row>
    <row r="3171" spans="5:6">
      <c r="E3171" s="1"/>
      <c r="F3171" s="1"/>
    </row>
    <row r="3172" spans="5:6">
      <c r="E3172" s="1"/>
      <c r="F3172" s="1"/>
    </row>
    <row r="3173" spans="5:6">
      <c r="E3173" s="1"/>
      <c r="F3173" s="1"/>
    </row>
    <row r="3174" spans="5:6">
      <c r="E3174" s="1"/>
      <c r="F3174" s="1"/>
    </row>
    <row r="3175" spans="5:6">
      <c r="E3175" s="1"/>
      <c r="F3175" s="1"/>
    </row>
    <row r="3176" spans="5:6">
      <c r="E3176" s="1"/>
      <c r="F3176" s="1"/>
    </row>
    <row r="3177" spans="5:6">
      <c r="E3177" s="1"/>
      <c r="F3177" s="1"/>
    </row>
    <row r="3178" spans="5:6">
      <c r="E3178" s="1"/>
      <c r="F3178" s="1"/>
    </row>
    <row r="3179" spans="5:6">
      <c r="E3179" s="1"/>
      <c r="F3179" s="1"/>
    </row>
    <row r="3180" spans="5:6">
      <c r="E3180" s="1"/>
      <c r="F3180" s="1"/>
    </row>
    <row r="3181" spans="5:6">
      <c r="E3181" s="1"/>
      <c r="F3181" s="1"/>
    </row>
    <row r="3182" spans="5:6">
      <c r="E3182" s="1"/>
      <c r="F3182" s="1"/>
    </row>
    <row r="3183" spans="5:6">
      <c r="E3183" s="1"/>
      <c r="F3183" s="1"/>
    </row>
    <row r="3184" spans="5:6">
      <c r="E3184" s="1"/>
      <c r="F3184" s="1"/>
    </row>
    <row r="3185" spans="5:6">
      <c r="E3185" s="1"/>
      <c r="F3185" s="1"/>
    </row>
    <row r="3186" spans="5:6">
      <c r="E3186" s="1"/>
      <c r="F3186" s="1"/>
    </row>
    <row r="3187" spans="5:6">
      <c r="E3187" s="1"/>
      <c r="F3187" s="1"/>
    </row>
    <row r="3188" spans="5:6">
      <c r="E3188" s="1"/>
      <c r="F3188" s="1"/>
    </row>
    <row r="3189" spans="5:6">
      <c r="E3189" s="1"/>
      <c r="F3189" s="1"/>
    </row>
    <row r="3190" spans="5:6">
      <c r="E3190" s="1"/>
      <c r="F3190" s="1"/>
    </row>
    <row r="3191" spans="5:6">
      <c r="E3191" s="1"/>
      <c r="F3191" s="1"/>
    </row>
    <row r="3192" spans="5:6">
      <c r="E3192" s="1"/>
      <c r="F3192" s="1"/>
    </row>
    <row r="3193" spans="5:6">
      <c r="E3193" s="1"/>
      <c r="F3193" s="1"/>
    </row>
    <row r="3194" spans="5:6">
      <c r="E3194" s="1"/>
      <c r="F3194" s="1"/>
    </row>
    <row r="3195" spans="5:6">
      <c r="E3195" s="1"/>
      <c r="F3195" s="1"/>
    </row>
    <row r="3196" spans="5:6">
      <c r="E3196" s="1"/>
      <c r="F3196" s="1"/>
    </row>
    <row r="3197" spans="5:6">
      <c r="E3197" s="1"/>
      <c r="F3197" s="1"/>
    </row>
    <row r="3198" spans="5:6">
      <c r="E3198" s="1"/>
      <c r="F3198" s="1"/>
    </row>
    <row r="3199" spans="5:6">
      <c r="E3199" s="1"/>
      <c r="F3199" s="1"/>
    </row>
    <row r="3200" spans="5:6">
      <c r="E3200" s="1"/>
      <c r="F3200" s="1"/>
    </row>
    <row r="3201" spans="5:6">
      <c r="E3201" s="1"/>
      <c r="F3201" s="1"/>
    </row>
    <row r="3202" spans="5:6">
      <c r="E3202" s="1"/>
      <c r="F3202" s="1"/>
    </row>
    <row r="3203" spans="5:6">
      <c r="E3203" s="1"/>
      <c r="F3203" s="1"/>
    </row>
    <row r="3204" spans="5:6">
      <c r="E3204" s="1"/>
      <c r="F3204" s="1"/>
    </row>
    <row r="3205" spans="5:6">
      <c r="E3205" s="1"/>
      <c r="F3205" s="1"/>
    </row>
    <row r="3206" spans="5:6">
      <c r="E3206" s="1"/>
      <c r="F3206" s="1"/>
    </row>
    <row r="3207" spans="5:6">
      <c r="E3207" s="1"/>
      <c r="F3207" s="1"/>
    </row>
    <row r="3208" spans="5:6">
      <c r="E3208" s="1"/>
      <c r="F3208" s="1"/>
    </row>
    <row r="3209" spans="5:6">
      <c r="E3209" s="1"/>
      <c r="F3209" s="1"/>
    </row>
    <row r="3210" spans="5:6">
      <c r="E3210" s="1"/>
      <c r="F3210" s="1"/>
    </row>
    <row r="3211" spans="5:6">
      <c r="E3211" s="1"/>
      <c r="F3211" s="1"/>
    </row>
    <row r="3212" spans="5:6">
      <c r="E3212" s="1"/>
      <c r="F3212" s="1"/>
    </row>
    <row r="3213" spans="5:6">
      <c r="E3213" s="1"/>
      <c r="F3213" s="1"/>
    </row>
    <row r="3214" spans="5:6">
      <c r="E3214" s="1"/>
      <c r="F3214" s="1"/>
    </row>
    <row r="3215" spans="5:6">
      <c r="E3215" s="1"/>
      <c r="F3215" s="1"/>
    </row>
    <row r="3216" spans="5:6">
      <c r="E3216" s="1"/>
      <c r="F3216" s="1"/>
    </row>
    <row r="3217" spans="5:6">
      <c r="E3217" s="1"/>
      <c r="F3217" s="1"/>
    </row>
    <row r="3218" spans="5:6">
      <c r="E3218" s="1"/>
      <c r="F3218" s="1"/>
    </row>
    <row r="3219" spans="5:6">
      <c r="E3219" s="1"/>
      <c r="F3219" s="1"/>
    </row>
    <row r="3220" spans="5:6">
      <c r="E3220" s="1"/>
      <c r="F3220" s="1"/>
    </row>
    <row r="3221" spans="5:6">
      <c r="E3221" s="1"/>
      <c r="F3221" s="1"/>
    </row>
    <row r="3222" spans="5:6">
      <c r="E3222" s="1"/>
      <c r="F3222" s="1"/>
    </row>
    <row r="3223" spans="5:6">
      <c r="E3223" s="1"/>
      <c r="F3223" s="1"/>
    </row>
    <row r="3224" spans="5:6">
      <c r="E3224" s="1"/>
      <c r="F3224" s="1"/>
    </row>
    <row r="3225" spans="5:6">
      <c r="E3225" s="1"/>
      <c r="F3225" s="1"/>
    </row>
    <row r="3226" spans="5:6">
      <c r="E3226" s="1"/>
      <c r="F3226" s="1"/>
    </row>
    <row r="3227" spans="5:6">
      <c r="E3227" s="1"/>
      <c r="F3227" s="1"/>
    </row>
    <row r="3228" spans="5:6">
      <c r="E3228" s="1"/>
      <c r="F3228" s="1"/>
    </row>
    <row r="3229" spans="5:6">
      <c r="E3229" s="1"/>
      <c r="F3229" s="1"/>
    </row>
    <row r="3230" spans="5:6">
      <c r="E3230" s="1"/>
      <c r="F3230" s="1"/>
    </row>
    <row r="3231" spans="5:6">
      <c r="E3231" s="1"/>
      <c r="F3231" s="1"/>
    </row>
    <row r="3232" spans="5:6">
      <c r="E3232" s="1"/>
      <c r="F3232" s="1"/>
    </row>
    <row r="3233" spans="5:6">
      <c r="E3233" s="1"/>
      <c r="F3233" s="1"/>
    </row>
    <row r="3234" spans="5:6">
      <c r="E3234" s="1"/>
      <c r="F3234" s="1"/>
    </row>
    <row r="3235" spans="5:6">
      <c r="E3235" s="1"/>
      <c r="F3235" s="1"/>
    </row>
    <row r="3236" spans="5:6">
      <c r="E3236" s="1"/>
      <c r="F3236" s="1"/>
    </row>
    <row r="3237" spans="5:6">
      <c r="E3237" s="1"/>
      <c r="F3237" s="1"/>
    </row>
    <row r="3238" spans="5:6">
      <c r="E3238" s="1"/>
      <c r="F3238" s="1"/>
    </row>
    <row r="3239" spans="5:6">
      <c r="E3239" s="1"/>
      <c r="F3239" s="1"/>
    </row>
    <row r="3240" spans="5:6">
      <c r="E3240" s="1"/>
      <c r="F3240" s="1"/>
    </row>
    <row r="3241" spans="5:6">
      <c r="E3241" s="1"/>
      <c r="F3241" s="1"/>
    </row>
    <row r="3242" spans="5:6">
      <c r="E3242" s="1"/>
      <c r="F3242" s="1"/>
    </row>
    <row r="3243" spans="5:6">
      <c r="E3243" s="1"/>
      <c r="F3243" s="1"/>
    </row>
    <row r="3244" spans="5:6">
      <c r="E3244" s="1"/>
      <c r="F3244" s="1"/>
    </row>
    <row r="3245" spans="5:6">
      <c r="E3245" s="1"/>
      <c r="F3245" s="1"/>
    </row>
    <row r="3246" spans="5:6">
      <c r="E3246" s="1"/>
      <c r="F3246" s="1"/>
    </row>
    <row r="3247" spans="5:6">
      <c r="E3247" s="1"/>
      <c r="F3247" s="1"/>
    </row>
    <row r="3248" spans="5:6">
      <c r="E3248" s="1"/>
      <c r="F3248" s="1"/>
    </row>
    <row r="3249" spans="5:6">
      <c r="E3249" s="1"/>
      <c r="F3249" s="1"/>
    </row>
    <row r="3250" spans="5:6">
      <c r="E3250" s="1"/>
      <c r="F3250" s="1"/>
    </row>
    <row r="3251" spans="5:6">
      <c r="E3251" s="1"/>
      <c r="F3251" s="1"/>
    </row>
    <row r="3252" spans="5:6">
      <c r="E3252" s="1"/>
      <c r="F3252" s="1"/>
    </row>
    <row r="3253" spans="5:6">
      <c r="E3253" s="1"/>
      <c r="F3253" s="1"/>
    </row>
    <row r="3254" spans="5:6">
      <c r="E3254" s="1"/>
      <c r="F3254" s="1"/>
    </row>
    <row r="3255" spans="5:6">
      <c r="E3255" s="1"/>
      <c r="F3255" s="1"/>
    </row>
    <row r="3256" spans="5:6">
      <c r="E3256" s="1"/>
      <c r="F3256" s="1"/>
    </row>
    <row r="3257" spans="5:6">
      <c r="E3257" s="1"/>
      <c r="F3257" s="1"/>
    </row>
    <row r="3258" spans="5:6">
      <c r="E3258" s="1"/>
      <c r="F3258" s="1"/>
    </row>
    <row r="3259" spans="5:6">
      <c r="E3259" s="1"/>
      <c r="F3259" s="1"/>
    </row>
    <row r="3260" spans="5:6">
      <c r="E3260" s="1"/>
      <c r="F3260" s="1"/>
    </row>
    <row r="3261" spans="5:6">
      <c r="E3261" s="1"/>
      <c r="F3261" s="1"/>
    </row>
    <row r="3262" spans="5:6">
      <c r="E3262" s="1"/>
      <c r="F3262" s="1"/>
    </row>
    <row r="3263" spans="5:6">
      <c r="E3263" s="1"/>
      <c r="F3263" s="1"/>
    </row>
    <row r="3264" spans="5:6">
      <c r="E3264" s="1"/>
      <c r="F3264" s="1"/>
    </row>
    <row r="3265" spans="5:6">
      <c r="E3265" s="1"/>
      <c r="F3265" s="1"/>
    </row>
    <row r="3266" spans="5:6">
      <c r="E3266" s="1"/>
      <c r="F3266" s="1"/>
    </row>
    <row r="3267" spans="5:6">
      <c r="E3267" s="1"/>
      <c r="F3267" s="1"/>
    </row>
    <row r="3268" spans="5:6">
      <c r="E3268" s="1"/>
      <c r="F3268" s="1"/>
    </row>
    <row r="3269" spans="5:6">
      <c r="E3269" s="1"/>
      <c r="F3269" s="1"/>
    </row>
    <row r="3270" spans="5:6">
      <c r="E3270" s="1"/>
      <c r="F3270" s="1"/>
    </row>
    <row r="3271" spans="5:6">
      <c r="E3271" s="1"/>
      <c r="F3271" s="1"/>
    </row>
    <row r="3272" spans="5:6">
      <c r="E3272" s="1"/>
      <c r="F3272" s="1"/>
    </row>
    <row r="3273" spans="5:6">
      <c r="E3273" s="1"/>
      <c r="F3273" s="1"/>
    </row>
    <row r="3274" spans="5:6">
      <c r="E3274" s="1"/>
      <c r="F3274" s="1"/>
    </row>
    <row r="3275" spans="5:6">
      <c r="E3275" s="1"/>
      <c r="F3275" s="1"/>
    </row>
    <row r="3276" spans="5:6">
      <c r="E3276" s="1"/>
      <c r="F3276" s="1"/>
    </row>
    <row r="3277" spans="5:6">
      <c r="E3277" s="1"/>
      <c r="F3277" s="1"/>
    </row>
    <row r="3278" spans="5:6">
      <c r="E3278" s="1"/>
      <c r="F3278" s="1"/>
    </row>
    <row r="3279" spans="5:6">
      <c r="E3279" s="1"/>
      <c r="F3279" s="1"/>
    </row>
    <row r="3280" spans="5:6">
      <c r="E3280" s="1"/>
      <c r="F3280" s="1"/>
    </row>
    <row r="3281" spans="5:6">
      <c r="E3281" s="1"/>
      <c r="F3281" s="1"/>
    </row>
    <row r="3282" spans="5:6">
      <c r="E3282" s="1"/>
      <c r="F3282" s="1"/>
    </row>
    <row r="3283" spans="5:6">
      <c r="E3283" s="1"/>
      <c r="F3283" s="1"/>
    </row>
    <row r="3284" spans="5:6">
      <c r="E3284" s="1"/>
      <c r="F3284" s="1"/>
    </row>
    <row r="3285" spans="5:6">
      <c r="E3285" s="1"/>
      <c r="F3285" s="1"/>
    </row>
    <row r="3286" spans="5:6">
      <c r="E3286" s="1"/>
      <c r="F3286" s="1"/>
    </row>
    <row r="3287" spans="5:6">
      <c r="E3287" s="1"/>
      <c r="F3287" s="1"/>
    </row>
    <row r="3288" spans="5:6">
      <c r="E3288" s="1"/>
      <c r="F3288" s="1"/>
    </row>
    <row r="3289" spans="5:6">
      <c r="E3289" s="1"/>
      <c r="F3289" s="1"/>
    </row>
    <row r="3290" spans="5:6">
      <c r="E3290" s="1"/>
      <c r="F3290" s="1"/>
    </row>
    <row r="3291" spans="5:6">
      <c r="E3291" s="1"/>
      <c r="F3291" s="1"/>
    </row>
    <row r="3292" spans="5:6">
      <c r="E3292" s="1"/>
      <c r="F3292" s="1"/>
    </row>
    <row r="3293" spans="5:6">
      <c r="E3293" s="1"/>
      <c r="F3293" s="1"/>
    </row>
    <row r="3294" spans="5:6">
      <c r="E3294" s="1"/>
      <c r="F3294" s="1"/>
    </row>
    <row r="3295" spans="5:6">
      <c r="E3295" s="1"/>
      <c r="F3295" s="1"/>
    </row>
    <row r="3296" spans="5:6">
      <c r="E3296" s="1"/>
      <c r="F3296" s="1"/>
    </row>
    <row r="3297" spans="5:6">
      <c r="E3297" s="1"/>
      <c r="F3297" s="1"/>
    </row>
    <row r="3298" spans="5:6">
      <c r="E3298" s="1"/>
      <c r="F3298" s="1"/>
    </row>
    <row r="3299" spans="5:6">
      <c r="E3299" s="1"/>
      <c r="F3299" s="1"/>
    </row>
    <row r="3300" spans="5:6">
      <c r="E3300" s="1"/>
      <c r="F3300" s="1"/>
    </row>
    <row r="3301" spans="5:6">
      <c r="E3301" s="1"/>
      <c r="F3301" s="1"/>
    </row>
    <row r="3302" spans="5:6">
      <c r="E3302" s="1"/>
      <c r="F3302" s="1"/>
    </row>
    <row r="3303" spans="5:6">
      <c r="E3303" s="1"/>
      <c r="F3303" s="1"/>
    </row>
    <row r="3304" spans="5:6">
      <c r="E3304" s="1"/>
      <c r="F3304" s="1"/>
    </row>
    <row r="3305" spans="5:6">
      <c r="E3305" s="1"/>
      <c r="F3305" s="1"/>
    </row>
    <row r="3306" spans="5:6">
      <c r="E3306" s="1"/>
      <c r="F3306" s="1"/>
    </row>
    <row r="3307" spans="5:6">
      <c r="E3307" s="1"/>
      <c r="F3307" s="1"/>
    </row>
    <row r="3308" spans="5:6">
      <c r="E3308" s="1"/>
      <c r="F3308" s="1"/>
    </row>
    <row r="3309" spans="5:6">
      <c r="E3309" s="1"/>
      <c r="F3309" s="1"/>
    </row>
    <row r="3310" spans="5:6">
      <c r="E3310" s="1"/>
      <c r="F3310" s="1"/>
    </row>
    <row r="3311" spans="5:6">
      <c r="E3311" s="1"/>
      <c r="F3311" s="1"/>
    </row>
    <row r="3312" spans="5:6">
      <c r="E3312" s="1"/>
      <c r="F3312" s="1"/>
    </row>
    <row r="3313" spans="5:6">
      <c r="E3313" s="1"/>
      <c r="F3313" s="1"/>
    </row>
    <row r="3314" spans="5:6">
      <c r="E3314" s="1"/>
      <c r="F3314" s="1"/>
    </row>
    <row r="3315" spans="5:6">
      <c r="E3315" s="1"/>
      <c r="F3315" s="1"/>
    </row>
    <row r="3316" spans="5:6">
      <c r="E3316" s="1"/>
      <c r="F3316" s="1"/>
    </row>
    <row r="3317" spans="5:6">
      <c r="E3317" s="1"/>
      <c r="F3317" s="1"/>
    </row>
    <row r="3318" spans="5:6">
      <c r="E3318" s="1"/>
      <c r="F3318" s="1"/>
    </row>
    <row r="3319" spans="5:6">
      <c r="E3319" s="1"/>
      <c r="F3319" s="1"/>
    </row>
    <row r="3320" spans="5:6">
      <c r="E3320" s="1"/>
      <c r="F3320" s="1"/>
    </row>
    <row r="3321" spans="5:6">
      <c r="E3321" s="1"/>
      <c r="F3321" s="1"/>
    </row>
    <row r="3322" spans="5:6">
      <c r="E3322" s="1"/>
      <c r="F3322" s="1"/>
    </row>
    <row r="3323" spans="5:6">
      <c r="E3323" s="1"/>
      <c r="F3323" s="1"/>
    </row>
    <row r="3324" spans="5:6">
      <c r="E3324" s="1"/>
      <c r="F3324" s="1"/>
    </row>
    <row r="3325" spans="5:6">
      <c r="E3325" s="1"/>
      <c r="F3325" s="1"/>
    </row>
    <row r="3326" spans="5:6">
      <c r="E3326" s="1"/>
      <c r="F3326" s="1"/>
    </row>
    <row r="3327" spans="5:6">
      <c r="E3327" s="1"/>
      <c r="F3327" s="1"/>
    </row>
    <row r="3328" spans="5:6">
      <c r="E3328" s="1"/>
      <c r="F3328" s="1"/>
    </row>
    <row r="3329" spans="5:6">
      <c r="E3329" s="1"/>
      <c r="F3329" s="1"/>
    </row>
    <row r="3330" spans="5:6">
      <c r="E3330" s="1"/>
      <c r="F3330" s="1"/>
    </row>
    <row r="3331" spans="5:6">
      <c r="E3331" s="1"/>
      <c r="F3331" s="1"/>
    </row>
    <row r="3332" spans="5:6">
      <c r="E3332" s="1"/>
      <c r="F3332" s="1"/>
    </row>
    <row r="3333" spans="5:6">
      <c r="E3333" s="1"/>
      <c r="F3333" s="1"/>
    </row>
    <row r="3334" spans="5:6">
      <c r="E3334" s="1"/>
      <c r="F3334" s="1"/>
    </row>
    <row r="3335" spans="5:6">
      <c r="E3335" s="1"/>
      <c r="F3335" s="1"/>
    </row>
    <row r="3336" spans="5:6">
      <c r="E3336" s="1"/>
      <c r="F3336" s="1"/>
    </row>
    <row r="3337" spans="5:6">
      <c r="E3337" s="1"/>
      <c r="F3337" s="1"/>
    </row>
    <row r="3338" spans="5:6">
      <c r="E3338" s="1"/>
      <c r="F3338" s="1"/>
    </row>
    <row r="3339" spans="5:6">
      <c r="E3339" s="1"/>
      <c r="F3339" s="1"/>
    </row>
    <row r="3340" spans="5:6">
      <c r="E3340" s="1"/>
      <c r="F3340" s="1"/>
    </row>
    <row r="3341" spans="5:6">
      <c r="E3341" s="1"/>
      <c r="F3341" s="1"/>
    </row>
    <row r="3342" spans="5:6">
      <c r="E3342" s="1"/>
      <c r="F3342" s="1"/>
    </row>
    <row r="3343" spans="5:6">
      <c r="E3343" s="1"/>
      <c r="F3343" s="1"/>
    </row>
    <row r="3344" spans="5:6">
      <c r="E3344" s="1"/>
      <c r="F3344" s="1"/>
    </row>
    <row r="3345" spans="5:6">
      <c r="E3345" s="1"/>
      <c r="F3345" s="1"/>
    </row>
    <row r="3346" spans="5:6">
      <c r="E3346" s="1"/>
      <c r="F3346" s="1"/>
    </row>
    <row r="3347" spans="5:6">
      <c r="E3347" s="1"/>
      <c r="F3347" s="1"/>
    </row>
    <row r="3348" spans="5:6">
      <c r="E3348" s="1"/>
      <c r="F3348" s="1"/>
    </row>
    <row r="3349" spans="5:6">
      <c r="E3349" s="1"/>
      <c r="F3349" s="1"/>
    </row>
    <row r="3350" spans="5:6">
      <c r="E3350" s="1"/>
      <c r="F3350" s="1"/>
    </row>
    <row r="3351" spans="5:6">
      <c r="E3351" s="1"/>
      <c r="F3351" s="1"/>
    </row>
    <row r="3352" spans="5:6">
      <c r="E3352" s="1"/>
      <c r="F3352" s="1"/>
    </row>
    <row r="3353" spans="5:6">
      <c r="E3353" s="1"/>
      <c r="F3353" s="1"/>
    </row>
    <row r="3354" spans="5:6">
      <c r="E3354" s="1"/>
      <c r="F3354" s="1"/>
    </row>
    <row r="3355" spans="5:6">
      <c r="E3355" s="1"/>
      <c r="F3355" s="1"/>
    </row>
    <row r="3356" spans="5:6">
      <c r="E3356" s="1"/>
      <c r="F3356" s="1"/>
    </row>
    <row r="3357" spans="5:6">
      <c r="E3357" s="1"/>
      <c r="F3357" s="1"/>
    </row>
    <row r="3358" spans="5:6">
      <c r="E3358" s="1"/>
      <c r="F3358" s="1"/>
    </row>
    <row r="3359" spans="5:6">
      <c r="E3359" s="1"/>
      <c r="F3359" s="1"/>
    </row>
    <row r="3360" spans="5:6">
      <c r="E3360" s="1"/>
      <c r="F3360" s="1"/>
    </row>
    <row r="3361" spans="5:6">
      <c r="E3361" s="1"/>
      <c r="F3361" s="1"/>
    </row>
    <row r="3362" spans="5:6">
      <c r="E3362" s="1"/>
      <c r="F3362" s="1"/>
    </row>
    <row r="3363" spans="5:6">
      <c r="E3363" s="1"/>
      <c r="F3363" s="1"/>
    </row>
    <row r="3364" spans="5:6">
      <c r="E3364" s="1"/>
      <c r="F3364" s="1"/>
    </row>
    <row r="3365" spans="5:6">
      <c r="E3365" s="1"/>
      <c r="F3365" s="1"/>
    </row>
    <row r="3366" spans="5:6">
      <c r="E3366" s="1"/>
      <c r="F3366" s="1"/>
    </row>
    <row r="3367" spans="5:6">
      <c r="E3367" s="1"/>
      <c r="F3367" s="1"/>
    </row>
    <row r="3368" spans="5:6">
      <c r="E3368" s="1"/>
      <c r="F3368" s="1"/>
    </row>
    <row r="3369" spans="5:6">
      <c r="E3369" s="1"/>
      <c r="F3369" s="1"/>
    </row>
    <row r="3370" spans="5:6">
      <c r="E3370" s="1"/>
      <c r="F3370" s="1"/>
    </row>
    <row r="3371" spans="5:6">
      <c r="E3371" s="1"/>
      <c r="F3371" s="1"/>
    </row>
    <row r="3372" spans="5:6">
      <c r="E3372" s="1"/>
      <c r="F3372" s="1"/>
    </row>
    <row r="3373" spans="5:6">
      <c r="E3373" s="1"/>
      <c r="F3373" s="1"/>
    </row>
    <row r="3374" spans="5:6">
      <c r="E3374" s="1"/>
      <c r="F3374" s="1"/>
    </row>
    <row r="3375" spans="5:6">
      <c r="E3375" s="1"/>
      <c r="F3375" s="1"/>
    </row>
    <row r="3376" spans="5:6">
      <c r="E3376" s="1"/>
      <c r="F3376" s="1"/>
    </row>
    <row r="3377" spans="5:6">
      <c r="E3377" s="1"/>
      <c r="F3377" s="1"/>
    </row>
    <row r="3378" spans="5:6">
      <c r="E3378" s="1"/>
      <c r="F3378" s="1"/>
    </row>
    <row r="3379" spans="5:6">
      <c r="E3379" s="1"/>
      <c r="F3379" s="1"/>
    </row>
    <row r="3380" spans="5:6">
      <c r="E3380" s="1"/>
      <c r="F3380" s="1"/>
    </row>
    <row r="3381" spans="5:6">
      <c r="E3381" s="1"/>
      <c r="F3381" s="1"/>
    </row>
    <row r="3382" spans="5:6">
      <c r="E3382" s="1"/>
      <c r="F3382" s="1"/>
    </row>
    <row r="3383" spans="5:6">
      <c r="E3383" s="1"/>
      <c r="F3383" s="1"/>
    </row>
    <row r="3384" spans="5:6">
      <c r="E3384" s="1"/>
      <c r="F3384" s="1"/>
    </row>
    <row r="3385" spans="5:6">
      <c r="E3385" s="1"/>
      <c r="F3385" s="1"/>
    </row>
    <row r="3386" spans="5:6">
      <c r="E3386" s="1"/>
      <c r="F3386" s="1"/>
    </row>
    <row r="3387" spans="5:6">
      <c r="E3387" s="1"/>
      <c r="F3387" s="1"/>
    </row>
    <row r="3388" spans="5:6">
      <c r="E3388" s="1"/>
      <c r="F3388" s="1"/>
    </row>
    <row r="3389" spans="5:6">
      <c r="E3389" s="1"/>
      <c r="F3389" s="1"/>
    </row>
    <row r="3390" spans="5:6">
      <c r="E3390" s="1"/>
      <c r="F3390" s="1"/>
    </row>
    <row r="3391" spans="5:6">
      <c r="E3391" s="1"/>
      <c r="F3391" s="1"/>
    </row>
    <row r="3392" spans="5:6">
      <c r="E3392" s="1"/>
      <c r="F3392" s="1"/>
    </row>
    <row r="3393" spans="5:6">
      <c r="E3393" s="1"/>
      <c r="F3393" s="1"/>
    </row>
    <row r="3394" spans="5:6">
      <c r="E3394" s="1"/>
      <c r="F3394" s="1"/>
    </row>
    <row r="3395" spans="5:6">
      <c r="E3395" s="1"/>
      <c r="F3395" s="1"/>
    </row>
    <row r="3396" spans="5:6">
      <c r="E3396" s="1"/>
      <c r="F3396" s="1"/>
    </row>
    <row r="3397" spans="5:6">
      <c r="E3397" s="1"/>
      <c r="F3397" s="1"/>
    </row>
    <row r="3398" spans="5:6">
      <c r="E3398" s="1"/>
      <c r="F3398" s="1"/>
    </row>
    <row r="3399" spans="5:6">
      <c r="E3399" s="1"/>
      <c r="F3399" s="1"/>
    </row>
    <row r="3400" spans="5:6">
      <c r="E3400" s="1"/>
      <c r="F3400" s="1"/>
    </row>
    <row r="3401" spans="5:6">
      <c r="E3401" s="1"/>
      <c r="F3401" s="1"/>
    </row>
    <row r="3402" spans="5:6">
      <c r="E3402" s="1"/>
      <c r="F3402" s="1"/>
    </row>
    <row r="3403" spans="5:6">
      <c r="E3403" s="1"/>
      <c r="F3403" s="1"/>
    </row>
    <row r="3404" spans="5:6">
      <c r="E3404" s="1"/>
      <c r="F3404" s="1"/>
    </row>
    <row r="3405" spans="5:6">
      <c r="E3405" s="1"/>
      <c r="F3405" s="1"/>
    </row>
    <row r="3406" spans="5:6">
      <c r="E3406" s="1"/>
      <c r="F3406" s="1"/>
    </row>
    <row r="3407" spans="5:6">
      <c r="E3407" s="1"/>
      <c r="F3407" s="1"/>
    </row>
    <row r="3408" spans="5:6">
      <c r="E3408" s="1"/>
      <c r="F3408" s="1"/>
    </row>
    <row r="3409" spans="5:6">
      <c r="E3409" s="1"/>
      <c r="F3409" s="1"/>
    </row>
    <row r="3410" spans="5:6">
      <c r="E3410" s="1"/>
      <c r="F3410" s="1"/>
    </row>
    <row r="3411" spans="5:6">
      <c r="E3411" s="1"/>
      <c r="F3411" s="1"/>
    </row>
    <row r="3412" spans="5:6">
      <c r="E3412" s="1"/>
      <c r="F3412" s="1"/>
    </row>
    <row r="3413" spans="5:6">
      <c r="E3413" s="1"/>
      <c r="F3413" s="1"/>
    </row>
    <row r="3414" spans="5:6">
      <c r="E3414" s="1"/>
      <c r="F3414" s="1"/>
    </row>
    <row r="3415" spans="5:6">
      <c r="E3415" s="1"/>
      <c r="F3415" s="1"/>
    </row>
    <row r="3416" spans="5:6">
      <c r="E3416" s="1"/>
      <c r="F3416" s="1"/>
    </row>
    <row r="3417" spans="5:6">
      <c r="E3417" s="1"/>
      <c r="F3417" s="1"/>
    </row>
    <row r="3418" spans="5:6">
      <c r="E3418" s="1"/>
      <c r="F3418" s="1"/>
    </row>
    <row r="3419" spans="5:6">
      <c r="E3419" s="1"/>
      <c r="F3419" s="1"/>
    </row>
    <row r="3420" spans="5:6">
      <c r="E3420" s="1"/>
      <c r="F3420" s="1"/>
    </row>
    <row r="3421" spans="5:6">
      <c r="E3421" s="1"/>
      <c r="F3421" s="1"/>
    </row>
    <row r="3422" spans="5:6">
      <c r="E3422" s="1"/>
      <c r="F3422" s="1"/>
    </row>
    <row r="3423" spans="5:6">
      <c r="E3423" s="1"/>
      <c r="F3423" s="1"/>
    </row>
    <row r="3424" spans="5:6">
      <c r="E3424" s="1"/>
      <c r="F3424" s="1"/>
    </row>
    <row r="3425" spans="5:6">
      <c r="E3425" s="1"/>
      <c r="F3425" s="1"/>
    </row>
    <row r="3426" spans="5:6">
      <c r="E3426" s="1"/>
      <c r="F3426" s="1"/>
    </row>
    <row r="3427" spans="5:6">
      <c r="E3427" s="1"/>
      <c r="F3427" s="1"/>
    </row>
    <row r="3428" spans="5:6">
      <c r="E3428" s="1"/>
      <c r="F3428" s="1"/>
    </row>
    <row r="3429" spans="5:6">
      <c r="E3429" s="1"/>
      <c r="F3429" s="1"/>
    </row>
    <row r="3430" spans="5:6">
      <c r="E3430" s="1"/>
      <c r="F3430" s="1"/>
    </row>
    <row r="3431" spans="5:6">
      <c r="E3431" s="1"/>
      <c r="F3431" s="1"/>
    </row>
    <row r="3432" spans="5:6">
      <c r="E3432" s="1"/>
      <c r="F3432" s="1"/>
    </row>
    <row r="3433" spans="5:6">
      <c r="E3433" s="1"/>
      <c r="F3433" s="1"/>
    </row>
    <row r="3434" spans="5:6">
      <c r="E3434" s="1"/>
      <c r="F3434" s="1"/>
    </row>
    <row r="3435" spans="5:6">
      <c r="E3435" s="1"/>
      <c r="F3435" s="1"/>
    </row>
    <row r="3436" spans="5:6">
      <c r="E3436" s="1"/>
      <c r="F3436" s="1"/>
    </row>
    <row r="3437" spans="5:6">
      <c r="E3437" s="1"/>
      <c r="F3437" s="1"/>
    </row>
    <row r="3438" spans="5:6">
      <c r="E3438" s="1"/>
      <c r="F3438" s="1"/>
    </row>
    <row r="3439" spans="5:6">
      <c r="E3439" s="1"/>
      <c r="F3439" s="1"/>
    </row>
    <row r="3440" spans="5:6">
      <c r="E3440" s="1"/>
      <c r="F3440" s="1"/>
    </row>
    <row r="3441" spans="5:6">
      <c r="E3441" s="1"/>
      <c r="F3441" s="1"/>
    </row>
    <row r="3442" spans="5:6">
      <c r="E3442" s="1"/>
      <c r="F3442" s="1"/>
    </row>
    <row r="3443" spans="5:6">
      <c r="E3443" s="1"/>
      <c r="F3443" s="1"/>
    </row>
    <row r="3444" spans="5:6">
      <c r="E3444" s="1"/>
      <c r="F3444" s="1"/>
    </row>
    <row r="3445" spans="5:6">
      <c r="E3445" s="1"/>
      <c r="F3445" s="1"/>
    </row>
    <row r="3446" spans="5:6">
      <c r="E3446" s="1"/>
      <c r="F3446" s="1"/>
    </row>
    <row r="3447" spans="5:6">
      <c r="E3447" s="1"/>
      <c r="F3447" s="1"/>
    </row>
    <row r="3448" spans="5:6">
      <c r="E3448" s="1"/>
      <c r="F3448" s="1"/>
    </row>
    <row r="3449" spans="5:6">
      <c r="E3449" s="1"/>
      <c r="F3449" s="1"/>
    </row>
    <row r="3450" spans="5:6">
      <c r="E3450" s="1"/>
      <c r="F3450" s="1"/>
    </row>
    <row r="3451" spans="5:6">
      <c r="E3451" s="1"/>
      <c r="F3451" s="1"/>
    </row>
    <row r="3452" spans="5:6">
      <c r="E3452" s="1"/>
      <c r="F3452" s="1"/>
    </row>
    <row r="3453" spans="5:6">
      <c r="E3453" s="1"/>
      <c r="F3453" s="1"/>
    </row>
    <row r="3454" spans="5:6">
      <c r="E3454" s="1"/>
      <c r="F3454" s="1"/>
    </row>
    <row r="3455" spans="5:6">
      <c r="E3455" s="1"/>
      <c r="F3455" s="1"/>
    </row>
    <row r="3456" spans="5:6">
      <c r="E3456" s="1"/>
      <c r="F3456" s="1"/>
    </row>
    <row r="3457" spans="5:6">
      <c r="E3457" s="1"/>
      <c r="F3457" s="1"/>
    </row>
    <row r="3458" spans="5:6">
      <c r="E3458" s="1"/>
      <c r="F3458" s="1"/>
    </row>
    <row r="3459" spans="5:6">
      <c r="E3459" s="1"/>
      <c r="F3459" s="1"/>
    </row>
    <row r="3460" spans="5:6">
      <c r="E3460" s="1"/>
      <c r="F3460" s="1"/>
    </row>
    <row r="3461" spans="5:6">
      <c r="E3461" s="1"/>
      <c r="F3461" s="1"/>
    </row>
    <row r="3462" spans="5:6">
      <c r="E3462" s="1"/>
      <c r="F3462" s="1"/>
    </row>
    <row r="3463" spans="5:6">
      <c r="E3463" s="1"/>
      <c r="F3463" s="1"/>
    </row>
    <row r="3464" spans="5:6">
      <c r="E3464" s="1"/>
      <c r="F3464" s="1"/>
    </row>
    <row r="3465" spans="5:6">
      <c r="E3465" s="1"/>
      <c r="F3465" s="1"/>
    </row>
    <row r="3466" spans="5:6">
      <c r="E3466" s="1"/>
      <c r="F3466" s="1"/>
    </row>
    <row r="3467" spans="5:6">
      <c r="E3467" s="1"/>
      <c r="F3467" s="1"/>
    </row>
    <row r="3468" spans="5:6">
      <c r="E3468" s="1"/>
      <c r="F3468" s="1"/>
    </row>
    <row r="3469" spans="5:6">
      <c r="E3469" s="1"/>
      <c r="F3469" s="1"/>
    </row>
    <row r="3470" spans="5:6">
      <c r="E3470" s="1"/>
      <c r="F3470" s="1"/>
    </row>
    <row r="3471" spans="5:6">
      <c r="E3471" s="1"/>
      <c r="F3471" s="1"/>
    </row>
    <row r="3472" spans="5:6">
      <c r="E3472" s="1"/>
      <c r="F3472" s="1"/>
    </row>
    <row r="3473" spans="5:6">
      <c r="E3473" s="1"/>
      <c r="F3473" s="1"/>
    </row>
    <row r="3474" spans="5:6">
      <c r="E3474" s="1"/>
      <c r="F3474" s="1"/>
    </row>
    <row r="3475" spans="5:6">
      <c r="E3475" s="1"/>
      <c r="F3475" s="1"/>
    </row>
    <row r="3476" spans="5:6">
      <c r="E3476" s="1"/>
      <c r="F3476" s="1"/>
    </row>
    <row r="3477" spans="5:6">
      <c r="E3477" s="1"/>
      <c r="F3477" s="1"/>
    </row>
    <row r="3478" spans="5:6">
      <c r="E3478" s="1"/>
      <c r="F3478" s="1"/>
    </row>
    <row r="3479" spans="5:6">
      <c r="E3479" s="1"/>
      <c r="F3479" s="1"/>
    </row>
    <row r="3480" spans="5:6">
      <c r="E3480" s="1"/>
      <c r="F3480" s="1"/>
    </row>
    <row r="3481" spans="5:6">
      <c r="E3481" s="1"/>
      <c r="F3481" s="1"/>
    </row>
    <row r="3482" spans="5:6">
      <c r="E3482" s="1"/>
      <c r="F3482" s="1"/>
    </row>
    <row r="3483" spans="5:6">
      <c r="E3483" s="1"/>
      <c r="F3483" s="1"/>
    </row>
    <row r="3484" spans="5:6">
      <c r="E3484" s="1"/>
      <c r="F3484" s="1"/>
    </row>
    <row r="3485" spans="5:6">
      <c r="E3485" s="1"/>
      <c r="F3485" s="1"/>
    </row>
    <row r="3486" spans="5:6">
      <c r="E3486" s="1"/>
      <c r="F3486" s="1"/>
    </row>
    <row r="3487" spans="5:6">
      <c r="E3487" s="1"/>
      <c r="F3487" s="1"/>
    </row>
    <row r="3488" spans="5:6">
      <c r="E3488" s="1"/>
      <c r="F3488" s="1"/>
    </row>
    <row r="3489" spans="5:6">
      <c r="E3489" s="1"/>
      <c r="F3489" s="1"/>
    </row>
    <row r="3490" spans="5:6">
      <c r="E3490" s="1"/>
      <c r="F3490" s="1"/>
    </row>
    <row r="3491" spans="5:6">
      <c r="E3491" s="1"/>
      <c r="F3491" s="1"/>
    </row>
    <row r="3492" spans="5:6">
      <c r="E3492" s="1"/>
      <c r="F3492" s="1"/>
    </row>
    <row r="3493" spans="5:6">
      <c r="E3493" s="1"/>
      <c r="F3493" s="1"/>
    </row>
    <row r="3494" spans="5:6">
      <c r="E3494" s="1"/>
      <c r="F3494" s="1"/>
    </row>
    <row r="3495" spans="5:6">
      <c r="E3495" s="1"/>
      <c r="F3495" s="1"/>
    </row>
    <row r="3496" spans="5:6">
      <c r="E3496" s="1"/>
      <c r="F3496" s="1"/>
    </row>
    <row r="3497" spans="5:6">
      <c r="E3497" s="1"/>
      <c r="F3497" s="1"/>
    </row>
    <row r="3498" spans="5:6">
      <c r="E3498" s="1"/>
      <c r="F3498" s="1"/>
    </row>
    <row r="3499" spans="5:6">
      <c r="E3499" s="1"/>
      <c r="F3499" s="1"/>
    </row>
    <row r="3500" spans="5:6">
      <c r="E3500" s="1"/>
      <c r="F3500" s="1"/>
    </row>
    <row r="3501" spans="5:6">
      <c r="E3501" s="1"/>
      <c r="F3501" s="1"/>
    </row>
    <row r="3502" spans="5:6">
      <c r="E3502" s="1"/>
      <c r="F3502" s="1"/>
    </row>
    <row r="3503" spans="5:6">
      <c r="E3503" s="1"/>
      <c r="F3503" s="1"/>
    </row>
    <row r="3504" spans="5:6">
      <c r="E3504" s="1"/>
      <c r="F3504" s="1"/>
    </row>
    <row r="3505" spans="5:6">
      <c r="E3505" s="1"/>
      <c r="F3505" s="1"/>
    </row>
    <row r="3506" spans="5:6">
      <c r="E3506" s="1"/>
      <c r="F3506" s="1"/>
    </row>
    <row r="3507" spans="5:6">
      <c r="E3507" s="1"/>
      <c r="F3507" s="1"/>
    </row>
    <row r="3508" spans="5:6">
      <c r="E3508" s="1"/>
      <c r="F3508" s="1"/>
    </row>
    <row r="3509" spans="5:6">
      <c r="E3509" s="1"/>
      <c r="F3509" s="1"/>
    </row>
    <row r="3510" spans="5:6">
      <c r="E3510" s="1"/>
      <c r="F3510" s="1"/>
    </row>
    <row r="3511" spans="5:6">
      <c r="E3511" s="1"/>
      <c r="F3511" s="1"/>
    </row>
    <row r="3512" spans="5:6">
      <c r="E3512" s="1"/>
      <c r="F3512" s="1"/>
    </row>
    <row r="3513" spans="5:6">
      <c r="E3513" s="1"/>
      <c r="F3513" s="1"/>
    </row>
    <row r="3514" spans="5:6">
      <c r="E3514" s="1"/>
      <c r="F3514" s="1"/>
    </row>
    <row r="3515" spans="5:6">
      <c r="E3515" s="1"/>
      <c r="F3515" s="1"/>
    </row>
    <row r="3516" spans="5:6">
      <c r="E3516" s="1"/>
      <c r="F3516" s="1"/>
    </row>
    <row r="3517" spans="5:6">
      <c r="E3517" s="1"/>
      <c r="F3517" s="1"/>
    </row>
    <row r="3518" spans="5:6">
      <c r="E3518" s="1"/>
      <c r="F3518" s="1"/>
    </row>
    <row r="3519" spans="5:6">
      <c r="E3519" s="1"/>
      <c r="F3519" s="1"/>
    </row>
    <row r="3520" spans="5:6">
      <c r="E3520" s="1"/>
      <c r="F3520" s="1"/>
    </row>
    <row r="3521" spans="5:6">
      <c r="E3521" s="1"/>
      <c r="F3521" s="1"/>
    </row>
    <row r="3522" spans="5:6">
      <c r="E3522" s="1"/>
      <c r="F3522" s="1"/>
    </row>
    <row r="3523" spans="5:6">
      <c r="E3523" s="1"/>
      <c r="F3523" s="1"/>
    </row>
    <row r="3524" spans="5:6">
      <c r="E3524" s="1"/>
      <c r="F3524" s="1"/>
    </row>
    <row r="3525" spans="5:6">
      <c r="E3525" s="1"/>
      <c r="F3525" s="1"/>
    </row>
    <row r="3526" spans="5:6">
      <c r="E3526" s="1"/>
      <c r="F3526" s="1"/>
    </row>
    <row r="3527" spans="5:6">
      <c r="E3527" s="1"/>
      <c r="F3527" s="1"/>
    </row>
    <row r="3528" spans="5:6">
      <c r="E3528" s="1"/>
      <c r="F3528" s="1"/>
    </row>
    <row r="3529" spans="5:6">
      <c r="E3529" s="1"/>
      <c r="F3529" s="1"/>
    </row>
    <row r="3530" spans="5:6">
      <c r="E3530" s="1"/>
      <c r="F3530" s="1"/>
    </row>
    <row r="3531" spans="5:6">
      <c r="E3531" s="1"/>
      <c r="F3531" s="1"/>
    </row>
    <row r="3532" spans="5:6">
      <c r="E3532" s="1"/>
      <c r="F3532" s="1"/>
    </row>
    <row r="3533" spans="5:6">
      <c r="E3533" s="1"/>
      <c r="F3533" s="1"/>
    </row>
    <row r="3534" spans="5:6">
      <c r="E3534" s="1"/>
      <c r="F3534" s="1"/>
    </row>
    <row r="3535" spans="5:6">
      <c r="E3535" s="1"/>
      <c r="F3535" s="1"/>
    </row>
    <row r="3536" spans="5:6">
      <c r="E3536" s="1"/>
      <c r="F3536" s="1"/>
    </row>
    <row r="3537" spans="5:6">
      <c r="E3537" s="1"/>
      <c r="F3537" s="1"/>
    </row>
    <row r="3538" spans="5:6">
      <c r="E3538" s="1"/>
      <c r="F3538" s="1"/>
    </row>
    <row r="3539" spans="5:6">
      <c r="E3539" s="1"/>
      <c r="F3539" s="1"/>
    </row>
    <row r="3540" spans="5:6">
      <c r="E3540" s="1"/>
      <c r="F3540" s="1"/>
    </row>
    <row r="3541" spans="5:6">
      <c r="E3541" s="1"/>
      <c r="F3541" s="1"/>
    </row>
    <row r="3542" spans="5:6">
      <c r="E3542" s="1"/>
      <c r="F3542" s="1"/>
    </row>
    <row r="3543" spans="5:6">
      <c r="E3543" s="1"/>
      <c r="F3543" s="1"/>
    </row>
    <row r="3544" spans="5:6">
      <c r="E3544" s="1"/>
      <c r="F3544" s="1"/>
    </row>
    <row r="3545" spans="5:6">
      <c r="E3545" s="1"/>
      <c r="F3545" s="1"/>
    </row>
    <row r="3546" spans="5:6">
      <c r="E3546" s="1"/>
      <c r="F3546" s="1"/>
    </row>
    <row r="3547" spans="5:6">
      <c r="E3547" s="1"/>
      <c r="F3547" s="1"/>
    </row>
    <row r="3548" spans="5:6">
      <c r="E3548" s="1"/>
      <c r="F3548" s="1"/>
    </row>
    <row r="3549" spans="5:6">
      <c r="E3549" s="1"/>
      <c r="F3549" s="1"/>
    </row>
    <row r="3550" spans="5:6">
      <c r="E3550" s="1"/>
      <c r="F3550" s="1"/>
    </row>
    <row r="3551" spans="5:6">
      <c r="E3551" s="1"/>
      <c r="F3551" s="1"/>
    </row>
    <row r="3552" spans="5:6">
      <c r="E3552" s="1"/>
      <c r="F3552" s="1"/>
    </row>
    <row r="3553" spans="5:6">
      <c r="E3553" s="1"/>
      <c r="F3553" s="1"/>
    </row>
    <row r="3554" spans="5:6">
      <c r="E3554" s="1"/>
      <c r="F3554" s="1"/>
    </row>
    <row r="3555" spans="5:6">
      <c r="E3555" s="1"/>
      <c r="F3555" s="1"/>
    </row>
    <row r="3556" spans="5:6">
      <c r="E3556" s="1"/>
      <c r="F3556" s="1"/>
    </row>
    <row r="3557" spans="5:6">
      <c r="E3557" s="1"/>
      <c r="F3557" s="1"/>
    </row>
    <row r="3558" spans="5:6">
      <c r="E3558" s="1"/>
      <c r="F3558" s="1"/>
    </row>
    <row r="3559" spans="5:6">
      <c r="E3559" s="1"/>
      <c r="F3559" s="1"/>
    </row>
    <row r="3560" spans="5:6">
      <c r="E3560" s="1"/>
      <c r="F3560" s="1"/>
    </row>
    <row r="3561" spans="5:6">
      <c r="E3561" s="1"/>
      <c r="F3561" s="1"/>
    </row>
    <row r="3562" spans="5:6">
      <c r="E3562" s="1"/>
      <c r="F3562" s="1"/>
    </row>
    <row r="3563" spans="5:6">
      <c r="E3563" s="1"/>
      <c r="F3563" s="1"/>
    </row>
    <row r="3564" spans="5:6">
      <c r="E3564" s="1"/>
      <c r="F3564" s="1"/>
    </row>
    <row r="3565" spans="5:6">
      <c r="E3565" s="1"/>
      <c r="F3565" s="1"/>
    </row>
    <row r="3566" spans="5:6">
      <c r="E3566" s="1"/>
      <c r="F3566" s="1"/>
    </row>
    <row r="3567" spans="5:6">
      <c r="E3567" s="1"/>
      <c r="F3567" s="1"/>
    </row>
    <row r="3568" spans="5:6">
      <c r="E3568" s="1"/>
      <c r="F3568" s="1"/>
    </row>
    <row r="3569" spans="5:6">
      <c r="E3569" s="1"/>
      <c r="F3569" s="1"/>
    </row>
    <row r="3570" spans="5:6">
      <c r="E3570" s="1"/>
      <c r="F3570" s="1"/>
    </row>
    <row r="3571" spans="5:6">
      <c r="E3571" s="1"/>
      <c r="F3571" s="1"/>
    </row>
    <row r="3572" spans="5:6">
      <c r="E3572" s="1"/>
      <c r="F3572" s="1"/>
    </row>
    <row r="3573" spans="5:6">
      <c r="E3573" s="1"/>
      <c r="F3573" s="1"/>
    </row>
    <row r="3574" spans="5:6">
      <c r="E3574" s="1"/>
      <c r="F3574" s="1"/>
    </row>
    <row r="3575" spans="5:6">
      <c r="E3575" s="1"/>
      <c r="F3575" s="1"/>
    </row>
    <row r="3576" spans="5:6">
      <c r="E3576" s="1"/>
      <c r="F3576" s="1"/>
    </row>
    <row r="3577" spans="5:6">
      <c r="E3577" s="1"/>
      <c r="F3577" s="1"/>
    </row>
    <row r="3578" spans="5:6">
      <c r="E3578" s="1"/>
      <c r="F3578" s="1"/>
    </row>
    <row r="3579" spans="5:6">
      <c r="E3579" s="1"/>
      <c r="F3579" s="1"/>
    </row>
    <row r="3580" spans="5:6">
      <c r="E3580" s="1"/>
      <c r="F3580" s="1"/>
    </row>
    <row r="3581" spans="5:6">
      <c r="E3581" s="1"/>
      <c r="F3581" s="1"/>
    </row>
    <row r="3582" spans="5:6">
      <c r="E3582" s="1"/>
      <c r="F3582" s="1"/>
    </row>
    <row r="3583" spans="5:6">
      <c r="E3583" s="1"/>
      <c r="F3583" s="1"/>
    </row>
    <row r="3584" spans="5:6">
      <c r="E3584" s="1"/>
      <c r="F3584" s="1"/>
    </row>
    <row r="3585" spans="5:6">
      <c r="E3585" s="1"/>
      <c r="F3585" s="1"/>
    </row>
    <row r="3586" spans="5:6">
      <c r="E3586" s="1"/>
      <c r="F3586" s="1"/>
    </row>
    <row r="3587" spans="5:6">
      <c r="E3587" s="1"/>
      <c r="F3587" s="1"/>
    </row>
    <row r="3588" spans="5:6">
      <c r="E3588" s="1"/>
      <c r="F3588" s="1"/>
    </row>
    <row r="3589" spans="5:6">
      <c r="E3589" s="1"/>
      <c r="F3589" s="1"/>
    </row>
    <row r="3590" spans="5:6">
      <c r="E3590" s="1"/>
      <c r="F3590" s="1"/>
    </row>
    <row r="3591" spans="5:6">
      <c r="E3591" s="1"/>
      <c r="F3591" s="1"/>
    </row>
    <row r="3592" spans="5:6">
      <c r="E3592" s="1"/>
      <c r="F3592" s="1"/>
    </row>
    <row r="3593" spans="5:6">
      <c r="E3593" s="1"/>
      <c r="F3593" s="1"/>
    </row>
    <row r="3594" spans="5:6">
      <c r="E3594" s="1"/>
      <c r="F3594" s="1"/>
    </row>
    <row r="3595" spans="5:6">
      <c r="E3595" s="1"/>
      <c r="F3595" s="1"/>
    </row>
    <row r="3596" spans="5:6">
      <c r="E3596" s="1"/>
      <c r="F3596" s="1"/>
    </row>
    <row r="3597" spans="5:6">
      <c r="E3597" s="1"/>
      <c r="F3597" s="1"/>
    </row>
    <row r="3598" spans="5:6">
      <c r="E3598" s="1"/>
      <c r="F3598" s="1"/>
    </row>
    <row r="3599" spans="5:6">
      <c r="E3599" s="1"/>
      <c r="F3599" s="1"/>
    </row>
    <row r="3600" spans="5:6">
      <c r="E3600" s="1"/>
      <c r="F3600" s="1"/>
    </row>
    <row r="3601" spans="5:6">
      <c r="E3601" s="1"/>
      <c r="F3601" s="1"/>
    </row>
    <row r="3602" spans="5:6">
      <c r="E3602" s="1"/>
      <c r="F3602" s="1"/>
    </row>
    <row r="3603" spans="5:6">
      <c r="E3603" s="1"/>
      <c r="F3603" s="1"/>
    </row>
    <row r="3604" spans="5:6">
      <c r="E3604" s="1"/>
      <c r="F3604" s="1"/>
    </row>
    <row r="3605" spans="5:6">
      <c r="E3605" s="1"/>
      <c r="F3605" s="1"/>
    </row>
    <row r="3606" spans="5:6">
      <c r="E3606" s="1"/>
      <c r="F3606" s="1"/>
    </row>
    <row r="3607" spans="5:6">
      <c r="E3607" s="1"/>
      <c r="F3607" s="1"/>
    </row>
    <row r="3608" spans="5:6">
      <c r="E3608" s="1"/>
      <c r="F3608" s="1"/>
    </row>
    <row r="3609" spans="5:6">
      <c r="E3609" s="1"/>
      <c r="F3609" s="1"/>
    </row>
    <row r="3610" spans="5:6">
      <c r="E3610" s="1"/>
      <c r="F3610" s="1"/>
    </row>
    <row r="3611" spans="5:6">
      <c r="E3611" s="1"/>
      <c r="F3611" s="1"/>
    </row>
    <row r="3612" spans="5:6">
      <c r="E3612" s="1"/>
      <c r="F3612" s="1"/>
    </row>
    <row r="3613" spans="5:6">
      <c r="E3613" s="1"/>
      <c r="F3613" s="1"/>
    </row>
    <row r="3614" spans="5:6">
      <c r="E3614" s="1"/>
      <c r="F3614" s="1"/>
    </row>
    <row r="3615" spans="5:6">
      <c r="E3615" s="1"/>
      <c r="F3615" s="1"/>
    </row>
    <row r="3616" spans="5:6">
      <c r="E3616" s="1"/>
      <c r="F3616" s="1"/>
    </row>
    <row r="3617" spans="5:6">
      <c r="E3617" s="1"/>
      <c r="F3617" s="1"/>
    </row>
    <row r="3618" spans="5:6">
      <c r="E3618" s="1"/>
      <c r="F3618" s="1"/>
    </row>
    <row r="3619" spans="5:6">
      <c r="E3619" s="1"/>
      <c r="F3619" s="1"/>
    </row>
    <row r="3620" spans="5:6">
      <c r="E3620" s="1"/>
      <c r="F3620" s="1"/>
    </row>
    <row r="3621" spans="5:6">
      <c r="E3621" s="1"/>
      <c r="F3621" s="1"/>
    </row>
    <row r="3622" spans="5:6">
      <c r="E3622" s="1"/>
      <c r="F3622" s="1"/>
    </row>
    <row r="3623" spans="5:6">
      <c r="E3623" s="1"/>
      <c r="F3623" s="1"/>
    </row>
    <row r="3624" spans="5:6">
      <c r="E3624" s="1"/>
      <c r="F3624" s="1"/>
    </row>
    <row r="3625" spans="5:6">
      <c r="E3625" s="1"/>
      <c r="F3625" s="1"/>
    </row>
    <row r="3626" spans="5:6">
      <c r="E3626" s="1"/>
      <c r="F3626" s="1"/>
    </row>
    <row r="3627" spans="5:6">
      <c r="E3627" s="1"/>
      <c r="F3627" s="1"/>
    </row>
    <row r="3628" spans="5:6">
      <c r="E3628" s="1"/>
      <c r="F3628" s="1"/>
    </row>
    <row r="3629" spans="5:6">
      <c r="E3629" s="1"/>
      <c r="F3629" s="1"/>
    </row>
    <row r="3630" spans="5:6">
      <c r="E3630" s="1"/>
      <c r="F3630" s="1"/>
    </row>
    <row r="3631" spans="5:6">
      <c r="E3631" s="1"/>
      <c r="F3631" s="1"/>
    </row>
    <row r="3632" spans="5:6">
      <c r="E3632" s="1"/>
      <c r="F3632" s="1"/>
    </row>
    <row r="3633" spans="5:6">
      <c r="E3633" s="1"/>
      <c r="F3633" s="1"/>
    </row>
    <row r="3634" spans="5:6">
      <c r="E3634" s="1"/>
      <c r="F3634" s="1"/>
    </row>
    <row r="3635" spans="5:6">
      <c r="E3635" s="1"/>
      <c r="F3635" s="1"/>
    </row>
    <row r="3636" spans="5:6">
      <c r="E3636" s="1"/>
      <c r="F3636" s="1"/>
    </row>
    <row r="3637" spans="5:6">
      <c r="E3637" s="1"/>
      <c r="F3637" s="1"/>
    </row>
    <row r="3638" spans="5:6">
      <c r="E3638" s="1"/>
      <c r="F3638" s="1"/>
    </row>
    <row r="3639" spans="5:6">
      <c r="E3639" s="1"/>
      <c r="F3639" s="1"/>
    </row>
    <row r="3640" spans="5:6">
      <c r="E3640" s="1"/>
      <c r="F3640" s="1"/>
    </row>
    <row r="3641" spans="5:6">
      <c r="E3641" s="1"/>
      <c r="F3641" s="1"/>
    </row>
    <row r="3642" spans="5:6">
      <c r="E3642" s="1"/>
      <c r="F3642" s="1"/>
    </row>
    <row r="3643" spans="5:6">
      <c r="E3643" s="1"/>
      <c r="F3643" s="1"/>
    </row>
    <row r="3644" spans="5:6">
      <c r="E3644" s="1"/>
      <c r="F3644" s="1"/>
    </row>
    <row r="3645" spans="5:6">
      <c r="E3645" s="1"/>
      <c r="F3645" s="1"/>
    </row>
    <row r="3646" spans="5:6">
      <c r="E3646" s="1"/>
      <c r="F3646" s="1"/>
    </row>
    <row r="3647" spans="5:6">
      <c r="E3647" s="1"/>
      <c r="F3647" s="1"/>
    </row>
    <row r="3648" spans="5:6">
      <c r="E3648" s="1"/>
      <c r="F3648" s="1"/>
    </row>
    <row r="3649" spans="5:6">
      <c r="E3649" s="1"/>
      <c r="F3649" s="1"/>
    </row>
    <row r="3650" spans="5:6">
      <c r="E3650" s="1"/>
      <c r="F3650" s="1"/>
    </row>
    <row r="3651" spans="5:6">
      <c r="E3651" s="1"/>
      <c r="F3651" s="1"/>
    </row>
    <row r="3652" spans="5:6">
      <c r="E3652" s="1"/>
      <c r="F3652" s="1"/>
    </row>
    <row r="3653" spans="5:6">
      <c r="E3653" s="1"/>
      <c r="F3653" s="1"/>
    </row>
    <row r="3654" spans="5:6">
      <c r="E3654" s="1"/>
      <c r="F3654" s="1"/>
    </row>
    <row r="3655" spans="5:6">
      <c r="E3655" s="1"/>
      <c r="F3655" s="1"/>
    </row>
    <row r="3656" spans="5:6">
      <c r="E3656" s="1"/>
      <c r="F3656" s="1"/>
    </row>
    <row r="3657" spans="5:6">
      <c r="E3657" s="1"/>
      <c r="F3657" s="1"/>
    </row>
    <row r="3658" spans="5:6">
      <c r="E3658" s="1"/>
      <c r="F3658" s="1"/>
    </row>
    <row r="3659" spans="5:6">
      <c r="E3659" s="1"/>
      <c r="F3659" s="1"/>
    </row>
    <row r="3660" spans="5:6">
      <c r="E3660" s="1"/>
      <c r="F3660" s="1"/>
    </row>
    <row r="3661" spans="5:6">
      <c r="E3661" s="1"/>
      <c r="F3661" s="1"/>
    </row>
    <row r="3662" spans="5:6">
      <c r="E3662" s="1"/>
      <c r="F3662" s="1"/>
    </row>
    <row r="3663" spans="5:6">
      <c r="E3663" s="1"/>
      <c r="F3663" s="1"/>
    </row>
    <row r="3664" spans="5:6">
      <c r="E3664" s="1"/>
      <c r="F3664" s="1"/>
    </row>
    <row r="3665" spans="5:6">
      <c r="E3665" s="1"/>
      <c r="F3665" s="1"/>
    </row>
    <row r="3666" spans="5:6">
      <c r="E3666" s="1"/>
      <c r="F3666" s="1"/>
    </row>
    <row r="3667" spans="5:6">
      <c r="E3667" s="1"/>
      <c r="F3667" s="1"/>
    </row>
    <row r="3668" spans="5:6">
      <c r="E3668" s="1"/>
      <c r="F3668" s="1"/>
    </row>
    <row r="3669" spans="5:6">
      <c r="E3669" s="1"/>
      <c r="F3669" s="1"/>
    </row>
    <row r="3670" spans="5:6">
      <c r="E3670" s="1"/>
      <c r="F3670" s="1"/>
    </row>
    <row r="3671" spans="5:6">
      <c r="E3671" s="1"/>
      <c r="F3671" s="1"/>
    </row>
    <row r="3672" spans="5:6">
      <c r="E3672" s="1"/>
      <c r="F3672" s="1"/>
    </row>
    <row r="3673" spans="5:6">
      <c r="E3673" s="1"/>
      <c r="F3673" s="1"/>
    </row>
    <row r="3674" spans="5:6">
      <c r="E3674" s="1"/>
      <c r="F3674" s="1"/>
    </row>
    <row r="3675" spans="5:6">
      <c r="E3675" s="1"/>
      <c r="F3675" s="1"/>
    </row>
    <row r="3676" spans="5:6">
      <c r="E3676" s="1"/>
      <c r="F3676" s="1"/>
    </row>
    <row r="3677" spans="5:6">
      <c r="E3677" s="1"/>
      <c r="F3677" s="1"/>
    </row>
    <row r="3678" spans="5:6">
      <c r="E3678" s="1"/>
      <c r="F3678" s="1"/>
    </row>
    <row r="3679" spans="5:6">
      <c r="E3679" s="1"/>
      <c r="F3679" s="1"/>
    </row>
    <row r="3680" spans="5:6">
      <c r="E3680" s="1"/>
      <c r="F3680" s="1"/>
    </row>
    <row r="3681" spans="5:6">
      <c r="E3681" s="1"/>
      <c r="F3681" s="1"/>
    </row>
    <row r="3682" spans="5:6">
      <c r="E3682" s="1"/>
      <c r="F3682" s="1"/>
    </row>
    <row r="3683" spans="5:6">
      <c r="E3683" s="1"/>
      <c r="F3683" s="1"/>
    </row>
    <row r="3684" spans="5:6">
      <c r="E3684" s="1"/>
      <c r="F3684" s="1"/>
    </row>
    <row r="3685" spans="5:6">
      <c r="E3685" s="1"/>
      <c r="F3685" s="1"/>
    </row>
    <row r="3686" spans="5:6">
      <c r="E3686" s="1"/>
      <c r="F3686" s="1"/>
    </row>
    <row r="3687" spans="5:6">
      <c r="E3687" s="1"/>
      <c r="F3687" s="1"/>
    </row>
    <row r="3688" spans="5:6">
      <c r="E3688" s="1"/>
      <c r="F3688" s="1"/>
    </row>
    <row r="3689" spans="5:6">
      <c r="E3689" s="1"/>
      <c r="F3689" s="1"/>
    </row>
    <row r="3690" spans="5:6">
      <c r="E3690" s="1"/>
      <c r="F3690" s="1"/>
    </row>
    <row r="3691" spans="5:6">
      <c r="E3691" s="1"/>
      <c r="F3691" s="1"/>
    </row>
    <row r="3692" spans="5:6">
      <c r="E3692" s="1"/>
      <c r="F3692" s="1"/>
    </row>
    <row r="3693" spans="5:6">
      <c r="E3693" s="1"/>
      <c r="F3693" s="1"/>
    </row>
    <row r="3694" spans="5:6">
      <c r="E3694" s="1"/>
      <c r="F3694" s="1"/>
    </row>
    <row r="3695" spans="5:6">
      <c r="E3695" s="1"/>
      <c r="F3695" s="1"/>
    </row>
    <row r="3696" spans="5:6">
      <c r="E3696" s="1"/>
      <c r="F3696" s="1"/>
    </row>
    <row r="3697" spans="5:6">
      <c r="E3697" s="1"/>
      <c r="F3697" s="1"/>
    </row>
    <row r="3698" spans="5:6">
      <c r="E3698" s="1"/>
      <c r="F3698" s="1"/>
    </row>
    <row r="3699" spans="5:6">
      <c r="E3699" s="1"/>
      <c r="F3699" s="1"/>
    </row>
    <row r="3700" spans="5:6">
      <c r="E3700" s="1"/>
      <c r="F3700" s="1"/>
    </row>
    <row r="3701" spans="5:6">
      <c r="E3701" s="1"/>
      <c r="F3701" s="1"/>
    </row>
    <row r="3702" spans="5:6">
      <c r="E3702" s="1"/>
      <c r="F3702" s="1"/>
    </row>
    <row r="3703" spans="5:6">
      <c r="E3703" s="1"/>
      <c r="F3703" s="1"/>
    </row>
    <row r="3704" spans="5:6">
      <c r="E3704" s="1"/>
      <c r="F3704" s="1"/>
    </row>
    <row r="3705" spans="5:6">
      <c r="E3705" s="1"/>
      <c r="F3705" s="1"/>
    </row>
    <row r="3706" spans="5:6">
      <c r="E3706" s="1"/>
      <c r="F3706" s="1"/>
    </row>
    <row r="3707" spans="5:6">
      <c r="E3707" s="1"/>
      <c r="F3707" s="1"/>
    </row>
    <row r="3708" spans="5:6">
      <c r="E3708" s="1"/>
      <c r="F3708" s="1"/>
    </row>
    <row r="3709" spans="5:6">
      <c r="E3709" s="1"/>
      <c r="F3709" s="1"/>
    </row>
    <row r="3710" spans="5:6">
      <c r="E3710" s="1"/>
      <c r="F3710" s="1"/>
    </row>
    <row r="3711" spans="5:6">
      <c r="E3711" s="1"/>
      <c r="F3711" s="1"/>
    </row>
    <row r="3712" spans="5:6">
      <c r="E3712" s="1"/>
      <c r="F3712" s="1"/>
    </row>
    <row r="3713" spans="5:6">
      <c r="E3713" s="1"/>
      <c r="F3713" s="1"/>
    </row>
    <row r="3714" spans="5:6">
      <c r="E3714" s="1"/>
      <c r="F3714" s="1"/>
    </row>
    <row r="3715" spans="5:6">
      <c r="E3715" s="1"/>
      <c r="F3715" s="1"/>
    </row>
    <row r="3716" spans="5:6">
      <c r="E3716" s="1"/>
      <c r="F3716" s="1"/>
    </row>
    <row r="3717" spans="5:6">
      <c r="E3717" s="1"/>
      <c r="F3717" s="1"/>
    </row>
    <row r="3718" spans="5:6">
      <c r="E3718" s="1"/>
      <c r="F3718" s="1"/>
    </row>
    <row r="3719" spans="5:6">
      <c r="E3719" s="1"/>
      <c r="F3719" s="1"/>
    </row>
    <row r="3720" spans="5:6">
      <c r="E3720" s="1"/>
      <c r="F3720" s="1"/>
    </row>
    <row r="3721" spans="5:6">
      <c r="E3721" s="1"/>
      <c r="F3721" s="1"/>
    </row>
    <row r="3722" spans="5:6">
      <c r="E3722" s="1"/>
      <c r="F3722" s="1"/>
    </row>
    <row r="3723" spans="5:6">
      <c r="E3723" s="1"/>
      <c r="F3723" s="1"/>
    </row>
    <row r="3724" spans="5:6">
      <c r="E3724" s="1"/>
      <c r="F3724" s="1"/>
    </row>
    <row r="3725" spans="5:6">
      <c r="E3725" s="1"/>
      <c r="F3725" s="1"/>
    </row>
    <row r="3726" spans="5:6">
      <c r="E3726" s="1"/>
      <c r="F3726" s="1"/>
    </row>
    <row r="3727" spans="5:6">
      <c r="E3727" s="1"/>
      <c r="F3727" s="1"/>
    </row>
    <row r="3728" spans="5:6">
      <c r="E3728" s="1"/>
      <c r="F3728" s="1"/>
    </row>
    <row r="3729" spans="5:6">
      <c r="E3729" s="1"/>
      <c r="F3729" s="1"/>
    </row>
    <row r="3730" spans="5:6">
      <c r="E3730" s="1"/>
      <c r="F3730" s="1"/>
    </row>
    <row r="3731" spans="5:6">
      <c r="E3731" s="1"/>
      <c r="F3731" s="1"/>
    </row>
    <row r="3732" spans="5:6">
      <c r="E3732" s="1"/>
      <c r="F3732" s="1"/>
    </row>
    <row r="3733" spans="5:6">
      <c r="E3733" s="1"/>
      <c r="F3733" s="1"/>
    </row>
    <row r="3734" spans="5:6">
      <c r="E3734" s="1"/>
      <c r="F3734" s="1"/>
    </row>
    <row r="3735" spans="5:6">
      <c r="E3735" s="1"/>
      <c r="F3735" s="1"/>
    </row>
    <row r="3736" spans="5:6">
      <c r="E3736" s="1"/>
      <c r="F3736" s="1"/>
    </row>
    <row r="3737" spans="5:6">
      <c r="E3737" s="1"/>
      <c r="F3737" s="1"/>
    </row>
    <row r="3738" spans="5:6">
      <c r="E3738" s="1"/>
      <c r="F3738" s="1"/>
    </row>
    <row r="3739" spans="5:6">
      <c r="E3739" s="1"/>
      <c r="F3739" s="1"/>
    </row>
    <row r="3740" spans="5:6">
      <c r="E3740" s="1"/>
      <c r="F3740" s="1"/>
    </row>
    <row r="3741" spans="5:6">
      <c r="E3741" s="1"/>
      <c r="F3741" s="1"/>
    </row>
    <row r="3742" spans="5:6">
      <c r="E3742" s="1"/>
      <c r="F3742" s="1"/>
    </row>
    <row r="3743" spans="5:6">
      <c r="E3743" s="1"/>
      <c r="F3743" s="1"/>
    </row>
    <row r="3744" spans="5:6">
      <c r="E3744" s="1"/>
      <c r="F3744" s="1"/>
    </row>
    <row r="3745" spans="5:6">
      <c r="E3745" s="1"/>
      <c r="F3745" s="1"/>
    </row>
    <row r="3746" spans="5:6">
      <c r="E3746" s="1"/>
      <c r="F3746" s="1"/>
    </row>
    <row r="3747" spans="5:6">
      <c r="E3747" s="1"/>
      <c r="F3747" s="1"/>
    </row>
    <row r="3748" spans="5:6">
      <c r="E3748" s="1"/>
      <c r="F3748" s="1"/>
    </row>
    <row r="3749" spans="5:6">
      <c r="E3749" s="1"/>
      <c r="F3749" s="1"/>
    </row>
    <row r="3750" spans="5:6">
      <c r="E3750" s="1"/>
      <c r="F3750" s="1"/>
    </row>
    <row r="3751" spans="5:6">
      <c r="E3751" s="1"/>
      <c r="F3751" s="1"/>
    </row>
    <row r="3752" spans="5:6">
      <c r="E3752" s="1"/>
      <c r="F3752" s="1"/>
    </row>
    <row r="3753" spans="5:6">
      <c r="E3753" s="1"/>
      <c r="F3753" s="1"/>
    </row>
    <row r="3754" spans="5:6">
      <c r="E3754" s="1"/>
      <c r="F3754" s="1"/>
    </row>
    <row r="3755" spans="5:6">
      <c r="E3755" s="1"/>
      <c r="F3755" s="1"/>
    </row>
    <row r="3756" spans="5:6">
      <c r="E3756" s="1"/>
      <c r="F3756" s="1"/>
    </row>
    <row r="3757" spans="5:6">
      <c r="E3757" s="1"/>
      <c r="F3757" s="1"/>
    </row>
    <row r="3758" spans="5:6">
      <c r="E3758" s="1"/>
      <c r="F3758" s="1"/>
    </row>
    <row r="3759" spans="5:6">
      <c r="E3759" s="1"/>
      <c r="F3759" s="1"/>
    </row>
    <row r="3760" spans="5:6">
      <c r="E3760" s="1"/>
      <c r="F3760" s="1"/>
    </row>
    <row r="3761" spans="5:6">
      <c r="E3761" s="1"/>
      <c r="F3761" s="1"/>
    </row>
    <row r="3762" spans="5:6">
      <c r="E3762" s="1"/>
      <c r="F3762" s="1"/>
    </row>
    <row r="3763" spans="5:6">
      <c r="E3763" s="1"/>
      <c r="F3763" s="1"/>
    </row>
    <row r="3764" spans="5:6">
      <c r="E3764" s="1"/>
      <c r="F3764" s="1"/>
    </row>
    <row r="3765" spans="5:6">
      <c r="E3765" s="1"/>
      <c r="F3765" s="1"/>
    </row>
    <row r="3766" spans="5:6">
      <c r="E3766" s="1"/>
      <c r="F3766" s="1"/>
    </row>
    <row r="3767" spans="5:6">
      <c r="E3767" s="1"/>
      <c r="F3767" s="1"/>
    </row>
    <row r="3768" spans="5:6">
      <c r="E3768" s="1"/>
      <c r="F3768" s="1"/>
    </row>
    <row r="3769" spans="5:6">
      <c r="E3769" s="1"/>
      <c r="F3769" s="1"/>
    </row>
    <row r="3770" spans="5:6">
      <c r="E3770" s="1"/>
      <c r="F3770" s="1"/>
    </row>
    <row r="3771" spans="5:6">
      <c r="E3771" s="1"/>
      <c r="F3771" s="1"/>
    </row>
    <row r="3772" spans="5:6">
      <c r="E3772" s="1"/>
      <c r="F3772" s="1"/>
    </row>
    <row r="3773" spans="5:6">
      <c r="E3773" s="1"/>
      <c r="F3773" s="1"/>
    </row>
    <row r="3774" spans="5:6">
      <c r="E3774" s="1"/>
      <c r="F3774" s="1"/>
    </row>
    <row r="3775" spans="5:6">
      <c r="E3775" s="1"/>
      <c r="F3775" s="1"/>
    </row>
    <row r="3776" spans="5:6">
      <c r="E3776" s="1"/>
      <c r="F3776" s="1"/>
    </row>
    <row r="3777" spans="5:6">
      <c r="E3777" s="1"/>
      <c r="F3777" s="1"/>
    </row>
    <row r="3778" spans="5:6">
      <c r="E3778" s="1"/>
      <c r="F3778" s="1"/>
    </row>
    <row r="3779" spans="5:6">
      <c r="E3779" s="1"/>
      <c r="F3779" s="1"/>
    </row>
    <row r="3780" spans="5:6">
      <c r="E3780" s="1"/>
      <c r="F3780" s="1"/>
    </row>
    <row r="3781" spans="5:6">
      <c r="E3781" s="1"/>
      <c r="F3781" s="1"/>
    </row>
    <row r="3782" spans="5:6">
      <c r="E3782" s="1"/>
      <c r="F3782" s="1"/>
    </row>
    <row r="3783" spans="5:6">
      <c r="E3783" s="1"/>
      <c r="F3783" s="1"/>
    </row>
    <row r="3784" spans="5:6">
      <c r="E3784" s="1"/>
      <c r="F3784" s="1"/>
    </row>
    <row r="3785" spans="5:6">
      <c r="E3785" s="1"/>
      <c r="F3785" s="1"/>
    </row>
    <row r="3786" spans="5:6">
      <c r="E3786" s="1"/>
      <c r="F3786" s="1"/>
    </row>
    <row r="3787" spans="5:6">
      <c r="E3787" s="1"/>
      <c r="F3787" s="1"/>
    </row>
    <row r="3788" spans="5:6">
      <c r="E3788" s="1"/>
      <c r="F3788" s="1"/>
    </row>
    <row r="3789" spans="5:6">
      <c r="E3789" s="1"/>
      <c r="F3789" s="1"/>
    </row>
    <row r="3790" spans="5:6">
      <c r="E3790" s="1"/>
      <c r="F3790" s="1"/>
    </row>
    <row r="3791" spans="5:6">
      <c r="E3791" s="1"/>
      <c r="F3791" s="1"/>
    </row>
    <row r="3792" spans="5:6">
      <c r="E3792" s="1"/>
      <c r="F3792" s="1"/>
    </row>
    <row r="3793" spans="5:6">
      <c r="E3793" s="1"/>
      <c r="F3793" s="1"/>
    </row>
    <row r="3794" spans="5:6">
      <c r="E3794" s="1"/>
      <c r="F3794" s="1"/>
    </row>
    <row r="3795" spans="5:6">
      <c r="E3795" s="1"/>
      <c r="F3795" s="1"/>
    </row>
    <row r="3796" spans="5:6">
      <c r="E3796" s="1"/>
      <c r="F3796" s="1"/>
    </row>
    <row r="3797" spans="5:6">
      <c r="E3797" s="1"/>
      <c r="F3797" s="1"/>
    </row>
    <row r="3798" spans="5:6">
      <c r="E3798" s="1"/>
      <c r="F3798" s="1"/>
    </row>
    <row r="3799" spans="5:6">
      <c r="E3799" s="1"/>
      <c r="F3799" s="1"/>
    </row>
    <row r="3800" spans="5:6">
      <c r="E3800" s="1"/>
      <c r="F3800" s="1"/>
    </row>
    <row r="3801" spans="5:6">
      <c r="E3801" s="1"/>
      <c r="F3801" s="1"/>
    </row>
    <row r="3802" spans="5:6">
      <c r="E3802" s="1"/>
      <c r="F3802" s="1"/>
    </row>
    <row r="3803" spans="5:6">
      <c r="E3803" s="1"/>
      <c r="F3803" s="1"/>
    </row>
    <row r="3804" spans="5:6">
      <c r="E3804" s="1"/>
      <c r="F3804" s="1"/>
    </row>
    <row r="3805" spans="5:6">
      <c r="E3805" s="1"/>
      <c r="F3805" s="1"/>
    </row>
    <row r="3806" spans="5:6">
      <c r="E3806" s="1"/>
      <c r="F3806" s="1"/>
    </row>
    <row r="3807" spans="5:6">
      <c r="E3807" s="1"/>
      <c r="F3807" s="1"/>
    </row>
    <row r="3808" spans="5:6">
      <c r="E3808" s="1"/>
      <c r="F3808" s="1"/>
    </row>
    <row r="3809" spans="5:6">
      <c r="E3809" s="1"/>
      <c r="F3809" s="1"/>
    </row>
    <row r="3810" spans="5:6">
      <c r="E3810" s="1"/>
      <c r="F3810" s="1"/>
    </row>
    <row r="3811" spans="5:6">
      <c r="E3811" s="1"/>
      <c r="F3811" s="1"/>
    </row>
    <row r="3812" spans="5:6">
      <c r="E3812" s="1"/>
      <c r="F3812" s="1"/>
    </row>
    <row r="3813" spans="5:6">
      <c r="E3813" s="1"/>
      <c r="F3813" s="1"/>
    </row>
    <row r="3814" spans="5:6">
      <c r="E3814" s="1"/>
      <c r="F3814" s="1"/>
    </row>
    <row r="3815" spans="5:6">
      <c r="E3815" s="1"/>
      <c r="F3815" s="1"/>
    </row>
    <row r="3816" spans="5:6">
      <c r="E3816" s="1"/>
      <c r="F3816" s="1"/>
    </row>
    <row r="3817" spans="5:6">
      <c r="E3817" s="1"/>
      <c r="F3817" s="1"/>
    </row>
    <row r="3818" spans="5:6">
      <c r="E3818" s="1"/>
      <c r="F3818" s="1"/>
    </row>
    <row r="3819" spans="5:6">
      <c r="E3819" s="1"/>
      <c r="F3819" s="1"/>
    </row>
    <row r="3820" spans="5:6">
      <c r="E3820" s="1"/>
      <c r="F3820" s="1"/>
    </row>
    <row r="3821" spans="5:6">
      <c r="E3821" s="1"/>
      <c r="F3821" s="1"/>
    </row>
    <row r="3822" spans="5:6">
      <c r="E3822" s="1"/>
      <c r="F3822" s="1"/>
    </row>
    <row r="3823" spans="5:6">
      <c r="E3823" s="1"/>
      <c r="F3823" s="1"/>
    </row>
    <row r="3824" spans="5:6">
      <c r="E3824" s="1"/>
      <c r="F3824" s="1"/>
    </row>
    <row r="3825" spans="5:6">
      <c r="E3825" s="1"/>
      <c r="F3825" s="1"/>
    </row>
    <row r="3826" spans="5:6">
      <c r="E3826" s="1"/>
      <c r="F3826" s="1"/>
    </row>
    <row r="3827" spans="5:6">
      <c r="E3827" s="1"/>
      <c r="F3827" s="1"/>
    </row>
    <row r="3828" spans="5:6">
      <c r="E3828" s="1"/>
      <c r="F3828" s="1"/>
    </row>
    <row r="3829" spans="5:6">
      <c r="E3829" s="1"/>
      <c r="F3829" s="1"/>
    </row>
    <row r="3830" spans="5:6">
      <c r="E3830" s="1"/>
      <c r="F3830" s="1"/>
    </row>
    <row r="3831" spans="5:6">
      <c r="E3831" s="1"/>
      <c r="F3831" s="1"/>
    </row>
    <row r="3832" spans="5:6">
      <c r="E3832" s="1"/>
      <c r="F3832" s="1"/>
    </row>
    <row r="3833" spans="5:6">
      <c r="E3833" s="1"/>
      <c r="F3833" s="1"/>
    </row>
    <row r="3834" spans="5:6">
      <c r="E3834" s="1"/>
      <c r="F3834" s="1"/>
    </row>
    <row r="3835" spans="5:6">
      <c r="E3835" s="1"/>
      <c r="F3835" s="1"/>
    </row>
    <row r="3836" spans="5:6">
      <c r="E3836" s="1"/>
      <c r="F3836" s="1"/>
    </row>
    <row r="3837" spans="5:6">
      <c r="E3837" s="1"/>
      <c r="F3837" s="1"/>
    </row>
    <row r="3838" spans="5:6">
      <c r="E3838" s="1"/>
      <c r="F3838" s="1"/>
    </row>
    <row r="3839" spans="5:6">
      <c r="E3839" s="1"/>
      <c r="F3839" s="1"/>
    </row>
    <row r="3840" spans="5:6">
      <c r="E3840" s="1"/>
      <c r="F3840" s="1"/>
    </row>
    <row r="3841" spans="5:6">
      <c r="E3841" s="1"/>
      <c r="F3841" s="1"/>
    </row>
    <row r="3842" spans="5:6">
      <c r="E3842" s="1"/>
      <c r="F3842" s="1"/>
    </row>
    <row r="3843" spans="5:6">
      <c r="E3843" s="1"/>
      <c r="F3843" s="1"/>
    </row>
    <row r="3844" spans="5:6">
      <c r="E3844" s="1"/>
      <c r="F3844" s="1"/>
    </row>
    <row r="3845" spans="5:6">
      <c r="E3845" s="1"/>
      <c r="F3845" s="1"/>
    </row>
    <row r="3846" spans="5:6">
      <c r="E3846" s="1"/>
      <c r="F3846" s="1"/>
    </row>
    <row r="3847" spans="5:6">
      <c r="E3847" s="1"/>
      <c r="F3847" s="1"/>
    </row>
    <row r="3848" spans="5:6">
      <c r="E3848" s="1"/>
      <c r="F3848" s="1"/>
    </row>
    <row r="3849" spans="5:6">
      <c r="E3849" s="1"/>
      <c r="F3849" s="1"/>
    </row>
    <row r="3850" spans="5:6">
      <c r="E3850" s="1"/>
      <c r="F3850" s="1"/>
    </row>
    <row r="3851" spans="5:6">
      <c r="E3851" s="1"/>
      <c r="F3851" s="1"/>
    </row>
    <row r="3852" spans="5:6">
      <c r="E3852" s="1"/>
      <c r="F3852" s="1"/>
    </row>
    <row r="3853" spans="5:6">
      <c r="E3853" s="1"/>
      <c r="F3853" s="1"/>
    </row>
    <row r="3854" spans="5:6">
      <c r="E3854" s="1"/>
      <c r="F3854" s="1"/>
    </row>
    <row r="3855" spans="5:6">
      <c r="E3855" s="1"/>
      <c r="F3855" s="1"/>
    </row>
    <row r="3856" spans="5:6">
      <c r="E3856" s="1"/>
      <c r="F3856" s="1"/>
    </row>
    <row r="3857" spans="5:6">
      <c r="E3857" s="1"/>
      <c r="F3857" s="1"/>
    </row>
    <row r="3858" spans="5:6">
      <c r="E3858" s="1"/>
      <c r="F3858" s="1"/>
    </row>
    <row r="3859" spans="5:6">
      <c r="E3859" s="1"/>
      <c r="F3859" s="1"/>
    </row>
    <row r="3860" spans="5:6">
      <c r="E3860" s="1"/>
      <c r="F3860" s="1"/>
    </row>
    <row r="3861" spans="5:6">
      <c r="E3861" s="1"/>
      <c r="F3861" s="1"/>
    </row>
    <row r="3862" spans="5:6">
      <c r="E3862" s="1"/>
      <c r="F3862" s="1"/>
    </row>
    <row r="3863" spans="5:6">
      <c r="E3863" s="1"/>
      <c r="F3863" s="1"/>
    </row>
    <row r="3864" spans="5:6">
      <c r="E3864" s="1"/>
      <c r="F3864" s="1"/>
    </row>
    <row r="3865" spans="5:6">
      <c r="E3865" s="1"/>
      <c r="F3865" s="1"/>
    </row>
    <row r="3866" spans="5:6">
      <c r="E3866" s="1"/>
      <c r="F3866" s="1"/>
    </row>
    <row r="3867" spans="5:6">
      <c r="E3867" s="1"/>
      <c r="F3867" s="1"/>
    </row>
    <row r="3868" spans="5:6">
      <c r="E3868" s="1"/>
      <c r="F3868" s="1"/>
    </row>
    <row r="3869" spans="5:6">
      <c r="E3869" s="1"/>
      <c r="F3869" s="1"/>
    </row>
    <row r="3870" spans="5:6">
      <c r="E3870" s="1"/>
      <c r="F3870" s="1"/>
    </row>
    <row r="3871" spans="5:6">
      <c r="E3871" s="1"/>
      <c r="F3871" s="1"/>
    </row>
    <row r="3872" spans="5:6">
      <c r="E3872" s="1"/>
      <c r="F3872" s="1"/>
    </row>
    <row r="3873" spans="5:6">
      <c r="E3873" s="1"/>
      <c r="F3873" s="1"/>
    </row>
    <row r="3874" spans="5:6">
      <c r="E3874" s="1"/>
      <c r="F3874" s="1"/>
    </row>
    <row r="3875" spans="5:6">
      <c r="E3875" s="1"/>
      <c r="F3875" s="1"/>
    </row>
    <row r="3876" spans="5:6">
      <c r="E3876" s="1"/>
      <c r="F3876" s="1"/>
    </row>
    <row r="3877" spans="5:6">
      <c r="E3877" s="1"/>
      <c r="F3877" s="1"/>
    </row>
    <row r="3878" spans="5:6">
      <c r="E3878" s="1"/>
      <c r="F3878" s="1"/>
    </row>
    <row r="3879" spans="5:6">
      <c r="E3879" s="1"/>
      <c r="F3879" s="1"/>
    </row>
    <row r="3880" spans="5:6">
      <c r="E3880" s="1"/>
      <c r="F3880" s="1"/>
    </row>
    <row r="3881" spans="5:6">
      <c r="E3881" s="1"/>
      <c r="F3881" s="1"/>
    </row>
    <row r="3882" spans="5:6">
      <c r="E3882" s="1"/>
      <c r="F3882" s="1"/>
    </row>
    <row r="3883" spans="5:6">
      <c r="E3883" s="1"/>
      <c r="F3883" s="1"/>
    </row>
    <row r="3884" spans="5:6">
      <c r="E3884" s="1"/>
      <c r="F3884" s="1"/>
    </row>
    <row r="3885" spans="5:6">
      <c r="E3885" s="1"/>
      <c r="F3885" s="1"/>
    </row>
    <row r="3886" spans="5:6">
      <c r="E3886" s="1"/>
      <c r="F3886" s="1"/>
    </row>
    <row r="3887" spans="5:6">
      <c r="E3887" s="1"/>
      <c r="F3887" s="1"/>
    </row>
    <row r="3888" spans="5:6">
      <c r="E3888" s="1"/>
      <c r="F3888" s="1"/>
    </row>
    <row r="3889" spans="5:6">
      <c r="E3889" s="1"/>
      <c r="F3889" s="1"/>
    </row>
    <row r="3890" spans="5:6">
      <c r="E3890" s="1"/>
      <c r="F3890" s="1"/>
    </row>
    <row r="3891" spans="5:6">
      <c r="E3891" s="1"/>
      <c r="F3891" s="1"/>
    </row>
    <row r="3892" spans="5:6">
      <c r="E3892" s="1"/>
      <c r="F3892" s="1"/>
    </row>
    <row r="3893" spans="5:6">
      <c r="E3893" s="1"/>
      <c r="F3893" s="1"/>
    </row>
    <row r="3894" spans="5:6">
      <c r="E3894" s="1"/>
      <c r="F3894" s="1"/>
    </row>
    <row r="3895" spans="5:6">
      <c r="E3895" s="1"/>
      <c r="F3895" s="1"/>
    </row>
    <row r="3896" spans="5:6">
      <c r="E3896" s="1"/>
      <c r="F3896" s="1"/>
    </row>
    <row r="3897" spans="5:6">
      <c r="E3897" s="1"/>
      <c r="F3897" s="1"/>
    </row>
    <row r="3898" spans="5:6">
      <c r="E3898" s="1"/>
      <c r="F3898" s="1"/>
    </row>
    <row r="3899" spans="5:6">
      <c r="E3899" s="1"/>
      <c r="F3899" s="1"/>
    </row>
    <row r="3900" spans="5:6">
      <c r="E3900" s="1"/>
      <c r="F3900" s="1"/>
    </row>
    <row r="3901" spans="5:6">
      <c r="E3901" s="1"/>
      <c r="F3901" s="1"/>
    </row>
    <row r="3902" spans="5:6">
      <c r="E3902" s="1"/>
      <c r="F3902" s="1"/>
    </row>
    <row r="3903" spans="5:6">
      <c r="E3903" s="1"/>
      <c r="F3903" s="1"/>
    </row>
    <row r="3904" spans="5:6">
      <c r="E3904" s="1"/>
      <c r="F3904" s="1"/>
    </row>
    <row r="3905" spans="5:6">
      <c r="E3905" s="1"/>
      <c r="F3905" s="1"/>
    </row>
    <row r="3906" spans="5:6">
      <c r="E3906" s="1"/>
      <c r="F3906" s="1"/>
    </row>
    <row r="3907" spans="5:6">
      <c r="E3907" s="1"/>
      <c r="F3907" s="1"/>
    </row>
    <row r="3908" spans="5:6">
      <c r="E3908" s="1"/>
      <c r="F3908" s="1"/>
    </row>
    <row r="3909" spans="5:6">
      <c r="E3909" s="1"/>
      <c r="F3909" s="1"/>
    </row>
    <row r="3910" spans="5:6">
      <c r="E3910" s="1"/>
      <c r="F3910" s="1"/>
    </row>
    <row r="3911" spans="5:6">
      <c r="E3911" s="1"/>
      <c r="F3911" s="1"/>
    </row>
    <row r="3912" spans="5:6">
      <c r="E3912" s="1"/>
      <c r="F3912" s="1"/>
    </row>
    <row r="3913" spans="5:6">
      <c r="E3913" s="1"/>
      <c r="F3913" s="1"/>
    </row>
    <row r="3914" spans="5:6">
      <c r="E3914" s="1"/>
      <c r="F3914" s="1"/>
    </row>
    <row r="3915" spans="5:6">
      <c r="E3915" s="1"/>
      <c r="F3915" s="1"/>
    </row>
    <row r="3916" spans="5:6">
      <c r="E3916" s="1"/>
      <c r="F3916" s="1"/>
    </row>
    <row r="3917" spans="5:6">
      <c r="E3917" s="1"/>
      <c r="F3917" s="1"/>
    </row>
    <row r="3918" spans="5:6">
      <c r="E3918" s="1"/>
      <c r="F3918" s="1"/>
    </row>
    <row r="3919" spans="5:6">
      <c r="E3919" s="1"/>
      <c r="F3919" s="1"/>
    </row>
    <row r="3920" spans="5:6">
      <c r="E3920" s="1"/>
      <c r="F3920" s="1"/>
    </row>
    <row r="3921" spans="5:6">
      <c r="E3921" s="1"/>
      <c r="F3921" s="1"/>
    </row>
    <row r="3922" spans="5:6">
      <c r="E3922" s="1"/>
      <c r="F3922" s="1"/>
    </row>
    <row r="3923" spans="5:6">
      <c r="E3923" s="1"/>
      <c r="F3923" s="1"/>
    </row>
    <row r="3924" spans="5:6">
      <c r="E3924" s="1"/>
      <c r="F3924" s="1"/>
    </row>
    <row r="3925" spans="5:6">
      <c r="E3925" s="1"/>
      <c r="F3925" s="1"/>
    </row>
    <row r="3926" spans="5:6">
      <c r="E3926" s="1"/>
      <c r="F3926" s="1"/>
    </row>
    <row r="3927" spans="5:6">
      <c r="E3927" s="1"/>
      <c r="F3927" s="1"/>
    </row>
    <row r="3928" spans="5:6">
      <c r="E3928" s="1"/>
      <c r="F3928" s="1"/>
    </row>
    <row r="3929" spans="5:6">
      <c r="E3929" s="1"/>
      <c r="F3929" s="1"/>
    </row>
    <row r="3930" spans="5:6">
      <c r="E3930" s="1"/>
      <c r="F3930" s="1"/>
    </row>
    <row r="3931" spans="5:6">
      <c r="E3931" s="1"/>
      <c r="F3931" s="1"/>
    </row>
    <row r="3932" spans="5:6">
      <c r="E3932" s="1"/>
      <c r="F3932" s="1"/>
    </row>
    <row r="3933" spans="5:6">
      <c r="E3933" s="1"/>
      <c r="F3933" s="1"/>
    </row>
    <row r="3934" spans="5:6">
      <c r="E3934" s="1"/>
      <c r="F3934" s="1"/>
    </row>
    <row r="3935" spans="5:6">
      <c r="E3935" s="1"/>
      <c r="F3935" s="1"/>
    </row>
    <row r="3936" spans="5:6">
      <c r="E3936" s="1"/>
      <c r="F3936" s="1"/>
    </row>
    <row r="3937" spans="5:6">
      <c r="E3937" s="1"/>
      <c r="F3937" s="1"/>
    </row>
    <row r="3938" spans="5:6">
      <c r="E3938" s="1"/>
      <c r="F3938" s="1"/>
    </row>
    <row r="3939" spans="5:6">
      <c r="E3939" s="1"/>
      <c r="F3939" s="1"/>
    </row>
    <row r="3940" spans="5:6">
      <c r="E3940" s="1"/>
      <c r="F3940" s="1"/>
    </row>
    <row r="3941" spans="5:6">
      <c r="E3941" s="1"/>
      <c r="F3941" s="1"/>
    </row>
    <row r="3942" spans="5:6">
      <c r="E3942" s="1"/>
      <c r="F3942" s="1"/>
    </row>
    <row r="3943" spans="5:6">
      <c r="E3943" s="1"/>
      <c r="F3943" s="1"/>
    </row>
    <row r="3944" spans="5:6">
      <c r="E3944" s="1"/>
      <c r="F3944" s="1"/>
    </row>
    <row r="3945" spans="5:6">
      <c r="E3945" s="1"/>
      <c r="F3945" s="1"/>
    </row>
    <row r="3946" spans="5:6">
      <c r="E3946" s="1"/>
      <c r="F3946" s="1"/>
    </row>
    <row r="3947" spans="5:6">
      <c r="E3947" s="1"/>
      <c r="F3947" s="1"/>
    </row>
    <row r="3948" spans="5:6">
      <c r="E3948" s="1"/>
      <c r="F3948" s="1"/>
    </row>
    <row r="3949" spans="5:6">
      <c r="E3949" s="1"/>
      <c r="F3949" s="1"/>
    </row>
    <row r="3950" spans="5:6">
      <c r="E3950" s="1"/>
      <c r="F3950" s="1"/>
    </row>
    <row r="3951" spans="5:6">
      <c r="E3951" s="1"/>
      <c r="F3951" s="1"/>
    </row>
    <row r="3952" spans="5:6">
      <c r="E3952" s="1"/>
      <c r="F3952" s="1"/>
    </row>
    <row r="3953" spans="5:6">
      <c r="E3953" s="1"/>
      <c r="F3953" s="1"/>
    </row>
    <row r="3954" spans="5:6">
      <c r="E3954" s="1"/>
      <c r="F3954" s="1"/>
    </row>
    <row r="3955" spans="5:6">
      <c r="E3955" s="1"/>
      <c r="F3955" s="1"/>
    </row>
    <row r="3956" spans="5:6">
      <c r="E3956" s="1"/>
      <c r="F3956" s="1"/>
    </row>
    <row r="3957" spans="5:6">
      <c r="E3957" s="1"/>
      <c r="F3957" s="1"/>
    </row>
    <row r="3958" spans="5:6">
      <c r="E3958" s="1"/>
      <c r="F3958" s="1"/>
    </row>
    <row r="3959" spans="5:6">
      <c r="E3959" s="1"/>
      <c r="F3959" s="1"/>
    </row>
    <row r="3960" spans="5:6">
      <c r="E3960" s="1"/>
      <c r="F3960" s="1"/>
    </row>
    <row r="3961" spans="5:6">
      <c r="E3961" s="1"/>
      <c r="F3961" s="1"/>
    </row>
    <row r="3962" spans="5:6">
      <c r="E3962" s="1"/>
      <c r="F3962" s="1"/>
    </row>
    <row r="3963" spans="5:6">
      <c r="E3963" s="1"/>
      <c r="F3963" s="1"/>
    </row>
    <row r="3964" spans="5:6">
      <c r="E3964" s="1"/>
      <c r="F3964" s="1"/>
    </row>
    <row r="3965" spans="5:6">
      <c r="E3965" s="1"/>
      <c r="F3965" s="1"/>
    </row>
    <row r="3966" spans="5:6">
      <c r="E3966" s="1"/>
      <c r="F3966" s="1"/>
    </row>
    <row r="3967" spans="5:6">
      <c r="E3967" s="1"/>
      <c r="F3967" s="1"/>
    </row>
    <row r="3968" spans="5:6">
      <c r="E3968" s="1"/>
      <c r="F3968" s="1"/>
    </row>
    <row r="3969" spans="5:6">
      <c r="E3969" s="1"/>
      <c r="F3969" s="1"/>
    </row>
    <row r="3970" spans="5:6">
      <c r="E3970" s="1"/>
      <c r="F3970" s="1"/>
    </row>
    <row r="3971" spans="5:6">
      <c r="E3971" s="1"/>
      <c r="F3971" s="1"/>
    </row>
    <row r="3972" spans="5:6">
      <c r="E3972" s="1"/>
      <c r="F3972" s="1"/>
    </row>
    <row r="3973" spans="5:6">
      <c r="E3973" s="1"/>
      <c r="F3973" s="1"/>
    </row>
    <row r="3974" spans="5:6">
      <c r="E3974" s="1"/>
      <c r="F3974" s="1"/>
    </row>
    <row r="3975" spans="5:6">
      <c r="E3975" s="1"/>
      <c r="F3975" s="1"/>
    </row>
    <row r="3976" spans="5:6">
      <c r="E3976" s="1"/>
      <c r="F3976" s="1"/>
    </row>
    <row r="3977" spans="5:6">
      <c r="E3977" s="1"/>
      <c r="F3977" s="1"/>
    </row>
    <row r="3978" spans="5:6">
      <c r="E3978" s="1"/>
      <c r="F3978" s="1"/>
    </row>
    <row r="3979" spans="5:6">
      <c r="E3979" s="1"/>
      <c r="F3979" s="1"/>
    </row>
    <row r="3980" spans="5:6">
      <c r="E3980" s="1"/>
      <c r="F3980" s="1"/>
    </row>
    <row r="3981" spans="5:6">
      <c r="E3981" s="1"/>
      <c r="F3981" s="1"/>
    </row>
    <row r="3982" spans="5:6">
      <c r="E3982" s="1"/>
      <c r="F3982" s="1"/>
    </row>
    <row r="3983" spans="5:6">
      <c r="E3983" s="1"/>
      <c r="F3983" s="1"/>
    </row>
    <row r="3984" spans="5:6">
      <c r="E3984" s="1"/>
      <c r="F3984" s="1"/>
    </row>
    <row r="3985" spans="5:6">
      <c r="E3985" s="1"/>
      <c r="F3985" s="1"/>
    </row>
    <row r="3986" spans="5:6">
      <c r="E3986" s="1"/>
      <c r="F3986" s="1"/>
    </row>
    <row r="3987" spans="5:6">
      <c r="E3987" s="1"/>
      <c r="F3987" s="1"/>
    </row>
    <row r="3988" spans="5:6">
      <c r="E3988" s="1"/>
      <c r="F3988" s="1"/>
    </row>
    <row r="3989" spans="5:6">
      <c r="E3989" s="1"/>
      <c r="F3989" s="1"/>
    </row>
    <row r="3990" spans="5:6">
      <c r="E3990" s="1"/>
      <c r="F3990" s="1"/>
    </row>
    <row r="3991" spans="5:6">
      <c r="E3991" s="1"/>
      <c r="F3991" s="1"/>
    </row>
    <row r="3992" spans="5:6">
      <c r="E3992" s="1"/>
      <c r="F3992" s="1"/>
    </row>
    <row r="3993" spans="5:6">
      <c r="E3993" s="1"/>
      <c r="F3993" s="1"/>
    </row>
    <row r="3994" spans="5:6">
      <c r="E3994" s="1"/>
      <c r="F3994" s="1"/>
    </row>
    <row r="3995" spans="5:6">
      <c r="E3995" s="1"/>
      <c r="F3995" s="1"/>
    </row>
    <row r="3996" spans="5:6">
      <c r="E3996" s="1"/>
      <c r="F3996" s="1"/>
    </row>
    <row r="3997" spans="5:6">
      <c r="E3997" s="1"/>
      <c r="F3997" s="1"/>
    </row>
    <row r="3998" spans="5:6">
      <c r="E3998" s="1"/>
      <c r="F3998" s="1"/>
    </row>
    <row r="3999" spans="5:6">
      <c r="E3999" s="1"/>
      <c r="F3999" s="1"/>
    </row>
    <row r="4000" spans="5:6">
      <c r="E4000" s="1"/>
      <c r="F4000" s="1"/>
    </row>
    <row r="4001" spans="5:6">
      <c r="E4001" s="1"/>
      <c r="F4001" s="1"/>
    </row>
    <row r="4002" spans="5:6">
      <c r="E4002" s="1"/>
      <c r="F4002" s="1"/>
    </row>
    <row r="4003" spans="5:6">
      <c r="E4003" s="1"/>
      <c r="F4003" s="1"/>
    </row>
    <row r="4004" spans="5:6">
      <c r="E4004" s="1"/>
      <c r="F4004" s="1"/>
    </row>
    <row r="4005" spans="5:6">
      <c r="E4005" s="1"/>
      <c r="F4005" s="1"/>
    </row>
    <row r="4006" spans="5:6">
      <c r="E4006" s="1"/>
      <c r="F4006" s="1"/>
    </row>
    <row r="4007" spans="5:6">
      <c r="E4007" s="1"/>
      <c r="F4007" s="1"/>
    </row>
    <row r="4008" spans="5:6">
      <c r="E4008" s="1"/>
      <c r="F4008" s="1"/>
    </row>
    <row r="4009" spans="5:6">
      <c r="E4009" s="1"/>
      <c r="F4009" s="1"/>
    </row>
    <row r="4010" spans="5:6">
      <c r="E4010" s="1"/>
      <c r="F4010" s="1"/>
    </row>
    <row r="4011" spans="5:6">
      <c r="E4011" s="1"/>
      <c r="F4011" s="1"/>
    </row>
    <row r="4012" spans="5:6">
      <c r="E4012" s="1"/>
      <c r="F4012" s="1"/>
    </row>
    <row r="4013" spans="5:6">
      <c r="E4013" s="1"/>
      <c r="F4013" s="1"/>
    </row>
    <row r="4014" spans="5:6">
      <c r="E4014" s="1"/>
      <c r="F4014" s="1"/>
    </row>
    <row r="4015" spans="5:6">
      <c r="E4015" s="1"/>
      <c r="F4015" s="1"/>
    </row>
    <row r="4016" spans="5:6">
      <c r="E4016" s="1"/>
      <c r="F4016" s="1"/>
    </row>
    <row r="4017" spans="5:6">
      <c r="E4017" s="1"/>
      <c r="F4017" s="1"/>
    </row>
    <row r="4018" spans="5:6">
      <c r="E4018" s="1"/>
      <c r="F4018" s="1"/>
    </row>
    <row r="4019" spans="5:6">
      <c r="E4019" s="1"/>
      <c r="F4019" s="1"/>
    </row>
    <row r="4020" spans="5:6">
      <c r="E4020" s="1"/>
      <c r="F4020" s="1"/>
    </row>
    <row r="4021" spans="5:6">
      <c r="E4021" s="1"/>
      <c r="F4021" s="1"/>
    </row>
    <row r="4022" spans="5:6">
      <c r="E4022" s="1"/>
      <c r="F4022" s="1"/>
    </row>
    <row r="4023" spans="5:6">
      <c r="E4023" s="1"/>
      <c r="F4023" s="1"/>
    </row>
    <row r="4024" spans="5:6">
      <c r="E4024" s="1"/>
      <c r="F4024" s="1"/>
    </row>
    <row r="4025" spans="5:6">
      <c r="E4025" s="1"/>
      <c r="F4025" s="1"/>
    </row>
    <row r="4026" spans="5:6">
      <c r="E4026" s="1"/>
      <c r="F4026" s="1"/>
    </row>
    <row r="4027" spans="5:6">
      <c r="E4027" s="1"/>
      <c r="F4027" s="1"/>
    </row>
    <row r="4028" spans="5:6">
      <c r="E4028" s="1"/>
      <c r="F4028" s="1"/>
    </row>
    <row r="4029" spans="5:6">
      <c r="E4029" s="1"/>
      <c r="F4029" s="1"/>
    </row>
    <row r="4030" spans="5:6">
      <c r="E4030" s="1"/>
      <c r="F4030" s="1"/>
    </row>
    <row r="4031" spans="5:6">
      <c r="E4031" s="1"/>
      <c r="F4031" s="1"/>
    </row>
    <row r="4032" spans="5:6">
      <c r="E4032" s="1"/>
      <c r="F4032" s="1"/>
    </row>
    <row r="4033" spans="5:6">
      <c r="E4033" s="1"/>
      <c r="F4033" s="1"/>
    </row>
    <row r="4034" spans="5:6">
      <c r="E4034" s="1"/>
      <c r="F4034" s="1"/>
    </row>
    <row r="4035" spans="5:6">
      <c r="E4035" s="1"/>
      <c r="F4035" s="1"/>
    </row>
    <row r="4036" spans="5:6">
      <c r="E4036" s="1"/>
      <c r="F4036" s="1"/>
    </row>
    <row r="4037" spans="5:6">
      <c r="E4037" s="1"/>
      <c r="F4037" s="1"/>
    </row>
    <row r="4038" spans="5:6">
      <c r="E4038" s="1"/>
      <c r="F4038" s="1"/>
    </row>
    <row r="4039" spans="5:6">
      <c r="E4039" s="1"/>
      <c r="F4039" s="1"/>
    </row>
    <row r="4040" spans="5:6">
      <c r="E4040" s="1"/>
      <c r="F4040" s="1"/>
    </row>
    <row r="4041" spans="5:6">
      <c r="E4041" s="1"/>
      <c r="F4041" s="1"/>
    </row>
    <row r="4042" spans="5:6">
      <c r="E4042" s="1"/>
      <c r="F4042" s="1"/>
    </row>
    <row r="4043" spans="5:6">
      <c r="E4043" s="1"/>
      <c r="F4043" s="1"/>
    </row>
    <row r="4044" spans="5:6">
      <c r="E4044" s="1"/>
      <c r="F4044" s="1"/>
    </row>
    <row r="4045" spans="5:6">
      <c r="E4045" s="1"/>
      <c r="F4045" s="1"/>
    </row>
    <row r="4046" spans="5:6">
      <c r="E4046" s="1"/>
      <c r="F4046" s="1"/>
    </row>
    <row r="4047" spans="5:6">
      <c r="E4047" s="1"/>
      <c r="F4047" s="1"/>
    </row>
    <row r="4048" spans="5:6">
      <c r="E4048" s="1"/>
      <c r="F4048" s="1"/>
    </row>
    <row r="4049" spans="5:6">
      <c r="E4049" s="1"/>
      <c r="F4049" s="1"/>
    </row>
    <row r="4050" spans="5:6">
      <c r="E4050" s="1"/>
      <c r="F4050" s="1"/>
    </row>
    <row r="4051" spans="5:6">
      <c r="E4051" s="1"/>
      <c r="F4051" s="1"/>
    </row>
    <row r="4052" spans="5:6">
      <c r="E4052" s="1"/>
      <c r="F4052" s="1"/>
    </row>
    <row r="4053" spans="5:6">
      <c r="E4053" s="1"/>
      <c r="F4053" s="1"/>
    </row>
    <row r="4054" spans="5:6">
      <c r="E4054" s="1"/>
      <c r="F4054" s="1"/>
    </row>
    <row r="4055" spans="5:6">
      <c r="E4055" s="1"/>
      <c r="F4055" s="1"/>
    </row>
    <row r="4056" spans="5:6">
      <c r="E4056" s="1"/>
      <c r="F4056" s="1"/>
    </row>
    <row r="4057" spans="5:6">
      <c r="E4057" s="1"/>
      <c r="F4057" s="1"/>
    </row>
    <row r="4058" spans="5:6">
      <c r="E4058" s="1"/>
      <c r="F4058" s="1"/>
    </row>
    <row r="4059" spans="5:6">
      <c r="E4059" s="1"/>
      <c r="F4059" s="1"/>
    </row>
    <row r="4060" spans="5:6">
      <c r="E4060" s="1"/>
      <c r="F4060" s="1"/>
    </row>
    <row r="4061" spans="5:6">
      <c r="E4061" s="1"/>
      <c r="F4061" s="1"/>
    </row>
    <row r="4062" spans="5:6">
      <c r="E4062" s="1"/>
      <c r="F4062" s="1"/>
    </row>
    <row r="4063" spans="5:6">
      <c r="E4063" s="1"/>
      <c r="F4063" s="1"/>
    </row>
    <row r="4064" spans="5:6">
      <c r="E4064" s="1"/>
      <c r="F4064" s="1"/>
    </row>
    <row r="4065" spans="5:6">
      <c r="E4065" s="1"/>
      <c r="F4065" s="1"/>
    </row>
    <row r="4066" spans="5:6">
      <c r="E4066" s="1"/>
      <c r="F4066" s="1"/>
    </row>
    <row r="4067" spans="5:6">
      <c r="E4067" s="1"/>
      <c r="F4067" s="1"/>
    </row>
    <row r="4068" spans="5:6">
      <c r="E4068" s="1"/>
      <c r="F4068" s="1"/>
    </row>
    <row r="4069" spans="5:6">
      <c r="E4069" s="1"/>
      <c r="F4069" s="1"/>
    </row>
    <row r="4070" spans="5:6">
      <c r="E4070" s="1"/>
      <c r="F4070" s="1"/>
    </row>
    <row r="4071" spans="5:6">
      <c r="E4071" s="1"/>
      <c r="F4071" s="1"/>
    </row>
    <row r="4072" spans="5:6">
      <c r="E4072" s="1"/>
      <c r="F4072" s="1"/>
    </row>
    <row r="4073" spans="5:6">
      <c r="E4073" s="1"/>
      <c r="F4073" s="1"/>
    </row>
    <row r="4074" spans="5:6">
      <c r="E4074" s="1"/>
      <c r="F4074" s="1"/>
    </row>
    <row r="4075" spans="5:6">
      <c r="E4075" s="1"/>
      <c r="F4075" s="1"/>
    </row>
    <row r="4076" spans="5:6">
      <c r="E4076" s="1"/>
      <c r="F4076" s="1"/>
    </row>
    <row r="4077" spans="5:6">
      <c r="E4077" s="1"/>
      <c r="F4077" s="1"/>
    </row>
    <row r="4078" spans="5:6">
      <c r="E4078" s="1"/>
      <c r="F4078" s="1"/>
    </row>
    <row r="4079" spans="5:6">
      <c r="E4079" s="1"/>
      <c r="F4079" s="1"/>
    </row>
    <row r="4080" spans="5:6">
      <c r="E4080" s="1"/>
      <c r="F4080" s="1"/>
    </row>
    <row r="4081" spans="5:6">
      <c r="E4081" s="1"/>
      <c r="F4081" s="1"/>
    </row>
    <row r="4082" spans="5:6">
      <c r="E4082" s="1"/>
      <c r="F4082" s="1"/>
    </row>
    <row r="4083" spans="5:6">
      <c r="E4083" s="1"/>
      <c r="F4083" s="1"/>
    </row>
    <row r="4084" spans="5:6">
      <c r="E4084" s="1"/>
      <c r="F4084" s="1"/>
    </row>
    <row r="4085" spans="5:6">
      <c r="E4085" s="1"/>
      <c r="F4085" s="1"/>
    </row>
    <row r="4086" spans="5:6">
      <c r="E4086" s="1"/>
      <c r="F4086" s="1"/>
    </row>
    <row r="4087" spans="5:6">
      <c r="E4087" s="1"/>
      <c r="F4087" s="1"/>
    </row>
    <row r="4088" spans="5:6">
      <c r="E4088" s="1"/>
      <c r="F4088" s="1"/>
    </row>
    <row r="4089" spans="5:6">
      <c r="E4089" s="1"/>
      <c r="F4089" s="1"/>
    </row>
    <row r="4090" spans="5:6">
      <c r="E4090" s="1"/>
      <c r="F4090" s="1"/>
    </row>
    <row r="4091" spans="5:6">
      <c r="E4091" s="1"/>
      <c r="F4091" s="1"/>
    </row>
    <row r="4092" spans="5:6">
      <c r="E4092" s="1"/>
      <c r="F4092" s="1"/>
    </row>
    <row r="4093" spans="5:6">
      <c r="E4093" s="1"/>
      <c r="F4093" s="1"/>
    </row>
    <row r="4094" spans="5:6">
      <c r="E4094" s="1"/>
      <c r="F4094" s="1"/>
    </row>
    <row r="4095" spans="5:6">
      <c r="E4095" s="1"/>
      <c r="F4095" s="1"/>
    </row>
    <row r="4096" spans="5:6">
      <c r="E4096" s="1"/>
      <c r="F4096" s="1"/>
    </row>
    <row r="4097" spans="5:6">
      <c r="E4097" s="1"/>
      <c r="F4097" s="1"/>
    </row>
    <row r="4098" spans="5:6">
      <c r="E4098" s="1"/>
      <c r="F4098" s="1"/>
    </row>
    <row r="4099" spans="5:6">
      <c r="E4099" s="1"/>
      <c r="F4099" s="1"/>
    </row>
    <row r="4100" spans="5:6">
      <c r="E4100" s="1"/>
      <c r="F4100" s="1"/>
    </row>
    <row r="4101" spans="5:6">
      <c r="E4101" s="1"/>
      <c r="F4101" s="1"/>
    </row>
    <row r="4102" spans="5:6">
      <c r="E4102" s="1"/>
      <c r="F4102" s="1"/>
    </row>
    <row r="4103" spans="5:6">
      <c r="E4103" s="1"/>
      <c r="F4103" s="1"/>
    </row>
    <row r="4104" spans="5:6">
      <c r="E4104" s="1"/>
      <c r="F4104" s="1"/>
    </row>
    <row r="4105" spans="5:6">
      <c r="E4105" s="1"/>
      <c r="F4105" s="1"/>
    </row>
    <row r="4106" spans="5:6">
      <c r="E4106" s="1"/>
      <c r="F4106" s="1"/>
    </row>
    <row r="4107" spans="5:6">
      <c r="E4107" s="1"/>
      <c r="F4107" s="1"/>
    </row>
    <row r="4108" spans="5:6">
      <c r="E4108" s="1"/>
      <c r="F4108" s="1"/>
    </row>
    <row r="4109" spans="5:6">
      <c r="E4109" s="1"/>
      <c r="F4109" s="1"/>
    </row>
    <row r="4110" spans="5:6">
      <c r="E4110" s="1"/>
      <c r="F4110" s="1"/>
    </row>
    <row r="4111" spans="5:6">
      <c r="E4111" s="1"/>
      <c r="F4111" s="1"/>
    </row>
    <row r="4112" spans="5:6">
      <c r="E4112" s="1"/>
      <c r="F4112" s="1"/>
    </row>
    <row r="4113" spans="5:6">
      <c r="E4113" s="1"/>
      <c r="F4113" s="1"/>
    </row>
    <row r="4114" spans="5:6">
      <c r="E4114" s="1"/>
      <c r="F4114" s="1"/>
    </row>
    <row r="4115" spans="5:6">
      <c r="E4115" s="1"/>
      <c r="F4115" s="1"/>
    </row>
    <row r="4116" spans="5:6">
      <c r="E4116" s="1"/>
      <c r="F4116" s="1"/>
    </row>
    <row r="4117" spans="5:6">
      <c r="E4117" s="1"/>
      <c r="F4117" s="1"/>
    </row>
    <row r="4118" spans="5:6">
      <c r="E4118" s="1"/>
      <c r="F4118" s="1"/>
    </row>
    <row r="4119" spans="5:6">
      <c r="E4119" s="1"/>
      <c r="F4119" s="1"/>
    </row>
    <row r="4120" spans="5:6">
      <c r="E4120" s="1"/>
      <c r="F4120" s="1"/>
    </row>
    <row r="4121" spans="5:6">
      <c r="E4121" s="1"/>
      <c r="F4121" s="1"/>
    </row>
    <row r="4122" spans="5:6">
      <c r="E4122" s="1"/>
      <c r="F4122" s="1"/>
    </row>
    <row r="4123" spans="5:6">
      <c r="E4123" s="1"/>
      <c r="F4123" s="1"/>
    </row>
    <row r="4124" spans="5:6">
      <c r="E4124" s="1"/>
      <c r="F4124" s="1"/>
    </row>
    <row r="4125" spans="5:6">
      <c r="E4125" s="1"/>
      <c r="F4125" s="1"/>
    </row>
    <row r="4126" spans="5:6">
      <c r="E4126" s="1"/>
      <c r="F4126" s="1"/>
    </row>
    <row r="4127" spans="5:6">
      <c r="E4127" s="1"/>
      <c r="F4127" s="1"/>
    </row>
    <row r="4128" spans="5:6">
      <c r="E4128" s="1"/>
      <c r="F4128" s="1"/>
    </row>
    <row r="4129" spans="5:6">
      <c r="E4129" s="1"/>
      <c r="F4129" s="1"/>
    </row>
    <row r="4130" spans="5:6">
      <c r="E4130" s="1"/>
      <c r="F4130" s="1"/>
    </row>
    <row r="4131" spans="5:6">
      <c r="E4131" s="1"/>
      <c r="F4131" s="1"/>
    </row>
    <row r="4132" spans="5:6">
      <c r="E4132" s="1"/>
      <c r="F4132" s="1"/>
    </row>
    <row r="4133" spans="5:6">
      <c r="E4133" s="1"/>
      <c r="F4133" s="1"/>
    </row>
    <row r="4134" spans="5:6">
      <c r="E4134" s="1"/>
      <c r="F4134" s="1"/>
    </row>
    <row r="4135" spans="5:6">
      <c r="E4135" s="1"/>
      <c r="F4135" s="1"/>
    </row>
    <row r="4136" spans="5:6">
      <c r="E4136" s="1"/>
      <c r="F4136" s="1"/>
    </row>
    <row r="4137" spans="5:6">
      <c r="E4137" s="1"/>
      <c r="F4137" s="1"/>
    </row>
    <row r="4138" spans="5:6">
      <c r="E4138" s="1"/>
      <c r="F4138" s="1"/>
    </row>
    <row r="4139" spans="5:6">
      <c r="E4139" s="1"/>
      <c r="F4139" s="1"/>
    </row>
    <row r="4140" spans="5:6">
      <c r="E4140" s="1"/>
      <c r="F4140" s="1"/>
    </row>
    <row r="4141" spans="5:6">
      <c r="E4141" s="1"/>
      <c r="F4141" s="1"/>
    </row>
    <row r="4142" spans="5:6">
      <c r="E4142" s="1"/>
      <c r="F4142" s="1"/>
    </row>
    <row r="4143" spans="5:6">
      <c r="E4143" s="1"/>
      <c r="F4143" s="1"/>
    </row>
    <row r="4144" spans="5:6">
      <c r="E4144" s="1"/>
      <c r="F4144" s="1"/>
    </row>
    <row r="4145" spans="5:6">
      <c r="E4145" s="1"/>
      <c r="F4145" s="1"/>
    </row>
    <row r="4146" spans="5:6">
      <c r="E4146" s="1"/>
      <c r="F4146" s="1"/>
    </row>
    <row r="4147" spans="5:6">
      <c r="E4147" s="1"/>
      <c r="F4147" s="1"/>
    </row>
    <row r="4148" spans="5:6">
      <c r="E4148" s="1"/>
      <c r="F4148" s="1"/>
    </row>
    <row r="4149" spans="5:6">
      <c r="E4149" s="1"/>
      <c r="F4149" s="1"/>
    </row>
    <row r="4150" spans="5:6">
      <c r="E4150" s="1"/>
      <c r="F4150" s="1"/>
    </row>
    <row r="4151" spans="5:6">
      <c r="E4151" s="1"/>
      <c r="F4151" s="1"/>
    </row>
    <row r="4152" spans="5:6">
      <c r="E4152" s="1"/>
      <c r="F4152" s="1"/>
    </row>
    <row r="4153" spans="5:6">
      <c r="E4153" s="1"/>
      <c r="F4153" s="1"/>
    </row>
    <row r="4154" spans="5:6">
      <c r="E4154" s="1"/>
      <c r="F4154" s="1"/>
    </row>
    <row r="4155" spans="5:6">
      <c r="E4155" s="1"/>
      <c r="F4155" s="1"/>
    </row>
    <row r="4156" spans="5:6">
      <c r="E4156" s="1"/>
      <c r="F4156" s="1"/>
    </row>
    <row r="4157" spans="5:6">
      <c r="E4157" s="1"/>
      <c r="F4157" s="1"/>
    </row>
    <row r="4158" spans="5:6">
      <c r="E4158" s="1"/>
      <c r="F4158" s="1"/>
    </row>
    <row r="4159" spans="5:6">
      <c r="E4159" s="1"/>
      <c r="F4159" s="1"/>
    </row>
    <row r="4160" spans="5:6">
      <c r="E4160" s="1"/>
      <c r="F4160" s="1"/>
    </row>
    <row r="4161" spans="5:6">
      <c r="E4161" s="1"/>
      <c r="F4161" s="1"/>
    </row>
    <row r="4162" spans="5:6">
      <c r="E4162" s="1"/>
      <c r="F4162" s="1"/>
    </row>
    <row r="4163" spans="5:6">
      <c r="E4163" s="1"/>
      <c r="F4163" s="1"/>
    </row>
    <row r="4164" spans="5:6">
      <c r="E4164" s="1"/>
      <c r="F4164" s="1"/>
    </row>
    <row r="4165" spans="5:6">
      <c r="E4165" s="1"/>
      <c r="F4165" s="1"/>
    </row>
    <row r="4166" spans="5:6">
      <c r="E4166" s="1"/>
      <c r="F4166" s="1"/>
    </row>
    <row r="4167" spans="5:6">
      <c r="E4167" s="1"/>
      <c r="F4167" s="1"/>
    </row>
    <row r="4168" spans="5:6">
      <c r="E4168" s="1"/>
      <c r="F4168" s="1"/>
    </row>
    <row r="4169" spans="5:6">
      <c r="E4169" s="1"/>
      <c r="F4169" s="1"/>
    </row>
    <row r="4170" spans="5:6">
      <c r="E4170" s="1"/>
      <c r="F4170" s="1"/>
    </row>
    <row r="4171" spans="5:6">
      <c r="E4171" s="1"/>
      <c r="F4171" s="1"/>
    </row>
    <row r="4172" spans="5:6">
      <c r="E4172" s="1"/>
      <c r="F4172" s="1"/>
    </row>
    <row r="4173" spans="5:6">
      <c r="E4173" s="1"/>
      <c r="F4173" s="1"/>
    </row>
    <row r="4174" spans="5:6">
      <c r="E4174" s="1"/>
      <c r="F4174" s="1"/>
    </row>
    <row r="4175" spans="5:6">
      <c r="E4175" s="1"/>
      <c r="F4175" s="1"/>
    </row>
    <row r="4176" spans="5:6">
      <c r="E4176" s="1"/>
      <c r="F4176" s="1"/>
    </row>
    <row r="4177" spans="5:6">
      <c r="E4177" s="1"/>
      <c r="F4177" s="1"/>
    </row>
    <row r="4178" spans="5:6">
      <c r="E4178" s="1"/>
      <c r="F4178" s="1"/>
    </row>
    <row r="4179" spans="5:6">
      <c r="E4179" s="1"/>
      <c r="F4179" s="1"/>
    </row>
    <row r="4180" spans="5:6">
      <c r="E4180" s="1"/>
      <c r="F4180" s="1"/>
    </row>
    <row r="4181" spans="5:6">
      <c r="E4181" s="1"/>
      <c r="F4181" s="1"/>
    </row>
    <row r="4182" spans="5:6">
      <c r="E4182" s="1"/>
      <c r="F4182" s="1"/>
    </row>
    <row r="4183" spans="5:6">
      <c r="E4183" s="1"/>
      <c r="F4183" s="1"/>
    </row>
    <row r="4184" spans="5:6">
      <c r="E4184" s="1"/>
      <c r="F4184" s="1"/>
    </row>
    <row r="4185" spans="5:6">
      <c r="E4185" s="1"/>
      <c r="F4185" s="1"/>
    </row>
    <row r="4186" spans="5:6">
      <c r="E4186" s="1"/>
      <c r="F4186" s="1"/>
    </row>
    <row r="4187" spans="5:6">
      <c r="E4187" s="1"/>
      <c r="F4187" s="1"/>
    </row>
    <row r="4188" spans="5:6">
      <c r="E4188" s="1"/>
      <c r="F4188" s="1"/>
    </row>
    <row r="4189" spans="5:6">
      <c r="E4189" s="1"/>
      <c r="F4189" s="1"/>
    </row>
    <row r="4190" spans="5:6">
      <c r="E4190" s="1"/>
      <c r="F4190" s="1"/>
    </row>
    <row r="4191" spans="5:6">
      <c r="E4191" s="1"/>
      <c r="F4191" s="1"/>
    </row>
    <row r="4192" spans="5:6">
      <c r="E4192" s="1"/>
      <c r="F4192" s="1"/>
    </row>
    <row r="4193" spans="5:6">
      <c r="E4193" s="1"/>
      <c r="F4193" s="1"/>
    </row>
    <row r="4194" spans="5:6">
      <c r="E4194" s="1"/>
      <c r="F4194" s="1"/>
    </row>
    <row r="4195" spans="5:6">
      <c r="E4195" s="1"/>
      <c r="F4195" s="1"/>
    </row>
    <row r="4196" spans="5:6">
      <c r="E4196" s="1"/>
      <c r="F4196" s="1"/>
    </row>
    <row r="4197" spans="5:6">
      <c r="E4197" s="1"/>
      <c r="F4197" s="1"/>
    </row>
    <row r="4198" spans="5:6">
      <c r="E4198" s="1"/>
      <c r="F4198" s="1"/>
    </row>
    <row r="4199" spans="5:6">
      <c r="E4199" s="1"/>
      <c r="F4199" s="1"/>
    </row>
    <row r="4200" spans="5:6">
      <c r="E4200" s="1"/>
      <c r="F4200" s="1"/>
    </row>
    <row r="4201" spans="5:6">
      <c r="E4201" s="1"/>
      <c r="F4201" s="1"/>
    </row>
    <row r="4202" spans="5:6">
      <c r="E4202" s="1"/>
      <c r="F4202" s="1"/>
    </row>
    <row r="4203" spans="5:6">
      <c r="E4203" s="1"/>
      <c r="F4203" s="1"/>
    </row>
    <row r="4204" spans="5:6">
      <c r="E4204" s="1"/>
      <c r="F4204" s="1"/>
    </row>
    <row r="4205" spans="5:6">
      <c r="E4205" s="1"/>
      <c r="F4205" s="1"/>
    </row>
    <row r="4206" spans="5:6">
      <c r="E4206" s="1"/>
      <c r="F4206" s="1"/>
    </row>
    <row r="4207" spans="5:6">
      <c r="E4207" s="1"/>
      <c r="F4207" s="1"/>
    </row>
    <row r="4208" spans="5:6">
      <c r="E4208" s="1"/>
      <c r="F4208" s="1"/>
    </row>
    <row r="4209" spans="5:6">
      <c r="E4209" s="1"/>
      <c r="F4209" s="1"/>
    </row>
    <row r="4210" spans="5:6">
      <c r="E4210" s="1"/>
      <c r="F4210" s="1"/>
    </row>
    <row r="4211" spans="5:6">
      <c r="E4211" s="1"/>
      <c r="F4211" s="1"/>
    </row>
    <row r="4212" spans="5:6">
      <c r="E4212" s="1"/>
      <c r="F4212" s="1"/>
    </row>
    <row r="4213" spans="5:6">
      <c r="E4213" s="1"/>
      <c r="F4213" s="1"/>
    </row>
    <row r="4214" spans="5:6">
      <c r="E4214" s="1"/>
      <c r="F4214" s="1"/>
    </row>
    <row r="4215" spans="5:6">
      <c r="E4215" s="1"/>
      <c r="F4215" s="1"/>
    </row>
    <row r="4216" spans="5:6">
      <c r="E4216" s="1"/>
      <c r="F4216" s="1"/>
    </row>
    <row r="4217" spans="5:6">
      <c r="E4217" s="1"/>
      <c r="F4217" s="1"/>
    </row>
    <row r="4218" spans="5:6">
      <c r="E4218" s="1"/>
      <c r="F4218" s="1"/>
    </row>
    <row r="4219" spans="5:6">
      <c r="E4219" s="1"/>
      <c r="F4219" s="1"/>
    </row>
    <row r="4220" spans="5:6">
      <c r="E4220" s="1"/>
      <c r="F4220" s="1"/>
    </row>
    <row r="4221" spans="5:6">
      <c r="E4221" s="1"/>
      <c r="F4221" s="1"/>
    </row>
    <row r="4222" spans="5:6">
      <c r="E4222" s="1"/>
      <c r="F4222" s="1"/>
    </row>
    <row r="4223" spans="5:6">
      <c r="E4223" s="1"/>
      <c r="F4223" s="1"/>
    </row>
    <row r="4224" spans="5:6">
      <c r="E4224" s="1"/>
      <c r="F4224" s="1"/>
    </row>
    <row r="4225" spans="5:6">
      <c r="E4225" s="1"/>
      <c r="F4225" s="1"/>
    </row>
    <row r="4226" spans="5:6">
      <c r="E4226" s="1"/>
      <c r="F4226" s="1"/>
    </row>
    <row r="4227" spans="5:6">
      <c r="E4227" s="1"/>
      <c r="F4227" s="1"/>
    </row>
    <row r="4228" spans="5:6">
      <c r="E4228" s="1"/>
      <c r="F4228" s="1"/>
    </row>
    <row r="4229" spans="5:6">
      <c r="E4229" s="1"/>
      <c r="F4229" s="1"/>
    </row>
    <row r="4230" spans="5:6">
      <c r="E4230" s="1"/>
      <c r="F4230" s="1"/>
    </row>
    <row r="4231" spans="5:6">
      <c r="E4231" s="1"/>
      <c r="F4231" s="1"/>
    </row>
    <row r="4232" spans="5:6">
      <c r="E4232" s="1"/>
      <c r="F4232" s="1"/>
    </row>
    <row r="4233" spans="5:6">
      <c r="E4233" s="1"/>
      <c r="F4233" s="1"/>
    </row>
    <row r="4234" spans="5:6">
      <c r="E4234" s="1"/>
      <c r="F4234" s="1"/>
    </row>
    <row r="4235" spans="5:6">
      <c r="E4235" s="1"/>
      <c r="F4235" s="1"/>
    </row>
    <row r="4236" spans="5:6">
      <c r="E4236" s="1"/>
      <c r="F4236" s="1"/>
    </row>
    <row r="4237" spans="5:6">
      <c r="E4237" s="1"/>
      <c r="F4237" s="1"/>
    </row>
    <row r="4238" spans="5:6">
      <c r="E4238" s="1"/>
      <c r="F4238" s="1"/>
    </row>
    <row r="4239" spans="5:6">
      <c r="E4239" s="1"/>
      <c r="F4239" s="1"/>
    </row>
    <row r="4240" spans="5:6">
      <c r="E4240" s="1"/>
      <c r="F4240" s="1"/>
    </row>
    <row r="4241" spans="5:6">
      <c r="E4241" s="1"/>
      <c r="F4241" s="1"/>
    </row>
    <row r="4242" spans="5:6">
      <c r="E4242" s="1"/>
      <c r="F4242" s="1"/>
    </row>
    <row r="4243" spans="5:6">
      <c r="E4243" s="1"/>
      <c r="F4243" s="1"/>
    </row>
    <row r="4244" spans="5:6">
      <c r="E4244" s="1"/>
      <c r="F4244" s="1"/>
    </row>
    <row r="4245" spans="5:6">
      <c r="E4245" s="1"/>
      <c r="F4245" s="1"/>
    </row>
    <row r="4246" spans="5:6">
      <c r="E4246" s="1"/>
      <c r="F4246" s="1"/>
    </row>
    <row r="4247" spans="5:6">
      <c r="E4247" s="1"/>
      <c r="F4247" s="1"/>
    </row>
    <row r="4248" spans="5:6">
      <c r="E4248" s="1"/>
      <c r="F4248" s="1"/>
    </row>
    <row r="4249" spans="5:6">
      <c r="E4249" s="1"/>
      <c r="F4249" s="1"/>
    </row>
    <row r="4250" spans="5:6">
      <c r="E4250" s="1"/>
      <c r="F4250" s="1"/>
    </row>
    <row r="4251" spans="5:6">
      <c r="E4251" s="1"/>
      <c r="F4251" s="1"/>
    </row>
    <row r="4252" spans="5:6">
      <c r="E4252" s="1"/>
      <c r="F4252" s="1"/>
    </row>
    <row r="4253" spans="5:6">
      <c r="E4253" s="1"/>
      <c r="F4253" s="1"/>
    </row>
    <row r="4254" spans="5:6">
      <c r="E4254" s="1"/>
      <c r="F4254" s="1"/>
    </row>
    <row r="4255" spans="5:6">
      <c r="E4255" s="1"/>
      <c r="F4255" s="1"/>
    </row>
    <row r="4256" spans="5:6">
      <c r="E4256" s="1"/>
      <c r="F4256" s="1"/>
    </row>
    <row r="4257" spans="5:6">
      <c r="E4257" s="1"/>
      <c r="F4257" s="1"/>
    </row>
    <row r="4258" spans="5:6">
      <c r="E4258" s="1"/>
      <c r="F4258" s="1"/>
    </row>
    <row r="4259" spans="5:6">
      <c r="E4259" s="1"/>
      <c r="F4259" s="1"/>
    </row>
    <row r="4260" spans="5:6">
      <c r="E4260" s="1"/>
      <c r="F4260" s="1"/>
    </row>
    <row r="4261" spans="5:6">
      <c r="E4261" s="1"/>
      <c r="F4261" s="1"/>
    </row>
    <row r="4262" spans="5:6">
      <c r="E4262" s="1"/>
      <c r="F4262" s="1"/>
    </row>
    <row r="4263" spans="5:6">
      <c r="E4263" s="1"/>
      <c r="F4263" s="1"/>
    </row>
    <row r="4264" spans="5:6">
      <c r="E4264" s="1"/>
      <c r="F4264" s="1"/>
    </row>
    <row r="4265" spans="5:6">
      <c r="E4265" s="1"/>
      <c r="F4265" s="1"/>
    </row>
    <row r="4266" spans="5:6">
      <c r="E4266" s="1"/>
      <c r="F4266" s="1"/>
    </row>
    <row r="4267" spans="5:6">
      <c r="E4267" s="1"/>
      <c r="F4267" s="1"/>
    </row>
    <row r="4268" spans="5:6">
      <c r="E4268" s="1"/>
      <c r="F4268" s="1"/>
    </row>
    <row r="4269" spans="5:6">
      <c r="E4269" s="1"/>
      <c r="F4269" s="1"/>
    </row>
    <row r="4270" spans="5:6">
      <c r="E4270" s="1"/>
      <c r="F4270" s="1"/>
    </row>
    <row r="4271" spans="5:6">
      <c r="E4271" s="1"/>
      <c r="F4271" s="1"/>
    </row>
    <row r="4272" spans="5:6">
      <c r="E4272" s="1"/>
      <c r="F4272" s="1"/>
    </row>
    <row r="4273" spans="5:6">
      <c r="E4273" s="1"/>
      <c r="F4273" s="1"/>
    </row>
    <row r="4274" spans="5:6">
      <c r="E4274" s="1"/>
      <c r="F4274" s="1"/>
    </row>
    <row r="4275" spans="5:6">
      <c r="E4275" s="1"/>
      <c r="F4275" s="1"/>
    </row>
    <row r="4276" spans="5:6">
      <c r="E4276" s="1"/>
      <c r="F4276" s="1"/>
    </row>
    <row r="4277" spans="5:6">
      <c r="E4277" s="1"/>
      <c r="F4277" s="1"/>
    </row>
    <row r="4278" spans="5:6">
      <c r="E4278" s="1"/>
      <c r="F4278" s="1"/>
    </row>
    <row r="4279" spans="5:6">
      <c r="E4279" s="1"/>
      <c r="F4279" s="1"/>
    </row>
    <row r="4280" spans="5:6">
      <c r="E4280" s="1"/>
      <c r="F4280" s="1"/>
    </row>
    <row r="4281" spans="5:6">
      <c r="E4281" s="1"/>
      <c r="F4281" s="1"/>
    </row>
    <row r="4282" spans="5:6">
      <c r="E4282" s="1"/>
      <c r="F4282" s="1"/>
    </row>
    <row r="4283" spans="5:6">
      <c r="E4283" s="1"/>
      <c r="F4283" s="1"/>
    </row>
    <row r="4284" spans="5:6">
      <c r="E4284" s="1"/>
      <c r="F4284" s="1"/>
    </row>
    <row r="4285" spans="5:6">
      <c r="E4285" s="1"/>
      <c r="F4285" s="1"/>
    </row>
    <row r="4286" spans="5:6">
      <c r="E4286" s="1"/>
      <c r="F4286" s="1"/>
    </row>
    <row r="4287" spans="5:6">
      <c r="E4287" s="1"/>
      <c r="F4287" s="1"/>
    </row>
    <row r="4288" spans="5:6">
      <c r="E4288" s="1"/>
      <c r="F4288" s="1"/>
    </row>
    <row r="4289" spans="5:6">
      <c r="E4289" s="1"/>
      <c r="F4289" s="1"/>
    </row>
    <row r="4290" spans="5:6">
      <c r="E4290" s="1"/>
      <c r="F4290" s="1"/>
    </row>
    <row r="4291" spans="5:6">
      <c r="E4291" s="1"/>
      <c r="F4291" s="1"/>
    </row>
    <row r="4292" spans="5:6">
      <c r="E4292" s="1"/>
      <c r="F4292" s="1"/>
    </row>
    <row r="4293" spans="5:6">
      <c r="E4293" s="1"/>
      <c r="F4293" s="1"/>
    </row>
    <row r="4294" spans="5:6">
      <c r="E4294" s="1"/>
      <c r="F4294" s="1"/>
    </row>
    <row r="4295" spans="5:6">
      <c r="E4295" s="1"/>
      <c r="F4295" s="1"/>
    </row>
    <row r="4296" spans="5:6">
      <c r="E4296" s="1"/>
      <c r="F4296" s="1"/>
    </row>
    <row r="4297" spans="5:6">
      <c r="E4297" s="1"/>
      <c r="F4297" s="1"/>
    </row>
    <row r="4298" spans="5:6">
      <c r="E4298" s="1"/>
      <c r="F4298" s="1"/>
    </row>
    <row r="4299" spans="5:6">
      <c r="E4299" s="1"/>
      <c r="F4299" s="1"/>
    </row>
    <row r="4300" spans="5:6">
      <c r="E4300" s="1"/>
      <c r="F4300" s="1"/>
    </row>
    <row r="4301" spans="5:6">
      <c r="E4301" s="1"/>
      <c r="F4301" s="1"/>
    </row>
    <row r="4302" spans="5:6">
      <c r="E4302" s="1"/>
      <c r="F4302" s="1"/>
    </row>
    <row r="4303" spans="5:6">
      <c r="E4303" s="1"/>
      <c r="F4303" s="1"/>
    </row>
    <row r="4304" spans="5:6">
      <c r="E4304" s="1"/>
      <c r="F4304" s="1"/>
    </row>
    <row r="4305" spans="5:6">
      <c r="E4305" s="1"/>
      <c r="F4305" s="1"/>
    </row>
    <row r="4306" spans="5:6">
      <c r="E4306" s="1"/>
      <c r="F4306" s="1"/>
    </row>
    <row r="4307" spans="5:6">
      <c r="E4307" s="1"/>
      <c r="F4307" s="1"/>
    </row>
    <row r="4308" spans="5:6">
      <c r="E4308" s="1"/>
      <c r="F4308" s="1"/>
    </row>
    <row r="4309" spans="5:6">
      <c r="E4309" s="1"/>
      <c r="F4309" s="1"/>
    </row>
    <row r="4310" spans="5:6">
      <c r="E4310" s="1"/>
      <c r="F4310" s="1"/>
    </row>
    <row r="4311" spans="5:6">
      <c r="E4311" s="1"/>
      <c r="F4311" s="1"/>
    </row>
    <row r="4312" spans="5:6">
      <c r="E4312" s="1"/>
      <c r="F4312" s="1"/>
    </row>
    <row r="4313" spans="5:6">
      <c r="E4313" s="1"/>
      <c r="F4313" s="1"/>
    </row>
    <row r="4314" spans="5:6">
      <c r="E4314" s="1"/>
      <c r="F4314" s="1"/>
    </row>
    <row r="4315" spans="5:6">
      <c r="E4315" s="1"/>
      <c r="F4315" s="1"/>
    </row>
    <row r="4316" spans="5:6">
      <c r="E4316" s="1"/>
      <c r="F4316" s="1"/>
    </row>
    <row r="4317" spans="5:6">
      <c r="E4317" s="1"/>
      <c r="F4317" s="1"/>
    </row>
    <row r="4318" spans="5:6">
      <c r="E4318" s="1"/>
      <c r="F4318" s="1"/>
    </row>
    <row r="4319" spans="5:6">
      <c r="E4319" s="1"/>
      <c r="F4319" s="1"/>
    </row>
    <row r="4320" spans="5:6">
      <c r="E4320" s="1"/>
      <c r="F4320" s="1"/>
    </row>
    <row r="4321" spans="5:6">
      <c r="E4321" s="1"/>
      <c r="F4321" s="1"/>
    </row>
    <row r="4322" spans="5:6">
      <c r="E4322" s="1"/>
      <c r="F4322" s="1"/>
    </row>
    <row r="4323" spans="5:6">
      <c r="E4323" s="1"/>
      <c r="F4323" s="1"/>
    </row>
    <row r="4324" spans="5:6">
      <c r="E4324" s="1"/>
      <c r="F4324" s="1"/>
    </row>
    <row r="4325" spans="5:6">
      <c r="E4325" s="1"/>
      <c r="F4325" s="1"/>
    </row>
    <row r="4326" spans="5:6">
      <c r="E4326" s="1"/>
      <c r="F4326" s="1"/>
    </row>
    <row r="4327" spans="5:6">
      <c r="E4327" s="1"/>
      <c r="F4327" s="1"/>
    </row>
    <row r="4328" spans="5:6">
      <c r="E4328" s="1"/>
      <c r="F4328" s="1"/>
    </row>
    <row r="4329" spans="5:6">
      <c r="E4329" s="1"/>
      <c r="F4329" s="1"/>
    </row>
    <row r="4330" spans="5:6">
      <c r="E4330" s="1"/>
      <c r="F4330" s="1"/>
    </row>
    <row r="4331" spans="5:6">
      <c r="E4331" s="1"/>
      <c r="F4331" s="1"/>
    </row>
    <row r="4332" spans="5:6">
      <c r="E4332" s="1"/>
      <c r="F4332" s="1"/>
    </row>
    <row r="4333" spans="5:6">
      <c r="E4333" s="1"/>
      <c r="F4333" s="1"/>
    </row>
    <row r="4334" spans="5:6">
      <c r="E4334" s="1"/>
      <c r="F4334" s="1"/>
    </row>
    <row r="4335" spans="5:6">
      <c r="E4335" s="1"/>
      <c r="F4335" s="1"/>
    </row>
    <row r="4336" spans="5:6">
      <c r="E4336" s="1"/>
      <c r="F4336" s="1"/>
    </row>
    <row r="4337" spans="5:6">
      <c r="E4337" s="1"/>
      <c r="F4337" s="1"/>
    </row>
    <row r="4338" spans="5:6">
      <c r="E4338" s="1"/>
      <c r="F4338" s="1"/>
    </row>
    <row r="4339" spans="5:6">
      <c r="E4339" s="1"/>
      <c r="F4339" s="1"/>
    </row>
    <row r="4340" spans="5:6">
      <c r="E4340" s="1"/>
      <c r="F4340" s="1"/>
    </row>
    <row r="4341" spans="5:6">
      <c r="E4341" s="1"/>
      <c r="F4341" s="1"/>
    </row>
    <row r="4342" spans="5:6">
      <c r="E4342" s="1"/>
      <c r="F4342" s="1"/>
    </row>
    <row r="4343" spans="5:6">
      <c r="E4343" s="1"/>
      <c r="F4343" s="1"/>
    </row>
    <row r="4344" spans="5:6">
      <c r="E4344" s="1"/>
      <c r="F4344" s="1"/>
    </row>
    <row r="4345" spans="5:6">
      <c r="E4345" s="1"/>
      <c r="F4345" s="1"/>
    </row>
    <row r="4346" spans="5:6">
      <c r="E4346" s="1"/>
      <c r="F4346" s="1"/>
    </row>
    <row r="4347" spans="5:6">
      <c r="E4347" s="1"/>
      <c r="F4347" s="1"/>
    </row>
    <row r="4348" spans="5:6">
      <c r="E4348" s="1"/>
      <c r="F4348" s="1"/>
    </row>
    <row r="4349" spans="5:6">
      <c r="E4349" s="1"/>
      <c r="F4349" s="1"/>
    </row>
    <row r="4350" spans="5:6">
      <c r="E4350" s="1"/>
      <c r="F4350" s="1"/>
    </row>
    <row r="4351" spans="5:6">
      <c r="E4351" s="1"/>
      <c r="F4351" s="1"/>
    </row>
    <row r="4352" spans="5:6">
      <c r="E4352" s="1"/>
      <c r="F4352" s="1"/>
    </row>
    <row r="4353" spans="5:6">
      <c r="E4353" s="1"/>
      <c r="F4353" s="1"/>
    </row>
    <row r="4354" spans="5:6">
      <c r="E4354" s="1"/>
      <c r="F4354" s="1"/>
    </row>
    <row r="4355" spans="5:6">
      <c r="E4355" s="1"/>
      <c r="F4355" s="1"/>
    </row>
    <row r="4356" spans="5:6">
      <c r="E4356" s="1"/>
      <c r="F4356" s="1"/>
    </row>
    <row r="4357" spans="5:6">
      <c r="E4357" s="1"/>
      <c r="F4357" s="1"/>
    </row>
    <row r="4358" spans="5:6">
      <c r="E4358" s="1"/>
      <c r="F4358" s="1"/>
    </row>
    <row r="4359" spans="5:6">
      <c r="E4359" s="1"/>
      <c r="F4359" s="1"/>
    </row>
    <row r="4360" spans="5:6">
      <c r="E4360" s="1"/>
      <c r="F4360" s="1"/>
    </row>
    <row r="4361" spans="5:6">
      <c r="E4361" s="1"/>
      <c r="F4361" s="1"/>
    </row>
    <row r="4362" spans="5:6">
      <c r="E4362" s="1"/>
      <c r="F4362" s="1"/>
    </row>
    <row r="4363" spans="5:6">
      <c r="E4363" s="1"/>
      <c r="F4363" s="1"/>
    </row>
    <row r="4364" spans="5:6">
      <c r="E4364" s="1"/>
      <c r="F4364" s="1"/>
    </row>
    <row r="4365" spans="5:6">
      <c r="E4365" s="1"/>
      <c r="F4365" s="1"/>
    </row>
    <row r="4366" spans="5:6">
      <c r="E4366" s="1"/>
      <c r="F4366" s="1"/>
    </row>
    <row r="4367" spans="5:6">
      <c r="E4367" s="1"/>
      <c r="F4367" s="1"/>
    </row>
    <row r="4368" spans="5:6">
      <c r="E4368" s="1"/>
      <c r="F4368" s="1"/>
    </row>
    <row r="4369" spans="5:6">
      <c r="E4369" s="1"/>
      <c r="F4369" s="1"/>
    </row>
    <row r="4370" spans="5:6">
      <c r="E4370" s="1"/>
      <c r="F4370" s="1"/>
    </row>
    <row r="4371" spans="5:6">
      <c r="E4371" s="1"/>
      <c r="F4371" s="1"/>
    </row>
    <row r="4372" spans="5:6">
      <c r="E4372" s="1"/>
      <c r="F4372" s="1"/>
    </row>
    <row r="4373" spans="5:6">
      <c r="E4373" s="1"/>
      <c r="F4373" s="1"/>
    </row>
    <row r="4374" spans="5:6">
      <c r="E4374" s="1"/>
      <c r="F4374" s="1"/>
    </row>
    <row r="4375" spans="5:6">
      <c r="E4375" s="1"/>
      <c r="F4375" s="1"/>
    </row>
    <row r="4376" spans="5:6">
      <c r="E4376" s="1"/>
      <c r="F4376" s="1"/>
    </row>
    <row r="4377" spans="5:6">
      <c r="E4377" s="1"/>
      <c r="F4377" s="1"/>
    </row>
    <row r="4378" spans="5:6">
      <c r="E4378" s="1"/>
      <c r="F4378" s="1"/>
    </row>
    <row r="4379" spans="5:6">
      <c r="E4379" s="1"/>
      <c r="F4379" s="1"/>
    </row>
    <row r="4380" spans="5:6">
      <c r="E4380" s="1"/>
      <c r="F4380" s="1"/>
    </row>
    <row r="4381" spans="5:6">
      <c r="E4381" s="1"/>
      <c r="F4381" s="1"/>
    </row>
    <row r="4382" spans="5:6">
      <c r="E4382" s="1"/>
      <c r="F4382" s="1"/>
    </row>
    <row r="4383" spans="5:6">
      <c r="E4383" s="1"/>
      <c r="F4383" s="1"/>
    </row>
    <row r="4384" spans="5:6">
      <c r="E4384" s="1"/>
      <c r="F4384" s="1"/>
    </row>
    <row r="4385" spans="5:6">
      <c r="E4385" s="1"/>
      <c r="F4385" s="1"/>
    </row>
    <row r="4386" spans="5:6">
      <c r="E4386" s="1"/>
      <c r="F4386" s="1"/>
    </row>
    <row r="4387" spans="5:6">
      <c r="E4387" s="1"/>
      <c r="F4387" s="1"/>
    </row>
    <row r="4388" spans="5:6">
      <c r="E4388" s="1"/>
      <c r="F4388" s="1"/>
    </row>
    <row r="4389" spans="5:6">
      <c r="E4389" s="1"/>
      <c r="F4389" s="1"/>
    </row>
    <row r="4390" spans="5:6">
      <c r="E4390" s="1"/>
      <c r="F4390" s="1"/>
    </row>
    <row r="4391" spans="5:6">
      <c r="E4391" s="1"/>
      <c r="F4391" s="1"/>
    </row>
    <row r="4392" spans="5:6">
      <c r="E4392" s="1"/>
      <c r="F4392" s="1"/>
    </row>
    <row r="4393" spans="5:6">
      <c r="E4393" s="1"/>
      <c r="F4393" s="1"/>
    </row>
    <row r="4394" spans="5:6">
      <c r="E4394" s="1"/>
      <c r="F4394" s="1"/>
    </row>
    <row r="4395" spans="5:6">
      <c r="E4395" s="1"/>
      <c r="F4395" s="1"/>
    </row>
    <row r="4396" spans="5:6">
      <c r="E4396" s="1"/>
      <c r="F4396" s="1"/>
    </row>
    <row r="4397" spans="5:6">
      <c r="E4397" s="1"/>
      <c r="F4397" s="1"/>
    </row>
    <row r="4398" spans="5:6">
      <c r="E4398" s="1"/>
      <c r="F4398" s="1"/>
    </row>
    <row r="4399" spans="5:6">
      <c r="E4399" s="1"/>
      <c r="F4399" s="1"/>
    </row>
    <row r="4400" spans="5:6">
      <c r="E4400" s="1"/>
      <c r="F4400" s="1"/>
    </row>
    <row r="4401" spans="5:6">
      <c r="E4401" s="1"/>
      <c r="F4401" s="1"/>
    </row>
    <row r="4402" spans="5:6">
      <c r="E4402" s="1"/>
      <c r="F4402" s="1"/>
    </row>
    <row r="4403" spans="5:6">
      <c r="E4403" s="1"/>
      <c r="F4403" s="1"/>
    </row>
    <row r="4404" spans="5:6">
      <c r="E4404" s="1"/>
      <c r="F4404" s="1"/>
    </row>
    <row r="4405" spans="5:6">
      <c r="E4405" s="1"/>
      <c r="F4405" s="1"/>
    </row>
    <row r="4406" spans="5:6">
      <c r="E4406" s="1"/>
      <c r="F4406" s="1"/>
    </row>
    <row r="4407" spans="5:6">
      <c r="E4407" s="1"/>
      <c r="F4407" s="1"/>
    </row>
    <row r="4408" spans="5:6">
      <c r="E4408" s="1"/>
      <c r="F4408" s="1"/>
    </row>
    <row r="4409" spans="5:6">
      <c r="E4409" s="1"/>
      <c r="F4409" s="1"/>
    </row>
    <row r="4410" spans="5:6">
      <c r="E4410" s="1"/>
      <c r="F4410" s="1"/>
    </row>
    <row r="4411" spans="5:6">
      <c r="E4411" s="1"/>
      <c r="F4411" s="1"/>
    </row>
    <row r="4412" spans="5:6">
      <c r="E4412" s="1"/>
      <c r="F4412" s="1"/>
    </row>
    <row r="4413" spans="5:6">
      <c r="E4413" s="1"/>
      <c r="F4413" s="1"/>
    </row>
    <row r="4414" spans="5:6">
      <c r="E4414" s="1"/>
      <c r="F4414" s="1"/>
    </row>
    <row r="4415" spans="5:6">
      <c r="E4415" s="1"/>
      <c r="F4415" s="1"/>
    </row>
    <row r="4416" spans="5:6">
      <c r="E4416" s="1"/>
      <c r="F4416" s="1"/>
    </row>
    <row r="4417" spans="5:6">
      <c r="E4417" s="1"/>
      <c r="F4417" s="1"/>
    </row>
    <row r="4418" spans="5:6">
      <c r="E4418" s="1"/>
      <c r="F4418" s="1"/>
    </row>
    <row r="4419" spans="5:6">
      <c r="E4419" s="1"/>
      <c r="F4419" s="1"/>
    </row>
    <row r="4420" spans="5:6">
      <c r="E4420" s="1"/>
      <c r="F4420" s="1"/>
    </row>
    <row r="4421" spans="5:6">
      <c r="E4421" s="1"/>
      <c r="F4421" s="1"/>
    </row>
    <row r="4422" spans="5:6">
      <c r="E4422" s="1"/>
      <c r="F4422" s="1"/>
    </row>
    <row r="4423" spans="5:6">
      <c r="E4423" s="1"/>
      <c r="F4423" s="1"/>
    </row>
    <row r="4424" spans="5:6">
      <c r="E4424" s="1"/>
      <c r="F4424" s="1"/>
    </row>
    <row r="4425" spans="5:6">
      <c r="E4425" s="1"/>
      <c r="F4425" s="1"/>
    </row>
    <row r="4426" spans="5:6">
      <c r="E4426" s="1"/>
      <c r="F4426" s="1"/>
    </row>
    <row r="4427" spans="5:6">
      <c r="E4427" s="1"/>
      <c r="F4427" s="1"/>
    </row>
    <row r="4428" spans="5:6">
      <c r="E4428" s="1"/>
      <c r="F4428" s="1"/>
    </row>
    <row r="4429" spans="5:6">
      <c r="E4429" s="1"/>
      <c r="F4429" s="1"/>
    </row>
    <row r="4430" spans="5:6">
      <c r="E4430" s="1"/>
      <c r="F4430" s="1"/>
    </row>
    <row r="4431" spans="5:6">
      <c r="E4431" s="1"/>
      <c r="F4431" s="1"/>
    </row>
    <row r="4432" spans="5:6">
      <c r="E4432" s="1"/>
      <c r="F4432" s="1"/>
    </row>
    <row r="4433" spans="5:6">
      <c r="E4433" s="1"/>
      <c r="F4433" s="1"/>
    </row>
    <row r="4434" spans="5:6">
      <c r="E4434" s="1"/>
      <c r="F4434" s="1"/>
    </row>
    <row r="4435" spans="5:6">
      <c r="E4435" s="1"/>
      <c r="F4435" s="1"/>
    </row>
    <row r="4436" spans="5:6">
      <c r="E4436" s="1"/>
      <c r="F4436" s="1"/>
    </row>
    <row r="4437" spans="5:6">
      <c r="E4437" s="1"/>
      <c r="F4437" s="1"/>
    </row>
    <row r="4438" spans="5:6">
      <c r="E4438" s="1"/>
      <c r="F4438" s="1"/>
    </row>
    <row r="4439" spans="5:6">
      <c r="E4439" s="1"/>
      <c r="F4439" s="1"/>
    </row>
    <row r="4440" spans="5:6">
      <c r="E4440" s="1"/>
      <c r="F4440" s="1"/>
    </row>
    <row r="4441" spans="5:6">
      <c r="E4441" s="1"/>
      <c r="F4441" s="1"/>
    </row>
    <row r="4442" spans="5:6">
      <c r="E4442" s="1"/>
      <c r="F4442" s="1"/>
    </row>
    <row r="4443" spans="5:6">
      <c r="E4443" s="1"/>
      <c r="F4443" s="1"/>
    </row>
    <row r="4444" spans="5:6">
      <c r="E4444" s="1"/>
      <c r="F4444" s="1"/>
    </row>
    <row r="4445" spans="5:6">
      <c r="E4445" s="1"/>
      <c r="F4445" s="1"/>
    </row>
    <row r="4446" spans="5:6">
      <c r="E4446" s="1"/>
      <c r="F4446" s="1"/>
    </row>
    <row r="4447" spans="5:6">
      <c r="E4447" s="1"/>
      <c r="F4447" s="1"/>
    </row>
    <row r="4448" spans="5:6">
      <c r="E4448" s="1"/>
      <c r="F4448" s="1"/>
    </row>
    <row r="4449" spans="5:6">
      <c r="E4449" s="1"/>
      <c r="F4449" s="1"/>
    </row>
    <row r="4450" spans="5:6">
      <c r="E4450" s="1"/>
      <c r="F4450" s="1"/>
    </row>
    <row r="4451" spans="5:6">
      <c r="E4451" s="1"/>
      <c r="F4451" s="1"/>
    </row>
    <row r="4452" spans="5:6">
      <c r="E4452" s="1"/>
      <c r="F4452" s="1"/>
    </row>
    <row r="4453" spans="5:6">
      <c r="E4453" s="1"/>
      <c r="F4453" s="1"/>
    </row>
    <row r="4454" spans="5:6">
      <c r="E4454" s="1"/>
      <c r="F4454" s="1"/>
    </row>
    <row r="4455" spans="5:6">
      <c r="E4455" s="1"/>
      <c r="F4455" s="1"/>
    </row>
    <row r="4456" spans="5:6">
      <c r="E4456" s="1"/>
      <c r="F4456" s="1"/>
    </row>
    <row r="4457" spans="5:6">
      <c r="E4457" s="1"/>
      <c r="F4457" s="1"/>
    </row>
    <row r="4458" spans="5:6">
      <c r="E4458" s="1"/>
      <c r="F4458" s="1"/>
    </row>
    <row r="4459" spans="5:6">
      <c r="E4459" s="1"/>
      <c r="F4459" s="1"/>
    </row>
    <row r="4460" spans="5:6">
      <c r="E4460" s="1"/>
      <c r="F4460" s="1"/>
    </row>
    <row r="4461" spans="5:6">
      <c r="E4461" s="1"/>
      <c r="F4461" s="1"/>
    </row>
    <row r="4462" spans="5:6">
      <c r="E4462" s="1"/>
      <c r="F4462" s="1"/>
    </row>
    <row r="4463" spans="5:6">
      <c r="E4463" s="1"/>
      <c r="F4463" s="1"/>
    </row>
    <row r="4464" spans="5:6">
      <c r="E4464" s="1"/>
      <c r="F4464" s="1"/>
    </row>
    <row r="4465" spans="5:6">
      <c r="E4465" s="1"/>
      <c r="F4465" s="1"/>
    </row>
    <row r="4466" spans="5:6">
      <c r="E4466" s="1"/>
      <c r="F4466" s="1"/>
    </row>
    <row r="4467" spans="5:6">
      <c r="E4467" s="1"/>
      <c r="F4467" s="1"/>
    </row>
    <row r="4468" spans="5:6">
      <c r="E4468" s="1"/>
      <c r="F4468" s="1"/>
    </row>
    <row r="4469" spans="5:6">
      <c r="E4469" s="1"/>
      <c r="F4469" s="1"/>
    </row>
    <row r="4470" spans="5:6">
      <c r="E4470" s="1"/>
      <c r="F4470" s="1"/>
    </row>
    <row r="4471" spans="5:6">
      <c r="E4471" s="1"/>
      <c r="F4471" s="1"/>
    </row>
    <row r="4472" spans="5:6">
      <c r="E4472" s="1"/>
      <c r="F4472" s="1"/>
    </row>
    <row r="4473" spans="5:6">
      <c r="E4473" s="1"/>
      <c r="F4473" s="1"/>
    </row>
    <row r="4474" spans="5:6">
      <c r="E4474" s="1"/>
      <c r="F4474" s="1"/>
    </row>
    <row r="4475" spans="5:6">
      <c r="E4475" s="1"/>
      <c r="F4475" s="1"/>
    </row>
    <row r="4476" spans="5:6">
      <c r="E4476" s="1"/>
      <c r="F4476" s="1"/>
    </row>
    <row r="4477" spans="5:6">
      <c r="E4477" s="1"/>
      <c r="F4477" s="1"/>
    </row>
    <row r="4478" spans="5:6">
      <c r="E4478" s="1"/>
      <c r="F4478" s="1"/>
    </row>
    <row r="4479" spans="5:6">
      <c r="E4479" s="1"/>
      <c r="F4479" s="1"/>
    </row>
    <row r="4480" spans="5:6">
      <c r="E4480" s="1"/>
      <c r="F4480" s="1"/>
    </row>
    <row r="4481" spans="5:6">
      <c r="E4481" s="1"/>
      <c r="F4481" s="1"/>
    </row>
    <row r="4482" spans="5:6">
      <c r="E4482" s="1"/>
      <c r="F4482" s="1"/>
    </row>
    <row r="4483" spans="5:6">
      <c r="E4483" s="1"/>
      <c r="F4483" s="1"/>
    </row>
    <row r="4484" spans="5:6">
      <c r="E4484" s="1"/>
      <c r="F4484" s="1"/>
    </row>
    <row r="4485" spans="5:6">
      <c r="E4485" s="1"/>
      <c r="F4485" s="1"/>
    </row>
    <row r="4486" spans="5:6">
      <c r="E4486" s="1"/>
      <c r="F4486" s="1"/>
    </row>
    <row r="4487" spans="5:6">
      <c r="E4487" s="1"/>
      <c r="F4487" s="1"/>
    </row>
    <row r="4488" spans="5:6">
      <c r="E4488" s="1"/>
      <c r="F4488" s="1"/>
    </row>
    <row r="4489" spans="5:6">
      <c r="E4489" s="1"/>
      <c r="F4489" s="1"/>
    </row>
    <row r="4490" spans="5:6">
      <c r="E4490" s="1"/>
      <c r="F4490" s="1"/>
    </row>
    <row r="4491" spans="5:6">
      <c r="E4491" s="1"/>
      <c r="F4491" s="1"/>
    </row>
    <row r="4492" spans="5:6">
      <c r="E4492" s="1"/>
      <c r="F4492" s="1"/>
    </row>
    <row r="4493" spans="5:6">
      <c r="E4493" s="1"/>
      <c r="F4493" s="1"/>
    </row>
    <row r="4494" spans="5:6">
      <c r="E4494" s="1"/>
      <c r="F4494" s="1"/>
    </row>
    <row r="4495" spans="5:6">
      <c r="E4495" s="1"/>
      <c r="F4495" s="1"/>
    </row>
    <row r="4496" spans="5:6">
      <c r="E4496" s="1"/>
      <c r="F4496" s="1"/>
    </row>
    <row r="4497" spans="5:6">
      <c r="E4497" s="1"/>
      <c r="F4497" s="1"/>
    </row>
    <row r="4498" spans="5:6">
      <c r="E4498" s="1"/>
      <c r="F4498" s="1"/>
    </row>
    <row r="4499" spans="5:6">
      <c r="E4499" s="1"/>
      <c r="F4499" s="1"/>
    </row>
    <row r="4500" spans="5:6">
      <c r="E4500" s="1"/>
      <c r="F4500" s="1"/>
    </row>
    <row r="4501" spans="5:6">
      <c r="E4501" s="1"/>
      <c r="F4501" s="1"/>
    </row>
    <row r="4502" spans="5:6">
      <c r="E4502" s="1"/>
      <c r="F4502" s="1"/>
    </row>
    <row r="4503" spans="5:6">
      <c r="E4503" s="1"/>
      <c r="F4503" s="1"/>
    </row>
    <row r="4504" spans="5:6">
      <c r="E4504" s="1"/>
      <c r="F4504" s="1"/>
    </row>
    <row r="4505" spans="5:6">
      <c r="E4505" s="1"/>
      <c r="F4505" s="1"/>
    </row>
    <row r="4506" spans="5:6">
      <c r="E4506" s="1"/>
      <c r="F4506" s="1"/>
    </row>
    <row r="4507" spans="5:6">
      <c r="E4507" s="1"/>
      <c r="F4507" s="1"/>
    </row>
    <row r="4508" spans="5:6">
      <c r="E4508" s="1"/>
      <c r="F4508" s="1"/>
    </row>
    <row r="4509" spans="5:6">
      <c r="E4509" s="1"/>
      <c r="F4509" s="1"/>
    </row>
    <row r="4510" spans="5:6">
      <c r="E4510" s="1"/>
      <c r="F4510" s="1"/>
    </row>
    <row r="4511" spans="5:6">
      <c r="E4511" s="1"/>
      <c r="F4511" s="1"/>
    </row>
    <row r="4512" spans="5:6">
      <c r="E4512" s="1"/>
      <c r="F4512" s="1"/>
    </row>
    <row r="4513" spans="5:6">
      <c r="E4513" s="1"/>
      <c r="F4513" s="1"/>
    </row>
    <row r="4514" spans="5:6">
      <c r="E4514" s="1"/>
      <c r="F4514" s="1"/>
    </row>
    <row r="4515" spans="5:6">
      <c r="E4515" s="1"/>
      <c r="F4515" s="1"/>
    </row>
    <row r="4516" spans="5:6">
      <c r="E4516" s="1"/>
      <c r="F4516" s="1"/>
    </row>
    <row r="4517" spans="5:6">
      <c r="E4517" s="1"/>
      <c r="F4517" s="1"/>
    </row>
    <row r="4518" spans="5:6">
      <c r="E4518" s="1"/>
      <c r="F4518" s="1"/>
    </row>
    <row r="4519" spans="5:6">
      <c r="E4519" s="1"/>
      <c r="F4519" s="1"/>
    </row>
    <row r="4520" spans="5:6">
      <c r="E4520" s="1"/>
      <c r="F4520" s="1"/>
    </row>
    <row r="4521" spans="5:6">
      <c r="E4521" s="1"/>
      <c r="F4521" s="1"/>
    </row>
    <row r="4522" spans="5:6">
      <c r="E4522" s="1"/>
      <c r="F4522" s="1"/>
    </row>
    <row r="4523" spans="5:6">
      <c r="E4523" s="1"/>
      <c r="F4523" s="1"/>
    </row>
    <row r="4524" spans="5:6">
      <c r="E4524" s="1"/>
      <c r="F4524" s="1"/>
    </row>
    <row r="4525" spans="5:6">
      <c r="E4525" s="1"/>
      <c r="F4525" s="1"/>
    </row>
    <row r="4526" spans="5:6">
      <c r="E4526" s="1"/>
      <c r="F4526" s="1"/>
    </row>
    <row r="4527" spans="5:6">
      <c r="E4527" s="1"/>
      <c r="F4527" s="1"/>
    </row>
    <row r="4528" spans="5:6">
      <c r="E4528" s="1"/>
      <c r="F4528" s="1"/>
    </row>
    <row r="4529" spans="5:6">
      <c r="E4529" s="1"/>
      <c r="F4529" s="1"/>
    </row>
    <row r="4530" spans="5:6">
      <c r="E4530" s="1"/>
      <c r="F4530" s="1"/>
    </row>
    <row r="4531" spans="5:6">
      <c r="E4531" s="1"/>
      <c r="F4531" s="1"/>
    </row>
    <row r="4532" spans="5:6">
      <c r="E4532" s="1"/>
      <c r="F4532" s="1"/>
    </row>
    <row r="4533" spans="5:6">
      <c r="E4533" s="1"/>
      <c r="F4533" s="1"/>
    </row>
    <row r="4534" spans="5:6">
      <c r="E4534" s="1"/>
      <c r="F4534" s="1"/>
    </row>
    <row r="4535" spans="5:6">
      <c r="E4535" s="1"/>
      <c r="F4535" s="1"/>
    </row>
    <row r="4536" spans="5:6">
      <c r="E4536" s="1"/>
      <c r="F4536" s="1"/>
    </row>
    <row r="4537" spans="5:6">
      <c r="E4537" s="1"/>
      <c r="F4537" s="1"/>
    </row>
    <row r="4538" spans="5:6">
      <c r="E4538" s="1"/>
      <c r="F4538" s="1"/>
    </row>
    <row r="4539" spans="5:6">
      <c r="E4539" s="1"/>
      <c r="F4539" s="1"/>
    </row>
    <row r="4540" spans="5:6">
      <c r="E4540" s="1"/>
      <c r="F4540" s="1"/>
    </row>
    <row r="4541" spans="5:6">
      <c r="E4541" s="1"/>
      <c r="F4541" s="1"/>
    </row>
    <row r="4542" spans="5:6">
      <c r="E4542" s="1"/>
      <c r="F4542" s="1"/>
    </row>
    <row r="4543" spans="5:6">
      <c r="E4543" s="1"/>
      <c r="F4543" s="1"/>
    </row>
    <row r="4544" spans="5:6">
      <c r="E4544" s="1"/>
      <c r="F4544" s="1"/>
    </row>
    <row r="4545" spans="5:6">
      <c r="E4545" s="1"/>
      <c r="F4545" s="1"/>
    </row>
    <row r="4546" spans="5:6">
      <c r="E4546" s="1"/>
      <c r="F4546" s="1"/>
    </row>
    <row r="4547" spans="5:6">
      <c r="E4547" s="1"/>
      <c r="F4547" s="1"/>
    </row>
    <row r="4548" spans="5:6">
      <c r="E4548" s="1"/>
      <c r="F4548" s="1"/>
    </row>
    <row r="4549" spans="5:6">
      <c r="E4549" s="1"/>
      <c r="F4549" s="1"/>
    </row>
    <row r="4550" spans="5:6">
      <c r="E4550" s="1"/>
      <c r="F4550" s="1"/>
    </row>
    <row r="4551" spans="5:6">
      <c r="E4551" s="1"/>
      <c r="F4551" s="1"/>
    </row>
    <row r="4552" spans="5:6">
      <c r="E4552" s="1"/>
      <c r="F4552" s="1"/>
    </row>
    <row r="4553" spans="5:6">
      <c r="E4553" s="1"/>
      <c r="F4553" s="1"/>
    </row>
    <row r="4554" spans="5:6">
      <c r="E4554" s="1"/>
      <c r="F4554" s="1"/>
    </row>
    <row r="4555" spans="5:6">
      <c r="E4555" s="1"/>
      <c r="F4555" s="1"/>
    </row>
    <row r="4556" spans="5:6">
      <c r="E4556" s="1"/>
      <c r="F4556" s="1"/>
    </row>
    <row r="4557" spans="5:6">
      <c r="E4557" s="1"/>
      <c r="F4557" s="1"/>
    </row>
    <row r="4558" spans="5:6">
      <c r="E4558" s="1"/>
      <c r="F4558" s="1"/>
    </row>
    <row r="4559" spans="5:6">
      <c r="E4559" s="1"/>
      <c r="F4559" s="1"/>
    </row>
    <row r="4560" spans="5:6">
      <c r="E4560" s="1"/>
      <c r="F4560" s="1"/>
    </row>
    <row r="4561" spans="5:6">
      <c r="E4561" s="1"/>
      <c r="F4561" s="1"/>
    </row>
    <row r="4562" spans="5:6">
      <c r="E4562" s="1"/>
      <c r="F4562" s="1"/>
    </row>
    <row r="4563" spans="5:6">
      <c r="E4563" s="1"/>
      <c r="F4563" s="1"/>
    </row>
    <row r="4564" spans="5:6">
      <c r="E4564" s="1"/>
      <c r="F4564" s="1"/>
    </row>
    <row r="4565" spans="5:6">
      <c r="E4565" s="1"/>
      <c r="F4565" s="1"/>
    </row>
    <row r="4566" spans="5:6">
      <c r="E4566" s="1"/>
      <c r="F4566" s="1"/>
    </row>
    <row r="4567" spans="5:6">
      <c r="E4567" s="1"/>
      <c r="F4567" s="1"/>
    </row>
    <row r="4568" spans="5:6">
      <c r="E4568" s="1"/>
      <c r="F4568" s="1"/>
    </row>
    <row r="4569" spans="5:6">
      <c r="E4569" s="1"/>
      <c r="F4569" s="1"/>
    </row>
    <row r="4570" spans="5:6">
      <c r="E4570" s="1"/>
      <c r="F4570" s="1"/>
    </row>
    <row r="4571" spans="5:6">
      <c r="E4571" s="1"/>
      <c r="F4571" s="1"/>
    </row>
    <row r="4572" spans="5:6">
      <c r="E4572" s="1"/>
      <c r="F4572" s="1"/>
    </row>
    <row r="4573" spans="5:6">
      <c r="E4573" s="1"/>
      <c r="F4573" s="1"/>
    </row>
    <row r="4574" spans="5:6">
      <c r="E4574" s="1"/>
      <c r="F4574" s="1"/>
    </row>
    <row r="4575" spans="5:6">
      <c r="E4575" s="1"/>
      <c r="F4575" s="1"/>
    </row>
    <row r="4576" spans="5:6">
      <c r="E4576" s="1"/>
      <c r="F4576" s="1"/>
    </row>
    <row r="4577" spans="5:6">
      <c r="E4577" s="1"/>
      <c r="F4577" s="1"/>
    </row>
    <row r="4578" spans="5:6">
      <c r="E4578" s="1"/>
      <c r="F4578" s="1"/>
    </row>
    <row r="4579" spans="5:6">
      <c r="E4579" s="1"/>
      <c r="F4579" s="1"/>
    </row>
    <row r="4580" spans="5:6">
      <c r="E4580" s="1"/>
      <c r="F4580" s="1"/>
    </row>
    <row r="4581" spans="5:6">
      <c r="E4581" s="1"/>
      <c r="F4581" s="1"/>
    </row>
    <row r="4582" spans="5:6">
      <c r="E4582" s="1"/>
      <c r="F4582" s="1"/>
    </row>
    <row r="4583" spans="5:6">
      <c r="E4583" s="1"/>
      <c r="F4583" s="1"/>
    </row>
    <row r="4584" spans="5:6">
      <c r="E4584" s="1"/>
      <c r="F4584" s="1"/>
    </row>
    <row r="4585" spans="5:6">
      <c r="E4585" s="1"/>
      <c r="F4585" s="1"/>
    </row>
    <row r="4586" spans="5:6">
      <c r="E4586" s="1"/>
      <c r="F4586" s="1"/>
    </row>
    <row r="4587" spans="5:6">
      <c r="E4587" s="1"/>
      <c r="F4587" s="1"/>
    </row>
    <row r="4588" spans="5:6">
      <c r="E4588" s="1"/>
      <c r="F4588" s="1"/>
    </row>
    <row r="4589" spans="5:6">
      <c r="E4589" s="1"/>
      <c r="F4589" s="1"/>
    </row>
    <row r="4590" spans="5:6">
      <c r="E4590" s="1"/>
      <c r="F4590" s="1"/>
    </row>
    <row r="4591" spans="5:6">
      <c r="E4591" s="1"/>
      <c r="F4591" s="1"/>
    </row>
    <row r="4592" spans="5:6">
      <c r="E4592" s="1"/>
      <c r="F4592" s="1"/>
    </row>
    <row r="4593" spans="5:6">
      <c r="E4593" s="1"/>
      <c r="F4593" s="1"/>
    </row>
    <row r="4594" spans="5:6">
      <c r="E4594" s="1"/>
      <c r="F4594" s="1"/>
    </row>
    <row r="4595" spans="5:6">
      <c r="E4595" s="1"/>
      <c r="F4595" s="1"/>
    </row>
    <row r="4596" spans="5:6">
      <c r="E4596" s="1"/>
      <c r="F4596" s="1"/>
    </row>
    <row r="4597" spans="5:6">
      <c r="E4597" s="1"/>
      <c r="F4597" s="1"/>
    </row>
    <row r="4598" spans="5:6">
      <c r="E4598" s="1"/>
      <c r="F4598" s="1"/>
    </row>
    <row r="4599" spans="5:6">
      <c r="E4599" s="1"/>
      <c r="F4599" s="1"/>
    </row>
    <row r="4600" spans="5:6">
      <c r="E4600" s="1"/>
      <c r="F4600" s="1"/>
    </row>
    <row r="4601" spans="5:6">
      <c r="E4601" s="1"/>
      <c r="F4601" s="1"/>
    </row>
    <row r="4602" spans="5:6">
      <c r="E4602" s="1"/>
      <c r="F4602" s="1"/>
    </row>
    <row r="4603" spans="5:6">
      <c r="E4603" s="1"/>
      <c r="F4603" s="1"/>
    </row>
    <row r="4604" spans="5:6">
      <c r="E4604" s="1"/>
      <c r="F4604" s="1"/>
    </row>
    <row r="4605" spans="5:6">
      <c r="E4605" s="1"/>
      <c r="F4605" s="1"/>
    </row>
    <row r="4606" spans="5:6">
      <c r="E4606" s="1"/>
      <c r="F4606" s="1"/>
    </row>
    <row r="4607" spans="5:6">
      <c r="E4607" s="1"/>
      <c r="F4607" s="1"/>
    </row>
    <row r="4608" spans="5:6">
      <c r="E4608" s="1"/>
      <c r="F4608" s="1"/>
    </row>
    <row r="4609" spans="5:6">
      <c r="E4609" s="1"/>
      <c r="F4609" s="1"/>
    </row>
    <row r="4610" spans="5:6">
      <c r="E4610" s="1"/>
      <c r="F4610" s="1"/>
    </row>
    <row r="4611" spans="5:6">
      <c r="E4611" s="1"/>
      <c r="F4611" s="1"/>
    </row>
    <row r="4612" spans="5:6">
      <c r="E4612" s="1"/>
      <c r="F4612" s="1"/>
    </row>
    <row r="4613" spans="5:6">
      <c r="E4613" s="1"/>
      <c r="F4613" s="1"/>
    </row>
    <row r="4614" spans="5:6">
      <c r="E4614" s="1"/>
      <c r="F4614" s="1"/>
    </row>
    <row r="4615" spans="5:6">
      <c r="E4615" s="1"/>
      <c r="F4615" s="1"/>
    </row>
    <row r="4616" spans="5:6">
      <c r="E4616" s="1"/>
      <c r="F4616" s="1"/>
    </row>
    <row r="4617" spans="5:6">
      <c r="E4617" s="1"/>
      <c r="F4617" s="1"/>
    </row>
    <row r="4618" spans="5:6">
      <c r="E4618" s="1"/>
      <c r="F4618" s="1"/>
    </row>
    <row r="4619" spans="5:6">
      <c r="E4619" s="1"/>
      <c r="F4619" s="1"/>
    </row>
    <row r="4620" spans="5:6">
      <c r="E4620" s="1"/>
      <c r="F4620" s="1"/>
    </row>
    <row r="4621" spans="5:6">
      <c r="E4621" s="1"/>
      <c r="F4621" s="1"/>
    </row>
    <row r="4622" spans="5:6">
      <c r="E4622" s="1"/>
      <c r="F4622" s="1"/>
    </row>
    <row r="4623" spans="5:6">
      <c r="E4623" s="1"/>
      <c r="F4623" s="1"/>
    </row>
    <row r="4624" spans="5:6">
      <c r="E4624" s="1"/>
      <c r="F4624" s="1"/>
    </row>
    <row r="4625" spans="5:6">
      <c r="E4625" s="1"/>
      <c r="F4625" s="1"/>
    </row>
    <row r="4626" spans="5:6">
      <c r="E4626" s="1"/>
      <c r="F4626" s="1"/>
    </row>
    <row r="4627" spans="5:6">
      <c r="E4627" s="1"/>
      <c r="F4627" s="1"/>
    </row>
    <row r="4628" spans="5:6">
      <c r="E4628" s="1"/>
      <c r="F4628" s="1"/>
    </row>
    <row r="4629" spans="5:6">
      <c r="E4629" s="1"/>
      <c r="F4629" s="1"/>
    </row>
    <row r="4630" spans="5:6">
      <c r="E4630" s="1"/>
      <c r="F4630" s="1"/>
    </row>
    <row r="4631" spans="5:6">
      <c r="E4631" s="1"/>
      <c r="F4631" s="1"/>
    </row>
    <row r="4632" spans="5:6">
      <c r="E4632" s="1"/>
      <c r="F4632" s="1"/>
    </row>
    <row r="4633" spans="5:6">
      <c r="E4633" s="1"/>
      <c r="F4633" s="1"/>
    </row>
    <row r="4634" spans="5:6">
      <c r="E4634" s="1"/>
      <c r="F4634" s="1"/>
    </row>
    <row r="4635" spans="5:6">
      <c r="E4635" s="1"/>
      <c r="F4635" s="1"/>
    </row>
    <row r="4636" spans="5:6">
      <c r="E4636" s="1"/>
      <c r="F4636" s="1"/>
    </row>
    <row r="4637" spans="5:6">
      <c r="E4637" s="1"/>
      <c r="F4637" s="1"/>
    </row>
    <row r="4638" spans="5:6">
      <c r="E4638" s="1"/>
      <c r="F4638" s="1"/>
    </row>
    <row r="4639" spans="5:6">
      <c r="E4639" s="1"/>
      <c r="F4639" s="1"/>
    </row>
    <row r="4640" spans="5:6">
      <c r="E4640" s="1"/>
      <c r="F4640" s="1"/>
    </row>
    <row r="4641" spans="5:6">
      <c r="E4641" s="1"/>
      <c r="F4641" s="1"/>
    </row>
    <row r="4642" spans="5:6">
      <c r="E4642" s="1"/>
      <c r="F4642" s="1"/>
    </row>
    <row r="4643" spans="5:6">
      <c r="E4643" s="1"/>
      <c r="F4643" s="1"/>
    </row>
    <row r="4644" spans="5:6">
      <c r="E4644" s="1"/>
      <c r="F4644" s="1"/>
    </row>
    <row r="4645" spans="5:6">
      <c r="E4645" s="1"/>
      <c r="F4645" s="1"/>
    </row>
    <row r="4646" spans="5:6">
      <c r="E4646" s="1"/>
      <c r="F4646" s="1"/>
    </row>
    <row r="4647" spans="5:6">
      <c r="E4647" s="1"/>
      <c r="F4647" s="1"/>
    </row>
    <row r="4648" spans="5:6">
      <c r="E4648" s="1"/>
      <c r="F4648" s="1"/>
    </row>
    <row r="4649" spans="5:6">
      <c r="E4649" s="1"/>
      <c r="F4649" s="1"/>
    </row>
    <row r="4650" spans="5:6">
      <c r="E4650" s="1"/>
      <c r="F4650" s="1"/>
    </row>
    <row r="4651" spans="5:6">
      <c r="E4651" s="1"/>
      <c r="F4651" s="1"/>
    </row>
    <row r="4652" spans="5:6">
      <c r="E4652" s="1"/>
      <c r="F4652" s="1"/>
    </row>
    <row r="4653" spans="5:6">
      <c r="E4653" s="1"/>
      <c r="F4653" s="1"/>
    </row>
    <row r="4654" spans="5:6">
      <c r="E4654" s="1"/>
      <c r="F4654" s="1"/>
    </row>
    <row r="4655" spans="5:6">
      <c r="E4655" s="1"/>
      <c r="F4655" s="1"/>
    </row>
    <row r="4656" spans="5:6">
      <c r="E4656" s="1"/>
      <c r="F4656" s="1"/>
    </row>
    <row r="4657" spans="5:6">
      <c r="E4657" s="1"/>
      <c r="F4657" s="1"/>
    </row>
    <row r="4658" spans="5:6">
      <c r="E4658" s="1"/>
      <c r="F4658" s="1"/>
    </row>
    <row r="4659" spans="5:6">
      <c r="E4659" s="1"/>
      <c r="F4659" s="1"/>
    </row>
    <row r="4660" spans="5:6">
      <c r="E4660" s="1"/>
      <c r="F4660" s="1"/>
    </row>
    <row r="4661" spans="5:6">
      <c r="E4661" s="1"/>
      <c r="F4661" s="1"/>
    </row>
    <row r="4662" spans="5:6">
      <c r="E4662" s="1"/>
      <c r="F4662" s="1"/>
    </row>
    <row r="4663" spans="5:6">
      <c r="E4663" s="1"/>
      <c r="F4663" s="1"/>
    </row>
    <row r="4664" spans="5:6">
      <c r="E4664" s="1"/>
      <c r="F4664" s="1"/>
    </row>
    <row r="4665" spans="5:6">
      <c r="E4665" s="1"/>
      <c r="F4665" s="1"/>
    </row>
    <row r="4666" spans="5:6">
      <c r="E4666" s="1"/>
      <c r="F4666" s="1"/>
    </row>
    <row r="4667" spans="5:6">
      <c r="E4667" s="1"/>
      <c r="F4667" s="1"/>
    </row>
    <row r="4668" spans="5:6">
      <c r="E4668" s="1"/>
      <c r="F4668" s="1"/>
    </row>
    <row r="4669" spans="5:6">
      <c r="E4669" s="1"/>
      <c r="F4669" s="1"/>
    </row>
    <row r="4670" spans="5:6">
      <c r="E4670" s="1"/>
      <c r="F4670" s="1"/>
    </row>
    <row r="4671" spans="5:6">
      <c r="E4671" s="1"/>
      <c r="F4671" s="1"/>
    </row>
    <row r="4672" spans="5:6">
      <c r="E4672" s="1"/>
      <c r="F4672" s="1"/>
    </row>
    <row r="4673" spans="5:6">
      <c r="E4673" s="1"/>
      <c r="F4673" s="1"/>
    </row>
    <row r="4674" spans="5:6">
      <c r="E4674" s="1"/>
      <c r="F4674" s="1"/>
    </row>
    <row r="4675" spans="5:6">
      <c r="E4675" s="1"/>
      <c r="F4675" s="1"/>
    </row>
    <row r="4676" spans="5:6">
      <c r="E4676" s="1"/>
      <c r="F4676" s="1"/>
    </row>
    <row r="4677" spans="5:6">
      <c r="E4677" s="1"/>
      <c r="F4677" s="1"/>
    </row>
    <row r="4678" spans="5:6">
      <c r="E4678" s="1"/>
      <c r="F4678" s="1"/>
    </row>
    <row r="4679" spans="5:6">
      <c r="E4679" s="1"/>
      <c r="F4679" s="1"/>
    </row>
    <row r="4680" spans="5:6">
      <c r="E4680" s="1"/>
      <c r="F4680" s="1"/>
    </row>
    <row r="4681" spans="5:6">
      <c r="E4681" s="1"/>
      <c r="F4681" s="1"/>
    </row>
    <row r="4682" spans="5:6">
      <c r="E4682" s="1"/>
      <c r="F4682" s="1"/>
    </row>
    <row r="4683" spans="5:6">
      <c r="E4683" s="1"/>
      <c r="F4683" s="1"/>
    </row>
    <row r="4684" spans="5:6">
      <c r="E4684" s="1"/>
      <c r="F4684" s="1"/>
    </row>
    <row r="4685" spans="5:6">
      <c r="E4685" s="1"/>
      <c r="F4685" s="1"/>
    </row>
    <row r="4686" spans="5:6">
      <c r="E4686" s="1"/>
      <c r="F4686" s="1"/>
    </row>
    <row r="4687" spans="5:6">
      <c r="E4687" s="1"/>
      <c r="F4687" s="1"/>
    </row>
    <row r="4688" spans="5:6">
      <c r="E4688" s="1"/>
      <c r="F4688" s="1"/>
    </row>
    <row r="4689" spans="5:6">
      <c r="E4689" s="1"/>
      <c r="F4689" s="1"/>
    </row>
    <row r="4690" spans="5:6">
      <c r="E4690" s="1"/>
      <c r="F4690" s="1"/>
    </row>
    <row r="4691" spans="5:6">
      <c r="E4691" s="1"/>
      <c r="F4691" s="1"/>
    </row>
    <row r="4692" spans="5:6">
      <c r="E4692" s="1"/>
      <c r="F4692" s="1"/>
    </row>
    <row r="4693" spans="5:6">
      <c r="E4693" s="1"/>
      <c r="F4693" s="1"/>
    </row>
    <row r="4694" spans="5:6">
      <c r="E4694" s="1"/>
      <c r="F4694" s="1"/>
    </row>
    <row r="4695" spans="5:6">
      <c r="E4695" s="1"/>
      <c r="F4695" s="1"/>
    </row>
    <row r="4696" spans="5:6">
      <c r="E4696" s="1"/>
      <c r="F4696" s="1"/>
    </row>
    <row r="4697" spans="5:6">
      <c r="E4697" s="1"/>
      <c r="F4697" s="1"/>
    </row>
    <row r="4698" spans="5:6">
      <c r="E4698" s="1"/>
      <c r="F4698" s="1"/>
    </row>
    <row r="4699" spans="5:6">
      <c r="E4699" s="1"/>
      <c r="F4699" s="1"/>
    </row>
    <row r="4700" spans="5:6">
      <c r="E4700" s="1"/>
      <c r="F4700" s="1"/>
    </row>
    <row r="4701" spans="5:6">
      <c r="E4701" s="1"/>
      <c r="F4701" s="1"/>
    </row>
    <row r="4702" spans="5:6">
      <c r="E4702" s="1"/>
      <c r="F4702" s="1"/>
    </row>
    <row r="4703" spans="5:6">
      <c r="E4703" s="1"/>
      <c r="F4703" s="1"/>
    </row>
    <row r="4704" spans="5:6">
      <c r="E4704" s="1"/>
      <c r="F4704" s="1"/>
    </row>
    <row r="4705" spans="5:6">
      <c r="E4705" s="1"/>
      <c r="F4705" s="1"/>
    </row>
    <row r="4706" spans="5:6">
      <c r="E4706" s="1"/>
      <c r="F4706" s="1"/>
    </row>
    <row r="4707" spans="5:6">
      <c r="E4707" s="1"/>
      <c r="F4707" s="1"/>
    </row>
    <row r="4708" spans="5:6">
      <c r="E4708" s="1"/>
      <c r="F4708" s="1"/>
    </row>
    <row r="4709" spans="5:6">
      <c r="E4709" s="1"/>
      <c r="F4709" s="1"/>
    </row>
    <row r="4710" spans="5:6">
      <c r="E4710" s="1"/>
      <c r="F4710" s="1"/>
    </row>
    <row r="4711" spans="5:6">
      <c r="E4711" s="1"/>
      <c r="F4711" s="1"/>
    </row>
    <row r="4712" spans="5:6">
      <c r="E4712" s="1"/>
      <c r="F4712" s="1"/>
    </row>
    <row r="4713" spans="5:6">
      <c r="E4713" s="1"/>
      <c r="F4713" s="1"/>
    </row>
    <row r="4714" spans="5:6">
      <c r="E4714" s="1"/>
      <c r="F4714" s="1"/>
    </row>
    <row r="4715" spans="5:6">
      <c r="E4715" s="1"/>
      <c r="F4715" s="1"/>
    </row>
    <row r="4716" spans="5:6">
      <c r="E4716" s="1"/>
      <c r="F4716" s="1"/>
    </row>
    <row r="4717" spans="5:6">
      <c r="E4717" s="1"/>
      <c r="F4717" s="1"/>
    </row>
    <row r="4718" spans="5:6">
      <c r="E4718" s="1"/>
      <c r="F4718" s="1"/>
    </row>
    <row r="4719" spans="5:6">
      <c r="E4719" s="1"/>
      <c r="F4719" s="1"/>
    </row>
    <row r="4720" spans="5:6">
      <c r="E4720" s="1"/>
      <c r="F4720" s="1"/>
    </row>
    <row r="4721" spans="5:6">
      <c r="E4721" s="1"/>
      <c r="F4721" s="1"/>
    </row>
    <row r="4722" spans="5:6">
      <c r="E4722" s="1"/>
      <c r="F4722" s="1"/>
    </row>
    <row r="4723" spans="5:6">
      <c r="E4723" s="1"/>
      <c r="F4723" s="1"/>
    </row>
    <row r="4724" spans="5:6">
      <c r="E4724" s="1"/>
      <c r="F4724" s="1"/>
    </row>
    <row r="4725" spans="5:6">
      <c r="E4725" s="1"/>
      <c r="F4725" s="1"/>
    </row>
    <row r="4726" spans="5:6">
      <c r="E4726" s="1"/>
      <c r="F4726" s="1"/>
    </row>
    <row r="4727" spans="5:6">
      <c r="E4727" s="1"/>
      <c r="F4727" s="1"/>
    </row>
    <row r="4728" spans="5:6">
      <c r="E4728" s="1"/>
      <c r="F4728" s="1"/>
    </row>
    <row r="4729" spans="5:6">
      <c r="E4729" s="1"/>
      <c r="F4729" s="1"/>
    </row>
    <row r="4730" spans="5:6">
      <c r="E4730" s="1"/>
      <c r="F4730" s="1"/>
    </row>
    <row r="4731" spans="5:6">
      <c r="E4731" s="1"/>
      <c r="F4731" s="1"/>
    </row>
    <row r="4732" spans="5:6">
      <c r="E4732" s="1"/>
      <c r="F4732" s="1"/>
    </row>
    <row r="4733" spans="5:6">
      <c r="E4733" s="1"/>
      <c r="F4733" s="1"/>
    </row>
    <row r="4734" spans="5:6">
      <c r="E4734" s="1"/>
      <c r="F4734" s="1"/>
    </row>
    <row r="4735" spans="5:6">
      <c r="E4735" s="1"/>
      <c r="F4735" s="1"/>
    </row>
    <row r="4736" spans="5:6">
      <c r="E4736" s="1"/>
      <c r="F4736" s="1"/>
    </row>
    <row r="4737" spans="5:6">
      <c r="E4737" s="1"/>
      <c r="F4737" s="1"/>
    </row>
    <row r="4738" spans="5:6">
      <c r="E4738" s="1"/>
      <c r="F4738" s="1"/>
    </row>
    <row r="4739" spans="5:6">
      <c r="E4739" s="1"/>
      <c r="F4739" s="1"/>
    </row>
    <row r="4740" spans="5:6">
      <c r="E4740" s="1"/>
      <c r="F4740" s="1"/>
    </row>
    <row r="4741" spans="5:6">
      <c r="E4741" s="1"/>
      <c r="F4741" s="1"/>
    </row>
    <row r="4742" spans="5:6">
      <c r="E4742" s="1"/>
      <c r="F4742" s="1"/>
    </row>
    <row r="4743" spans="5:6">
      <c r="E4743" s="1"/>
      <c r="F4743" s="1"/>
    </row>
    <row r="4744" spans="5:6">
      <c r="E4744" s="1"/>
      <c r="F4744" s="1"/>
    </row>
    <row r="4745" spans="5:6">
      <c r="E4745" s="1"/>
      <c r="F4745" s="1"/>
    </row>
    <row r="4746" spans="5:6">
      <c r="E4746" s="1"/>
      <c r="F4746" s="1"/>
    </row>
    <row r="4747" spans="5:6">
      <c r="E4747" s="1"/>
      <c r="F4747" s="1"/>
    </row>
    <row r="4748" spans="5:6">
      <c r="E4748" s="1"/>
      <c r="F4748" s="1"/>
    </row>
    <row r="4749" spans="5:6">
      <c r="E4749" s="1"/>
      <c r="F4749" s="1"/>
    </row>
    <row r="4750" spans="5:6">
      <c r="E4750" s="1"/>
      <c r="F4750" s="1"/>
    </row>
    <row r="4751" spans="5:6">
      <c r="E4751" s="1"/>
      <c r="F4751" s="1"/>
    </row>
    <row r="4752" spans="5:6">
      <c r="E4752" s="1"/>
      <c r="F4752" s="1"/>
    </row>
    <row r="4753" spans="5:6">
      <c r="E4753" s="1"/>
      <c r="F4753" s="1"/>
    </row>
    <row r="4754" spans="5:6">
      <c r="E4754" s="1"/>
      <c r="F4754" s="1"/>
    </row>
    <row r="4755" spans="5:6">
      <c r="E4755" s="1"/>
      <c r="F4755" s="1"/>
    </row>
    <row r="4756" spans="5:6">
      <c r="E4756" s="1"/>
      <c r="F4756" s="1"/>
    </row>
    <row r="4757" spans="5:6">
      <c r="E4757" s="1"/>
      <c r="F4757" s="1"/>
    </row>
    <row r="4758" spans="5:6">
      <c r="E4758" s="1"/>
      <c r="F4758" s="1"/>
    </row>
    <row r="4759" spans="5:6">
      <c r="E4759" s="1"/>
      <c r="F4759" s="1"/>
    </row>
    <row r="4760" spans="5:6">
      <c r="E4760" s="1"/>
      <c r="F4760" s="1"/>
    </row>
    <row r="4761" spans="5:6">
      <c r="E4761" s="1"/>
      <c r="F4761" s="1"/>
    </row>
    <row r="4762" spans="5:6">
      <c r="E4762" s="1"/>
      <c r="F4762" s="1"/>
    </row>
    <row r="4763" spans="5:6">
      <c r="E4763" s="1"/>
      <c r="F4763" s="1"/>
    </row>
    <row r="4764" spans="5:6">
      <c r="E4764" s="1"/>
      <c r="F4764" s="1"/>
    </row>
    <row r="4765" spans="5:6">
      <c r="E4765" s="1"/>
      <c r="F4765" s="1"/>
    </row>
    <row r="4766" spans="5:6">
      <c r="E4766" s="1"/>
      <c r="F4766" s="1"/>
    </row>
    <row r="4767" spans="5:6">
      <c r="E4767" s="1"/>
      <c r="F4767" s="1"/>
    </row>
    <row r="4768" spans="5:6">
      <c r="E4768" s="1"/>
      <c r="F4768" s="1"/>
    </row>
    <row r="4769" spans="5:6">
      <c r="E4769" s="1"/>
      <c r="F4769" s="1"/>
    </row>
    <row r="4770" spans="5:6">
      <c r="E4770" s="1"/>
      <c r="F4770" s="1"/>
    </row>
    <row r="4771" spans="5:6">
      <c r="E4771" s="1"/>
      <c r="F4771" s="1"/>
    </row>
    <row r="4772" spans="5:6">
      <c r="E4772" s="1"/>
      <c r="F4772" s="1"/>
    </row>
    <row r="4773" spans="5:6">
      <c r="E4773" s="1"/>
      <c r="F4773" s="1"/>
    </row>
    <row r="4774" spans="5:6">
      <c r="E4774" s="1"/>
      <c r="F4774" s="1"/>
    </row>
    <row r="4775" spans="5:6">
      <c r="E4775" s="1"/>
      <c r="F4775" s="1"/>
    </row>
    <row r="4776" spans="5:6">
      <c r="E4776" s="1"/>
      <c r="F4776" s="1"/>
    </row>
    <row r="4777" spans="5:6">
      <c r="E4777" s="1"/>
      <c r="F4777" s="1"/>
    </row>
    <row r="4778" spans="5:6">
      <c r="E4778" s="1"/>
      <c r="F4778" s="1"/>
    </row>
    <row r="4779" spans="5:6">
      <c r="E4779" s="1"/>
      <c r="F4779" s="1"/>
    </row>
    <row r="4780" spans="5:6">
      <c r="E4780" s="1"/>
      <c r="F4780" s="1"/>
    </row>
    <row r="4781" spans="5:6">
      <c r="E4781" s="1"/>
      <c r="F4781" s="1"/>
    </row>
    <row r="4782" spans="5:6">
      <c r="E4782" s="1"/>
      <c r="F4782" s="1"/>
    </row>
    <row r="4783" spans="5:6">
      <c r="E4783" s="1"/>
      <c r="F4783" s="1"/>
    </row>
    <row r="4784" spans="5:6">
      <c r="E4784" s="1"/>
      <c r="F4784" s="1"/>
    </row>
    <row r="4785" spans="5:6">
      <c r="E4785" s="1"/>
      <c r="F4785" s="1"/>
    </row>
    <row r="4786" spans="5:6">
      <c r="E4786" s="1"/>
      <c r="F4786" s="1"/>
    </row>
    <row r="4787" spans="5:6">
      <c r="E4787" s="1"/>
      <c r="F4787" s="1"/>
    </row>
    <row r="4788" spans="5:6">
      <c r="E4788" s="1"/>
      <c r="F4788" s="1"/>
    </row>
    <row r="4789" spans="5:6">
      <c r="E4789" s="1"/>
      <c r="F4789" s="1"/>
    </row>
    <row r="4790" spans="5:6">
      <c r="E4790" s="1"/>
      <c r="F4790" s="1"/>
    </row>
    <row r="4791" spans="5:6">
      <c r="E4791" s="1"/>
      <c r="F4791" s="1"/>
    </row>
    <row r="4792" spans="5:6">
      <c r="E4792" s="1"/>
      <c r="F4792" s="1"/>
    </row>
    <row r="4793" spans="5:6">
      <c r="E4793" s="1"/>
      <c r="F4793" s="1"/>
    </row>
    <row r="4794" spans="5:6">
      <c r="E4794" s="1"/>
      <c r="F4794" s="1"/>
    </row>
    <row r="4795" spans="5:6">
      <c r="E4795" s="1"/>
      <c r="F4795" s="1"/>
    </row>
    <row r="4796" spans="5:6">
      <c r="E4796" s="1"/>
      <c r="F4796" s="1"/>
    </row>
    <row r="4797" spans="5:6">
      <c r="E4797" s="1"/>
      <c r="F4797" s="1"/>
    </row>
    <row r="4798" spans="5:6">
      <c r="E4798" s="1"/>
      <c r="F4798" s="1"/>
    </row>
    <row r="4799" spans="5:6">
      <c r="E4799" s="1"/>
      <c r="F4799" s="1"/>
    </row>
    <row r="4800" spans="5:6">
      <c r="E4800" s="1"/>
      <c r="F4800" s="1"/>
    </row>
    <row r="4801" spans="5:6">
      <c r="E4801" s="1"/>
      <c r="F4801" s="1"/>
    </row>
    <row r="4802" spans="5:6">
      <c r="E4802" s="1"/>
      <c r="F4802" s="1"/>
    </row>
    <row r="4803" spans="5:6">
      <c r="E4803" s="1"/>
      <c r="F4803" s="1"/>
    </row>
    <row r="4804" spans="5:6">
      <c r="E4804" s="1"/>
      <c r="F4804" s="1"/>
    </row>
    <row r="4805" spans="5:6">
      <c r="E4805" s="1"/>
      <c r="F4805" s="1"/>
    </row>
    <row r="4806" spans="5:6">
      <c r="E4806" s="1"/>
      <c r="F4806" s="1"/>
    </row>
    <row r="4807" spans="5:6">
      <c r="E4807" s="1"/>
      <c r="F4807" s="1"/>
    </row>
    <row r="4808" spans="5:6">
      <c r="E4808" s="1"/>
      <c r="F4808" s="1"/>
    </row>
    <row r="4809" spans="5:6">
      <c r="E4809" s="1"/>
      <c r="F4809" s="1"/>
    </row>
    <row r="4810" spans="5:6">
      <c r="E4810" s="1"/>
      <c r="F4810" s="1"/>
    </row>
    <row r="4811" spans="5:6">
      <c r="E4811" s="1"/>
      <c r="F4811" s="1"/>
    </row>
    <row r="4812" spans="5:6">
      <c r="E4812" s="1"/>
      <c r="F4812" s="1"/>
    </row>
    <row r="4813" spans="5:6">
      <c r="E4813" s="1"/>
      <c r="F4813" s="1"/>
    </row>
    <row r="4814" spans="5:6">
      <c r="E4814" s="1"/>
      <c r="F4814" s="1"/>
    </row>
    <row r="4815" spans="5:6">
      <c r="E4815" s="1"/>
      <c r="F4815" s="1"/>
    </row>
    <row r="4816" spans="5:6">
      <c r="E4816" s="1"/>
      <c r="F4816" s="1"/>
    </row>
    <row r="4817" spans="5:6">
      <c r="E4817" s="1"/>
      <c r="F4817" s="1"/>
    </row>
    <row r="4818" spans="5:6">
      <c r="E4818" s="1"/>
      <c r="F4818" s="1"/>
    </row>
    <row r="4819" spans="5:6">
      <c r="E4819" s="1"/>
      <c r="F4819" s="1"/>
    </row>
    <row r="4820" spans="5:6">
      <c r="E4820" s="1"/>
      <c r="F4820" s="1"/>
    </row>
    <row r="4821" spans="5:6">
      <c r="E4821" s="1"/>
      <c r="F4821" s="1"/>
    </row>
    <row r="4822" spans="5:6">
      <c r="E4822" s="1"/>
      <c r="F4822" s="1"/>
    </row>
    <row r="4823" spans="5:6">
      <c r="E4823" s="1"/>
      <c r="F4823" s="1"/>
    </row>
    <row r="4824" spans="5:6">
      <c r="E4824" s="1"/>
      <c r="F4824" s="1"/>
    </row>
    <row r="4825" spans="5:6">
      <c r="E4825" s="1"/>
      <c r="F4825" s="1"/>
    </row>
    <row r="4826" spans="5:6">
      <c r="E4826" s="1"/>
      <c r="F4826" s="1"/>
    </row>
    <row r="4827" spans="5:6">
      <c r="E4827" s="1"/>
      <c r="F4827" s="1"/>
    </row>
    <row r="4828" spans="5:6">
      <c r="E4828" s="1"/>
      <c r="F4828" s="1"/>
    </row>
    <row r="4829" spans="5:6">
      <c r="E4829" s="1"/>
      <c r="F4829" s="1"/>
    </row>
    <row r="4830" spans="5:6">
      <c r="E4830" s="1"/>
      <c r="F4830" s="1"/>
    </row>
    <row r="4831" spans="5:6">
      <c r="E4831" s="1"/>
      <c r="F4831" s="1"/>
    </row>
    <row r="4832" spans="5:6">
      <c r="E4832" s="1"/>
      <c r="F4832" s="1"/>
    </row>
    <row r="4833" spans="5:6">
      <c r="E4833" s="1"/>
      <c r="F4833" s="1"/>
    </row>
    <row r="4834" spans="5:6">
      <c r="E4834" s="1"/>
      <c r="F4834" s="1"/>
    </row>
    <row r="4835" spans="5:6">
      <c r="E4835" s="1"/>
      <c r="F4835" s="1"/>
    </row>
    <row r="4836" spans="5:6">
      <c r="E4836" s="1"/>
      <c r="F4836" s="1"/>
    </row>
    <row r="4837" spans="5:6">
      <c r="E4837" s="1"/>
      <c r="F4837" s="1"/>
    </row>
    <row r="4838" spans="5:6">
      <c r="E4838" s="1"/>
      <c r="F4838" s="1"/>
    </row>
    <row r="4839" spans="5:6">
      <c r="E4839" s="1"/>
      <c r="F4839" s="1"/>
    </row>
    <row r="4840" spans="5:6">
      <c r="E4840" s="1"/>
      <c r="F4840" s="1"/>
    </row>
    <row r="4841" spans="5:6">
      <c r="E4841" s="1"/>
      <c r="F4841" s="1"/>
    </row>
    <row r="4842" spans="5:6">
      <c r="E4842" s="1"/>
      <c r="F4842" s="1"/>
    </row>
    <row r="4843" spans="5:6">
      <c r="E4843" s="1"/>
      <c r="F4843" s="1"/>
    </row>
    <row r="4844" spans="5:6">
      <c r="E4844" s="1"/>
      <c r="F4844" s="1"/>
    </row>
    <row r="4845" spans="5:6">
      <c r="E4845" s="1"/>
      <c r="F4845" s="1"/>
    </row>
    <row r="4846" spans="5:6">
      <c r="E4846" s="1"/>
      <c r="F4846" s="1"/>
    </row>
    <row r="4847" spans="5:6">
      <c r="E4847" s="1"/>
      <c r="F4847" s="1"/>
    </row>
    <row r="4848" spans="5:6">
      <c r="E4848" s="1"/>
      <c r="F4848" s="1"/>
    </row>
    <row r="4849" spans="5:6">
      <c r="E4849" s="1"/>
      <c r="F4849" s="1"/>
    </row>
    <row r="4850" spans="5:6">
      <c r="E4850" s="1"/>
      <c r="F4850" s="1"/>
    </row>
    <row r="4851" spans="5:6">
      <c r="E4851" s="1"/>
      <c r="F4851" s="1"/>
    </row>
    <row r="4852" spans="5:6">
      <c r="E4852" s="1"/>
      <c r="F4852" s="1"/>
    </row>
    <row r="4853" spans="5:6">
      <c r="E4853" s="1"/>
      <c r="F4853" s="1"/>
    </row>
    <row r="4854" spans="5:6">
      <c r="E4854" s="1"/>
      <c r="F4854" s="1"/>
    </row>
    <row r="4855" spans="5:6">
      <c r="E4855" s="1"/>
      <c r="F4855" s="1"/>
    </row>
    <row r="4856" spans="5:6">
      <c r="E4856" s="1"/>
      <c r="F4856" s="1"/>
    </row>
    <row r="4857" spans="5:6">
      <c r="E4857" s="1"/>
      <c r="F4857" s="1"/>
    </row>
    <row r="4858" spans="5:6">
      <c r="E4858" s="1"/>
      <c r="F4858" s="1"/>
    </row>
    <row r="4859" spans="5:6">
      <c r="E4859" s="1"/>
      <c r="F4859" s="1"/>
    </row>
    <row r="4860" spans="5:6">
      <c r="E4860" s="1"/>
      <c r="F4860" s="1"/>
    </row>
    <row r="4861" spans="5:6">
      <c r="E4861" s="1"/>
      <c r="F4861" s="1"/>
    </row>
    <row r="4862" spans="5:6">
      <c r="E4862" s="1"/>
      <c r="F4862" s="1"/>
    </row>
    <row r="4863" spans="5:6">
      <c r="E4863" s="1"/>
      <c r="F4863" s="1"/>
    </row>
    <row r="4864" spans="5:6">
      <c r="E4864" s="1"/>
      <c r="F4864" s="1"/>
    </row>
    <row r="4865" spans="5:6">
      <c r="E4865" s="1"/>
      <c r="F4865" s="1"/>
    </row>
    <row r="4866" spans="5:6">
      <c r="E4866" s="1"/>
      <c r="F4866" s="1"/>
    </row>
    <row r="4867" spans="5:6">
      <c r="E4867" s="1"/>
      <c r="F4867" s="1"/>
    </row>
    <row r="4868" spans="5:6">
      <c r="E4868" s="1"/>
      <c r="F4868" s="1"/>
    </row>
    <row r="4869" spans="5:6">
      <c r="E4869" s="1"/>
      <c r="F4869" s="1"/>
    </row>
    <row r="4870" spans="5:6">
      <c r="E4870" s="1"/>
      <c r="F4870" s="1"/>
    </row>
    <row r="4871" spans="5:6">
      <c r="E4871" s="1"/>
      <c r="F4871" s="1"/>
    </row>
    <row r="4872" spans="5:6">
      <c r="E4872" s="1"/>
      <c r="F4872" s="1"/>
    </row>
    <row r="4873" spans="5:6">
      <c r="E4873" s="1"/>
      <c r="F4873" s="1"/>
    </row>
    <row r="4874" spans="5:6">
      <c r="E4874" s="1"/>
      <c r="F4874" s="1"/>
    </row>
    <row r="4875" spans="5:6">
      <c r="E4875" s="1"/>
      <c r="F4875" s="1"/>
    </row>
    <row r="4876" spans="5:6">
      <c r="E4876" s="1"/>
      <c r="F4876" s="1"/>
    </row>
    <row r="4877" spans="5:6">
      <c r="E4877" s="1"/>
      <c r="F4877" s="1"/>
    </row>
    <row r="4878" spans="5:6">
      <c r="E4878" s="1"/>
      <c r="F4878" s="1"/>
    </row>
    <row r="4879" spans="5:6">
      <c r="E4879" s="1"/>
      <c r="F4879" s="1"/>
    </row>
    <row r="4880" spans="5:6">
      <c r="E4880" s="1"/>
      <c r="F4880" s="1"/>
    </row>
    <row r="4881" spans="5:6">
      <c r="E4881" s="1"/>
      <c r="F4881" s="1"/>
    </row>
    <row r="4882" spans="5:6">
      <c r="E4882" s="1"/>
      <c r="F4882" s="1"/>
    </row>
    <row r="4883" spans="5:6">
      <c r="E4883" s="1"/>
      <c r="F4883" s="1"/>
    </row>
    <row r="4884" spans="5:6">
      <c r="E4884" s="1"/>
      <c r="F4884" s="1"/>
    </row>
    <row r="4885" spans="5:6">
      <c r="E4885" s="1"/>
      <c r="F4885" s="1"/>
    </row>
    <row r="4886" spans="5:6">
      <c r="E4886" s="1"/>
      <c r="F4886" s="1"/>
    </row>
    <row r="4887" spans="5:6">
      <c r="E4887" s="1"/>
      <c r="F4887" s="1"/>
    </row>
    <row r="4888" spans="5:6">
      <c r="E4888" s="1"/>
      <c r="F4888" s="1"/>
    </row>
    <row r="4889" spans="5:6">
      <c r="E4889" s="1"/>
      <c r="F4889" s="1"/>
    </row>
    <row r="4890" spans="5:6">
      <c r="E4890" s="1"/>
      <c r="F4890" s="1"/>
    </row>
    <row r="4891" spans="5:6">
      <c r="E4891" s="1"/>
      <c r="F4891" s="1"/>
    </row>
    <row r="4892" spans="5:6">
      <c r="E4892" s="1"/>
      <c r="F4892" s="1"/>
    </row>
    <row r="4893" spans="5:6">
      <c r="E4893" s="1"/>
      <c r="F4893" s="1"/>
    </row>
    <row r="4894" spans="5:6">
      <c r="E4894" s="1"/>
      <c r="F4894" s="1"/>
    </row>
    <row r="4895" spans="5:6">
      <c r="E4895" s="1"/>
      <c r="F4895" s="1"/>
    </row>
    <row r="4896" spans="5:6">
      <c r="E4896" s="1"/>
      <c r="F4896" s="1"/>
    </row>
    <row r="4897" spans="5:6">
      <c r="E4897" s="1"/>
      <c r="F4897" s="1"/>
    </row>
    <row r="4898" spans="5:6">
      <c r="E4898" s="1"/>
      <c r="F4898" s="1"/>
    </row>
    <row r="4899" spans="5:6">
      <c r="E4899" s="1"/>
      <c r="F4899" s="1"/>
    </row>
    <row r="4900" spans="5:6">
      <c r="E4900" s="1"/>
      <c r="F4900" s="1"/>
    </row>
    <row r="4901" spans="5:6">
      <c r="E4901" s="1"/>
      <c r="F4901" s="1"/>
    </row>
    <row r="4902" spans="5:6">
      <c r="E4902" s="1"/>
      <c r="F4902" s="1"/>
    </row>
    <row r="4903" spans="5:6">
      <c r="E4903" s="1"/>
      <c r="F4903" s="1"/>
    </row>
    <row r="4904" spans="5:6">
      <c r="E4904" s="1"/>
      <c r="F4904" s="1"/>
    </row>
    <row r="4905" spans="5:6">
      <c r="E4905" s="1"/>
      <c r="F4905" s="1"/>
    </row>
    <row r="4906" spans="5:6">
      <c r="E4906" s="1"/>
      <c r="F4906" s="1"/>
    </row>
    <row r="4907" spans="5:6">
      <c r="E4907" s="1"/>
      <c r="F4907" s="1"/>
    </row>
    <row r="4908" spans="5:6">
      <c r="E4908" s="1"/>
      <c r="F4908" s="1"/>
    </row>
    <row r="4909" spans="5:6">
      <c r="E4909" s="1"/>
      <c r="F4909" s="1"/>
    </row>
    <row r="4910" spans="5:6">
      <c r="E4910" s="1"/>
      <c r="F4910" s="1"/>
    </row>
    <row r="4911" spans="5:6">
      <c r="E4911" s="1"/>
      <c r="F4911" s="1"/>
    </row>
    <row r="4912" spans="5:6">
      <c r="E4912" s="1"/>
      <c r="F4912" s="1"/>
    </row>
    <row r="4913" spans="5:6">
      <c r="E4913" s="1"/>
      <c r="F4913" s="1"/>
    </row>
    <row r="4914" spans="5:6">
      <c r="E4914" s="1"/>
      <c r="F4914" s="1"/>
    </row>
    <row r="4915" spans="5:6">
      <c r="E4915" s="1"/>
      <c r="F4915" s="1"/>
    </row>
    <row r="4916" spans="5:6">
      <c r="E4916" s="1"/>
      <c r="F4916" s="1"/>
    </row>
    <row r="4917" spans="5:6">
      <c r="E4917" s="1"/>
      <c r="F4917" s="1"/>
    </row>
    <row r="4918" spans="5:6">
      <c r="E4918" s="1"/>
      <c r="F4918" s="1"/>
    </row>
    <row r="4919" spans="5:6">
      <c r="E4919" s="1"/>
      <c r="F4919" s="1"/>
    </row>
    <row r="4920" spans="5:6">
      <c r="E4920" s="1"/>
      <c r="F4920" s="1"/>
    </row>
    <row r="4921" spans="5:6">
      <c r="E4921" s="1"/>
      <c r="F4921" s="1"/>
    </row>
    <row r="4922" spans="5:6">
      <c r="E4922" s="1"/>
      <c r="F4922" s="1"/>
    </row>
    <row r="4923" spans="5:6">
      <c r="E4923" s="1"/>
      <c r="F4923" s="1"/>
    </row>
    <row r="4924" spans="5:6">
      <c r="E4924" s="1"/>
      <c r="F4924" s="1"/>
    </row>
    <row r="4925" spans="5:6">
      <c r="E4925" s="1"/>
      <c r="F4925" s="1"/>
    </row>
    <row r="4926" spans="5:6">
      <c r="E4926" s="1"/>
      <c r="F4926" s="1"/>
    </row>
    <row r="4927" spans="5:6">
      <c r="E4927" s="1"/>
      <c r="F4927" s="1"/>
    </row>
    <row r="4928" spans="5:6">
      <c r="E4928" s="1"/>
      <c r="F4928" s="1"/>
    </row>
    <row r="4929" spans="5:6">
      <c r="E4929" s="1"/>
      <c r="F4929" s="1"/>
    </row>
    <row r="4930" spans="5:6">
      <c r="E4930" s="1"/>
      <c r="F4930" s="1"/>
    </row>
    <row r="4931" spans="5:6">
      <c r="E4931" s="1"/>
      <c r="F4931" s="1"/>
    </row>
    <row r="4932" spans="5:6">
      <c r="E4932" s="1"/>
      <c r="F4932" s="1"/>
    </row>
    <row r="4933" spans="5:6">
      <c r="E4933" s="1"/>
      <c r="F4933" s="1"/>
    </row>
    <row r="4934" spans="5:6">
      <c r="E4934" s="1"/>
      <c r="F4934" s="1"/>
    </row>
    <row r="4935" spans="5:6">
      <c r="E4935" s="1"/>
      <c r="F4935" s="1"/>
    </row>
    <row r="4936" spans="5:6">
      <c r="E4936" s="1"/>
      <c r="F4936" s="1"/>
    </row>
    <row r="4937" spans="5:6">
      <c r="E4937" s="1"/>
      <c r="F4937" s="1"/>
    </row>
    <row r="4938" spans="5:6">
      <c r="E4938" s="1"/>
      <c r="F4938" s="1"/>
    </row>
    <row r="4939" spans="5:6">
      <c r="E4939" s="1"/>
      <c r="F4939" s="1"/>
    </row>
    <row r="4940" spans="5:6">
      <c r="E4940" s="1"/>
      <c r="F4940" s="1"/>
    </row>
    <row r="4941" spans="5:6">
      <c r="E4941" s="1"/>
      <c r="F4941" s="1"/>
    </row>
    <row r="4942" spans="5:6">
      <c r="E4942" s="1"/>
      <c r="F4942" s="1"/>
    </row>
    <row r="4943" spans="5:6">
      <c r="E4943" s="1"/>
      <c r="F4943" s="1"/>
    </row>
    <row r="4944" spans="5:6">
      <c r="E4944" s="1"/>
      <c r="F4944" s="1"/>
    </row>
    <row r="4945" spans="5:6">
      <c r="E4945" s="1"/>
      <c r="F4945" s="1"/>
    </row>
    <row r="4946" spans="5:6">
      <c r="E4946" s="1"/>
      <c r="F4946" s="1"/>
    </row>
    <row r="4947" spans="5:6">
      <c r="E4947" s="1"/>
      <c r="F4947" s="1"/>
    </row>
    <row r="4948" spans="5:6">
      <c r="E4948" s="1"/>
      <c r="F4948" s="1"/>
    </row>
    <row r="4949" spans="5:6">
      <c r="E4949" s="1"/>
      <c r="F4949" s="1"/>
    </row>
    <row r="4950" spans="5:6">
      <c r="E4950" s="1"/>
      <c r="F4950" s="1"/>
    </row>
    <row r="4951" spans="5:6">
      <c r="E4951" s="1"/>
      <c r="F4951" s="1"/>
    </row>
    <row r="4952" spans="5:6">
      <c r="E4952" s="1"/>
      <c r="F4952" s="1"/>
    </row>
    <row r="4953" spans="5:6">
      <c r="E4953" s="1"/>
      <c r="F4953" s="1"/>
    </row>
    <row r="4954" spans="5:6">
      <c r="E4954" s="1"/>
      <c r="F4954" s="1"/>
    </row>
    <row r="4955" spans="5:6">
      <c r="E4955" s="1"/>
      <c r="F4955" s="1"/>
    </row>
    <row r="4956" spans="5:6">
      <c r="E4956" s="1"/>
      <c r="F4956" s="1"/>
    </row>
    <row r="4957" spans="5:6">
      <c r="E4957" s="1"/>
      <c r="F4957" s="1"/>
    </row>
    <row r="4958" spans="5:6">
      <c r="E4958" s="1"/>
      <c r="F4958" s="1"/>
    </row>
    <row r="4959" spans="5:6">
      <c r="E4959" s="1"/>
      <c r="F4959" s="1"/>
    </row>
    <row r="4960" spans="5:6">
      <c r="E4960" s="1"/>
      <c r="F4960" s="1"/>
    </row>
    <row r="4961" spans="5:6">
      <c r="E4961" s="1"/>
      <c r="F4961" s="1"/>
    </row>
    <row r="4962" spans="5:6">
      <c r="E4962" s="1"/>
      <c r="F4962" s="1"/>
    </row>
    <row r="4963" spans="5:6">
      <c r="E4963" s="1"/>
      <c r="F4963" s="1"/>
    </row>
    <row r="4964" spans="5:6">
      <c r="E4964" s="1"/>
      <c r="F4964" s="1"/>
    </row>
    <row r="4965" spans="5:6">
      <c r="E4965" s="1"/>
      <c r="F4965" s="1"/>
    </row>
    <row r="4966" spans="5:6">
      <c r="E4966" s="1"/>
      <c r="F4966" s="1"/>
    </row>
    <row r="4967" spans="5:6">
      <c r="E4967" s="1"/>
      <c r="F4967" s="1"/>
    </row>
    <row r="4968" spans="5:6">
      <c r="E4968" s="1"/>
      <c r="F4968" s="1"/>
    </row>
    <row r="4969" spans="5:6">
      <c r="E4969" s="1"/>
      <c r="F4969" s="1"/>
    </row>
    <row r="4970" spans="5:6">
      <c r="E4970" s="1"/>
      <c r="F4970" s="1"/>
    </row>
    <row r="4971" spans="5:6">
      <c r="E4971" s="1"/>
      <c r="F4971" s="1"/>
    </row>
    <row r="4972" spans="5:6">
      <c r="E4972" s="1"/>
      <c r="F4972" s="1"/>
    </row>
    <row r="4973" spans="5:6">
      <c r="E4973" s="1"/>
      <c r="F4973" s="1"/>
    </row>
    <row r="4974" spans="5:6">
      <c r="E4974" s="1"/>
      <c r="F4974" s="1"/>
    </row>
    <row r="4975" spans="5:6">
      <c r="E4975" s="1"/>
      <c r="F4975" s="1"/>
    </row>
    <row r="4976" spans="5:6">
      <c r="E4976" s="1"/>
      <c r="F4976" s="1"/>
    </row>
    <row r="4977" spans="5:6">
      <c r="E4977" s="1"/>
      <c r="F4977" s="1"/>
    </row>
    <row r="4978" spans="5:6">
      <c r="E4978" s="1"/>
      <c r="F4978" s="1"/>
    </row>
    <row r="4979" spans="5:6">
      <c r="E4979" s="1"/>
      <c r="F4979" s="1"/>
    </row>
    <row r="4980" spans="5:6">
      <c r="E4980" s="1"/>
      <c r="F4980" s="1"/>
    </row>
    <row r="4981" spans="5:6">
      <c r="E4981" s="1"/>
      <c r="F4981" s="1"/>
    </row>
    <row r="4982" spans="5:6">
      <c r="E4982" s="1"/>
      <c r="F4982" s="1"/>
    </row>
    <row r="4983" spans="5:6">
      <c r="E4983" s="1"/>
      <c r="F4983" s="1"/>
    </row>
    <row r="4984" spans="5:6">
      <c r="E4984" s="1"/>
      <c r="F4984" s="1"/>
    </row>
    <row r="4985" spans="5:6">
      <c r="E4985" s="1"/>
      <c r="F4985" s="1"/>
    </row>
    <row r="4986" spans="5:6">
      <c r="E4986" s="1"/>
      <c r="F4986" s="1"/>
    </row>
    <row r="4987" spans="5:6">
      <c r="E4987" s="1"/>
      <c r="F4987" s="1"/>
    </row>
    <row r="4988" spans="5:6">
      <c r="E4988" s="1"/>
      <c r="F4988" s="1"/>
    </row>
    <row r="4989" spans="5:6">
      <c r="E4989" s="1"/>
      <c r="F4989" s="1"/>
    </row>
    <row r="4990" spans="5:6">
      <c r="E4990" s="1"/>
      <c r="F4990" s="1"/>
    </row>
    <row r="4991" spans="5:6">
      <c r="E4991" s="1"/>
      <c r="F4991" s="1"/>
    </row>
    <row r="4992" spans="5:6">
      <c r="E4992" s="1"/>
      <c r="F4992" s="1"/>
    </row>
    <row r="4993" spans="5:6">
      <c r="E4993" s="1"/>
      <c r="F4993" s="1"/>
    </row>
    <row r="4994" spans="5:6">
      <c r="E4994" s="1"/>
      <c r="F4994" s="1"/>
    </row>
    <row r="4995" spans="5:6">
      <c r="E4995" s="1"/>
      <c r="F4995" s="1"/>
    </row>
    <row r="4996" spans="5:6">
      <c r="E4996" s="1"/>
      <c r="F4996" s="1"/>
    </row>
    <row r="4997" spans="5:6">
      <c r="E4997" s="1"/>
      <c r="F4997" s="1"/>
    </row>
    <row r="4998" spans="5:6">
      <c r="E4998" s="1"/>
      <c r="F4998" s="1"/>
    </row>
    <row r="4999" spans="5:6">
      <c r="E4999" s="1"/>
      <c r="F4999" s="1"/>
    </row>
    <row r="5000" spans="5:6">
      <c r="E5000" s="1"/>
      <c r="F5000" s="1"/>
    </row>
    <row r="5001" spans="5:6">
      <c r="E5001" s="1"/>
      <c r="F5001" s="1"/>
    </row>
    <row r="5002" spans="5:6">
      <c r="E5002" s="1"/>
      <c r="F5002" s="1"/>
    </row>
    <row r="5003" spans="5:6">
      <c r="E5003" s="1"/>
      <c r="F5003" s="1"/>
    </row>
    <row r="5004" spans="5:6">
      <c r="E5004" s="1"/>
      <c r="F5004" s="1"/>
    </row>
    <row r="5005" spans="5:6">
      <c r="E5005" s="1"/>
      <c r="F5005" s="1"/>
    </row>
    <row r="5006" spans="5:6">
      <c r="E5006" s="1"/>
      <c r="F5006" s="1"/>
    </row>
    <row r="5007" spans="5:6">
      <c r="E5007" s="1"/>
      <c r="F5007" s="1"/>
    </row>
    <row r="5008" spans="5:6">
      <c r="E5008" s="1"/>
      <c r="F5008" s="1"/>
    </row>
    <row r="5009" spans="5:6">
      <c r="E5009" s="1"/>
      <c r="F5009" s="1"/>
    </row>
    <row r="5010" spans="5:6">
      <c r="E5010" s="1"/>
      <c r="F5010" s="1"/>
    </row>
    <row r="5011" spans="5:6">
      <c r="E5011" s="1"/>
      <c r="F5011" s="1"/>
    </row>
    <row r="5012" spans="5:6">
      <c r="E5012" s="1"/>
      <c r="F5012" s="1"/>
    </row>
    <row r="5013" spans="5:6">
      <c r="E5013" s="1"/>
      <c r="F5013" s="1"/>
    </row>
    <row r="5014" spans="5:6">
      <c r="E5014" s="1"/>
      <c r="F5014" s="1"/>
    </row>
    <row r="5015" spans="5:6">
      <c r="E5015" s="1"/>
      <c r="F5015" s="1"/>
    </row>
    <row r="5016" spans="5:6">
      <c r="E5016" s="1"/>
      <c r="F5016" s="1"/>
    </row>
    <row r="5017" spans="5:6">
      <c r="E5017" s="1"/>
      <c r="F5017" s="1"/>
    </row>
    <row r="5018" spans="5:6">
      <c r="E5018" s="1"/>
      <c r="F5018" s="1"/>
    </row>
    <row r="5019" spans="5:6">
      <c r="E5019" s="1"/>
      <c r="F5019" s="1"/>
    </row>
    <row r="5020" spans="5:6">
      <c r="E5020" s="1"/>
      <c r="F5020" s="1"/>
    </row>
    <row r="5021" spans="5:6">
      <c r="E5021" s="1"/>
      <c r="F5021" s="1"/>
    </row>
    <row r="5022" spans="5:6">
      <c r="E5022" s="1"/>
      <c r="F5022" s="1"/>
    </row>
    <row r="5023" spans="5:6">
      <c r="E5023" s="1"/>
      <c r="F5023" s="1"/>
    </row>
    <row r="5024" spans="5:6">
      <c r="E5024" s="1"/>
      <c r="F5024" s="1"/>
    </row>
    <row r="5025" spans="5:6">
      <c r="E5025" s="1"/>
      <c r="F5025" s="1"/>
    </row>
    <row r="5026" spans="5:6">
      <c r="E5026" s="1"/>
      <c r="F5026" s="1"/>
    </row>
    <row r="5027" spans="5:6">
      <c r="E5027" s="1"/>
      <c r="F5027" s="1"/>
    </row>
    <row r="5028" spans="5:6">
      <c r="E5028" s="1"/>
      <c r="F5028" s="1"/>
    </row>
    <row r="5029" spans="5:6">
      <c r="E5029" s="1"/>
      <c r="F5029" s="1"/>
    </row>
    <row r="5030" spans="5:6">
      <c r="E5030" s="1"/>
      <c r="F5030" s="1"/>
    </row>
    <row r="5031" spans="5:6">
      <c r="E5031" s="1"/>
      <c r="F5031" s="1"/>
    </row>
    <row r="5032" spans="5:6">
      <c r="E5032" s="1"/>
      <c r="F5032" s="1"/>
    </row>
    <row r="5033" spans="5:6">
      <c r="E5033" s="1"/>
      <c r="F5033" s="1"/>
    </row>
    <row r="5034" spans="5:6">
      <c r="E5034" s="1"/>
      <c r="F5034" s="1"/>
    </row>
    <row r="5035" spans="5:6">
      <c r="E5035" s="1"/>
      <c r="F5035" s="1"/>
    </row>
    <row r="5036" spans="5:6">
      <c r="E5036" s="1"/>
      <c r="F5036" s="1"/>
    </row>
    <row r="5037" spans="5:6">
      <c r="E5037" s="1"/>
      <c r="F5037" s="1"/>
    </row>
    <row r="5038" spans="5:6">
      <c r="E5038" s="1"/>
      <c r="F5038" s="1"/>
    </row>
    <row r="5039" spans="5:6">
      <c r="E5039" s="1"/>
      <c r="F5039" s="1"/>
    </row>
    <row r="5040" spans="5:6">
      <c r="E5040" s="1"/>
      <c r="F5040" s="1"/>
    </row>
    <row r="5041" spans="5:6">
      <c r="E5041" s="1"/>
      <c r="F5041" s="1"/>
    </row>
    <row r="5042" spans="5:6">
      <c r="E5042" s="1"/>
      <c r="F5042" s="1"/>
    </row>
    <row r="5043" spans="5:6">
      <c r="E5043" s="1"/>
      <c r="F5043" s="1"/>
    </row>
    <row r="5044" spans="5:6">
      <c r="E5044" s="1"/>
      <c r="F5044" s="1"/>
    </row>
    <row r="5045" spans="5:6">
      <c r="E5045" s="1"/>
      <c r="F5045" s="1"/>
    </row>
    <row r="5046" spans="5:6">
      <c r="E5046" s="1"/>
      <c r="F5046" s="1"/>
    </row>
    <row r="5047" spans="5:6">
      <c r="E5047" s="1"/>
      <c r="F5047" s="1"/>
    </row>
    <row r="5048" spans="5:6">
      <c r="E5048" s="1"/>
      <c r="F5048" s="1"/>
    </row>
    <row r="5049" spans="5:6">
      <c r="E5049" s="1"/>
      <c r="F5049" s="1"/>
    </row>
    <row r="5050" spans="5:6">
      <c r="E5050" s="1"/>
      <c r="F5050" s="1"/>
    </row>
    <row r="5051" spans="5:6">
      <c r="E5051" s="1"/>
      <c r="F5051" s="1"/>
    </row>
    <row r="5052" spans="5:6">
      <c r="E5052" s="1"/>
      <c r="F5052" s="1"/>
    </row>
    <row r="5053" spans="5:6">
      <c r="E5053" s="1"/>
      <c r="F5053" s="1"/>
    </row>
    <row r="5054" spans="5:6">
      <c r="E5054" s="1"/>
      <c r="F5054" s="1"/>
    </row>
    <row r="5055" spans="5:6">
      <c r="E5055" s="1"/>
      <c r="F5055" s="1"/>
    </row>
    <row r="5056" spans="5:6">
      <c r="E5056" s="1"/>
      <c r="F5056" s="1"/>
    </row>
    <row r="5057" spans="5:6">
      <c r="E5057" s="1"/>
      <c r="F5057" s="1"/>
    </row>
    <row r="5058" spans="5:6">
      <c r="E5058" s="1"/>
      <c r="F5058" s="1"/>
    </row>
    <row r="5059" spans="5:6">
      <c r="E5059" s="1"/>
      <c r="F5059" s="1"/>
    </row>
    <row r="5060" spans="5:6">
      <c r="E5060" s="1"/>
      <c r="F5060" s="1"/>
    </row>
    <row r="5061" spans="5:6">
      <c r="E5061" s="1"/>
      <c r="F5061" s="1"/>
    </row>
    <row r="5062" spans="5:6">
      <c r="E5062" s="1"/>
      <c r="F5062" s="1"/>
    </row>
    <row r="5063" spans="5:6">
      <c r="E5063" s="1"/>
      <c r="F5063" s="1"/>
    </row>
    <row r="5064" spans="5:6">
      <c r="E5064" s="1"/>
      <c r="F5064" s="1"/>
    </row>
    <row r="5065" spans="5:6">
      <c r="E5065" s="1"/>
      <c r="F5065" s="1"/>
    </row>
    <row r="5066" spans="5:6">
      <c r="E5066" s="1"/>
      <c r="F5066" s="1"/>
    </row>
    <row r="5067" spans="5:6">
      <c r="E5067" s="1"/>
      <c r="F5067" s="1"/>
    </row>
    <row r="5068" spans="5:6">
      <c r="E5068" s="1"/>
      <c r="F5068" s="1"/>
    </row>
    <row r="5069" spans="5:6">
      <c r="E5069" s="1"/>
      <c r="F5069" s="1"/>
    </row>
    <row r="5070" spans="5:6">
      <c r="E5070" s="1"/>
      <c r="F5070" s="1"/>
    </row>
    <row r="5071" spans="5:6">
      <c r="E5071" s="1"/>
      <c r="F5071" s="1"/>
    </row>
    <row r="5072" spans="5:6">
      <c r="E5072" s="1"/>
      <c r="F5072" s="1"/>
    </row>
    <row r="5073" spans="5:6">
      <c r="E5073" s="1"/>
      <c r="F5073" s="1"/>
    </row>
    <row r="5074" spans="5:6">
      <c r="E5074" s="1"/>
      <c r="F5074" s="1"/>
    </row>
    <row r="5075" spans="5:6">
      <c r="E5075" s="1"/>
      <c r="F5075" s="1"/>
    </row>
    <row r="5076" spans="5:6">
      <c r="E5076" s="1"/>
      <c r="F5076" s="1"/>
    </row>
    <row r="5077" spans="5:6">
      <c r="E5077" s="1"/>
      <c r="F5077" s="1"/>
    </row>
    <row r="5078" spans="5:6">
      <c r="E5078" s="1"/>
      <c r="F5078" s="1"/>
    </row>
    <row r="5079" spans="5:6">
      <c r="E5079" s="1"/>
      <c r="F5079" s="1"/>
    </row>
    <row r="5080" spans="5:6">
      <c r="E5080" s="1"/>
      <c r="F5080" s="1"/>
    </row>
    <row r="5081" spans="5:6">
      <c r="E5081" s="1"/>
      <c r="F5081" s="1"/>
    </row>
    <row r="5082" spans="5:6">
      <c r="E5082" s="1"/>
      <c r="F5082" s="1"/>
    </row>
    <row r="5083" spans="5:6">
      <c r="E5083" s="1"/>
      <c r="F5083" s="1"/>
    </row>
    <row r="5084" spans="5:6">
      <c r="E5084" s="1"/>
      <c r="F5084" s="1"/>
    </row>
    <row r="5085" spans="5:6">
      <c r="E5085" s="1"/>
      <c r="F5085" s="1"/>
    </row>
    <row r="5086" spans="5:6">
      <c r="E5086" s="1"/>
      <c r="F5086" s="1"/>
    </row>
    <row r="5087" spans="5:6">
      <c r="E5087" s="1"/>
      <c r="F5087" s="1"/>
    </row>
    <row r="5088" spans="5:6">
      <c r="E5088" s="1"/>
      <c r="F5088" s="1"/>
    </row>
    <row r="5089" spans="5:6">
      <c r="E5089" s="1"/>
      <c r="F5089" s="1"/>
    </row>
    <row r="5090" spans="5:6">
      <c r="E5090" s="1"/>
      <c r="F5090" s="1"/>
    </row>
    <row r="5091" spans="5:6">
      <c r="E5091" s="1"/>
      <c r="F5091" s="1"/>
    </row>
    <row r="5092" spans="5:6">
      <c r="E5092" s="1"/>
      <c r="F5092" s="1"/>
    </row>
    <row r="5093" spans="5:6">
      <c r="E5093" s="1"/>
      <c r="F5093" s="1"/>
    </row>
    <row r="5094" spans="5:6">
      <c r="E5094" s="1"/>
      <c r="F5094" s="1"/>
    </row>
    <row r="5095" spans="5:6">
      <c r="E5095" s="1"/>
      <c r="F5095" s="1"/>
    </row>
    <row r="5096" spans="5:6">
      <c r="E5096" s="1"/>
      <c r="F5096" s="1"/>
    </row>
    <row r="5097" spans="5:6">
      <c r="E5097" s="1"/>
      <c r="F5097" s="1"/>
    </row>
    <row r="5098" spans="5:6">
      <c r="E5098" s="1"/>
      <c r="F5098" s="1"/>
    </row>
    <row r="5099" spans="5:6">
      <c r="E5099" s="1"/>
      <c r="F5099" s="1"/>
    </row>
    <row r="5100" spans="5:6">
      <c r="E5100" s="1"/>
      <c r="F5100" s="1"/>
    </row>
    <row r="5101" spans="5:6">
      <c r="E5101" s="1"/>
      <c r="F5101" s="1"/>
    </row>
    <row r="5102" spans="5:6">
      <c r="E5102" s="1"/>
      <c r="F5102" s="1"/>
    </row>
    <row r="5103" spans="5:6">
      <c r="E5103" s="1"/>
      <c r="F5103" s="1"/>
    </row>
    <row r="5104" spans="5:6">
      <c r="E5104" s="1"/>
      <c r="F5104" s="1"/>
    </row>
    <row r="5105" spans="5:6">
      <c r="E5105" s="1"/>
      <c r="F5105" s="1"/>
    </row>
    <row r="5106" spans="5:6">
      <c r="E5106" s="1"/>
      <c r="F5106" s="1"/>
    </row>
    <row r="5107" spans="5:6">
      <c r="E5107" s="1"/>
      <c r="F5107" s="1"/>
    </row>
    <row r="5108" spans="5:6">
      <c r="E5108" s="1"/>
      <c r="F5108" s="1"/>
    </row>
    <row r="5109" spans="5:6">
      <c r="E5109" s="1"/>
      <c r="F5109" s="1"/>
    </row>
    <row r="5110" spans="5:6">
      <c r="E5110" s="1"/>
      <c r="F5110" s="1"/>
    </row>
    <row r="5111" spans="5:6">
      <c r="E5111" s="1"/>
      <c r="F5111" s="1"/>
    </row>
    <row r="5112" spans="5:6">
      <c r="E5112" s="1"/>
      <c r="F5112" s="1"/>
    </row>
    <row r="5113" spans="5:6">
      <c r="E5113" s="1"/>
      <c r="F5113" s="1"/>
    </row>
    <row r="5114" spans="5:6">
      <c r="E5114" s="1"/>
      <c r="F5114" s="1"/>
    </row>
    <row r="5115" spans="5:6">
      <c r="E5115" s="1"/>
      <c r="F5115" s="1"/>
    </row>
    <row r="5116" spans="5:6">
      <c r="E5116" s="1"/>
      <c r="F5116" s="1"/>
    </row>
    <row r="5117" spans="5:6">
      <c r="E5117" s="1"/>
      <c r="F5117" s="1"/>
    </row>
    <row r="5118" spans="5:6">
      <c r="E5118" s="1"/>
      <c r="F5118" s="1"/>
    </row>
    <row r="5119" spans="5:6">
      <c r="E5119" s="1"/>
      <c r="F5119" s="1"/>
    </row>
    <row r="5120" spans="5:6">
      <c r="E5120" s="1"/>
      <c r="F5120" s="1"/>
    </row>
    <row r="5121" spans="5:6">
      <c r="E5121" s="1"/>
      <c r="F5121" s="1"/>
    </row>
    <row r="5122" spans="5:6">
      <c r="E5122" s="1"/>
      <c r="F5122" s="1"/>
    </row>
    <row r="5123" spans="5:6">
      <c r="E5123" s="1"/>
      <c r="F5123" s="1"/>
    </row>
    <row r="5124" spans="5:6">
      <c r="E5124" s="1"/>
      <c r="F5124" s="1"/>
    </row>
    <row r="5125" spans="5:6">
      <c r="E5125" s="1"/>
      <c r="F5125" s="1"/>
    </row>
    <row r="5126" spans="5:6">
      <c r="E5126" s="1"/>
      <c r="F5126" s="1"/>
    </row>
    <row r="5127" spans="5:6">
      <c r="E5127" s="1"/>
      <c r="F5127" s="1"/>
    </row>
    <row r="5128" spans="5:6">
      <c r="E5128" s="1"/>
      <c r="F5128" s="1"/>
    </row>
    <row r="5129" spans="5:6">
      <c r="E5129" s="1"/>
      <c r="F5129" s="1"/>
    </row>
    <row r="5130" spans="5:6">
      <c r="E5130" s="1"/>
      <c r="F5130" s="1"/>
    </row>
    <row r="5131" spans="5:6">
      <c r="E5131" s="1"/>
      <c r="F5131" s="1"/>
    </row>
    <row r="5132" spans="5:6">
      <c r="E5132" s="1"/>
      <c r="F5132" s="1"/>
    </row>
    <row r="5133" spans="5:6">
      <c r="E5133" s="1"/>
      <c r="F5133" s="1"/>
    </row>
    <row r="5134" spans="5:6">
      <c r="E5134" s="1"/>
      <c r="F5134" s="1"/>
    </row>
    <row r="5135" spans="5:6">
      <c r="E5135" s="1"/>
      <c r="F5135" s="1"/>
    </row>
    <row r="5136" spans="5:6">
      <c r="E5136" s="1"/>
      <c r="F5136" s="1"/>
    </row>
    <row r="5137" spans="5:6">
      <c r="E5137" s="1"/>
      <c r="F5137" s="1"/>
    </row>
    <row r="5138" spans="5:6">
      <c r="E5138" s="1"/>
      <c r="F5138" s="1"/>
    </row>
    <row r="5139" spans="5:6">
      <c r="E5139" s="1"/>
      <c r="F5139" s="1"/>
    </row>
    <row r="5140" spans="5:6">
      <c r="E5140" s="1"/>
      <c r="F5140" s="1"/>
    </row>
    <row r="5141" spans="5:6">
      <c r="E5141" s="1"/>
      <c r="F5141" s="1"/>
    </row>
    <row r="5142" spans="5:6">
      <c r="E5142" s="1"/>
      <c r="F5142" s="1"/>
    </row>
    <row r="5143" spans="5:6">
      <c r="E5143" s="1"/>
      <c r="F5143" s="1"/>
    </row>
    <row r="5144" spans="5:6">
      <c r="E5144" s="1"/>
      <c r="F5144" s="1"/>
    </row>
    <row r="5145" spans="5:6">
      <c r="E5145" s="1"/>
      <c r="F5145" s="1"/>
    </row>
    <row r="5146" spans="5:6">
      <c r="E5146" s="1"/>
      <c r="F5146" s="1"/>
    </row>
    <row r="5147" spans="5:6">
      <c r="E5147" s="1"/>
      <c r="F5147" s="1"/>
    </row>
    <row r="5148" spans="5:6">
      <c r="E5148" s="1"/>
      <c r="F5148" s="1"/>
    </row>
    <row r="5149" spans="5:6">
      <c r="E5149" s="1"/>
      <c r="F5149" s="1"/>
    </row>
    <row r="5150" spans="5:6">
      <c r="E5150" s="1"/>
      <c r="F5150" s="1"/>
    </row>
    <row r="5151" spans="5:6">
      <c r="E5151" s="1"/>
      <c r="F5151" s="1"/>
    </row>
    <row r="5152" spans="5:6">
      <c r="E5152" s="1"/>
      <c r="F5152" s="1"/>
    </row>
    <row r="5153" spans="5:6">
      <c r="E5153" s="1"/>
      <c r="F5153" s="1"/>
    </row>
    <row r="5154" spans="5:6">
      <c r="E5154" s="1"/>
      <c r="F5154" s="1"/>
    </row>
    <row r="5155" spans="5:6">
      <c r="E5155" s="1"/>
      <c r="F5155" s="1"/>
    </row>
    <row r="5156" spans="5:6">
      <c r="E5156" s="1"/>
      <c r="F5156" s="1"/>
    </row>
    <row r="5157" spans="5:6">
      <c r="E5157" s="1"/>
      <c r="F5157" s="1"/>
    </row>
    <row r="5158" spans="5:6">
      <c r="E5158" s="1"/>
      <c r="F5158" s="1"/>
    </row>
    <row r="5159" spans="5:6">
      <c r="E5159" s="1"/>
      <c r="F5159" s="1"/>
    </row>
    <row r="5160" spans="5:6">
      <c r="E5160" s="1"/>
      <c r="F5160" s="1"/>
    </row>
    <row r="5161" spans="5:6">
      <c r="E5161" s="1"/>
      <c r="F5161" s="1"/>
    </row>
    <row r="5162" spans="5:6">
      <c r="E5162" s="1"/>
      <c r="F5162" s="1"/>
    </row>
    <row r="5163" spans="5:6">
      <c r="E5163" s="1"/>
      <c r="F5163" s="1"/>
    </row>
    <row r="5164" spans="5:6">
      <c r="E5164" s="1"/>
      <c r="F5164" s="1"/>
    </row>
    <row r="5165" spans="5:6">
      <c r="E5165" s="1"/>
      <c r="F5165" s="1"/>
    </row>
    <row r="5166" spans="5:6">
      <c r="E5166" s="1"/>
      <c r="F5166" s="1"/>
    </row>
    <row r="5167" spans="5:6">
      <c r="E5167" s="1"/>
      <c r="F5167" s="1"/>
    </row>
    <row r="5168" spans="5:6">
      <c r="E5168" s="1"/>
      <c r="F5168" s="1"/>
    </row>
    <row r="5169" spans="5:6">
      <c r="E5169" s="1"/>
      <c r="F5169" s="1"/>
    </row>
    <row r="5170" spans="5:6">
      <c r="E5170" s="1"/>
      <c r="F5170" s="1"/>
    </row>
    <row r="5171" spans="5:6">
      <c r="E5171" s="1"/>
      <c r="F5171" s="1"/>
    </row>
    <row r="5172" spans="5:6">
      <c r="E5172" s="1"/>
      <c r="F5172" s="1"/>
    </row>
    <row r="5173" spans="5:6">
      <c r="E5173" s="1"/>
      <c r="F5173" s="1"/>
    </row>
    <row r="5174" spans="5:6">
      <c r="E5174" s="1"/>
      <c r="F5174" s="1"/>
    </row>
    <row r="5175" spans="5:6">
      <c r="E5175" s="1"/>
      <c r="F5175" s="1"/>
    </row>
    <row r="5176" spans="5:6">
      <c r="E5176" s="1"/>
      <c r="F5176" s="1"/>
    </row>
    <row r="5177" spans="5:6">
      <c r="E5177" s="1"/>
      <c r="F5177" s="1"/>
    </row>
    <row r="5178" spans="5:6">
      <c r="E5178" s="1"/>
      <c r="F5178" s="1"/>
    </row>
    <row r="5179" spans="5:6">
      <c r="E5179" s="1"/>
      <c r="F5179" s="1"/>
    </row>
    <row r="5180" spans="5:6">
      <c r="E5180" s="1"/>
      <c r="F5180" s="1"/>
    </row>
    <row r="5181" spans="5:6">
      <c r="E5181" s="1"/>
      <c r="F5181" s="1"/>
    </row>
    <row r="5182" spans="5:6">
      <c r="E5182" s="1"/>
      <c r="F5182" s="1"/>
    </row>
    <row r="5183" spans="5:6">
      <c r="E5183" s="1"/>
      <c r="F5183" s="1"/>
    </row>
    <row r="5184" spans="5:6">
      <c r="E5184" s="1"/>
      <c r="F5184" s="1"/>
    </row>
    <row r="5185" spans="5:6">
      <c r="E5185" s="1"/>
      <c r="F5185" s="1"/>
    </row>
    <row r="5186" spans="5:6">
      <c r="E5186" s="1"/>
      <c r="F5186" s="1"/>
    </row>
    <row r="5187" spans="5:6">
      <c r="E5187" s="1"/>
      <c r="F5187" s="1"/>
    </row>
    <row r="5188" spans="5:6">
      <c r="E5188" s="1"/>
      <c r="F5188" s="1"/>
    </row>
    <row r="5189" spans="5:6">
      <c r="E5189" s="1"/>
      <c r="F5189" s="1"/>
    </row>
    <row r="5190" spans="5:6">
      <c r="E5190" s="1"/>
      <c r="F5190" s="1"/>
    </row>
    <row r="5191" spans="5:6">
      <c r="E5191" s="1"/>
      <c r="F5191" s="1"/>
    </row>
    <row r="5192" spans="5:6">
      <c r="E5192" s="1"/>
      <c r="F5192" s="1"/>
    </row>
    <row r="5193" spans="5:6">
      <c r="E5193" s="1"/>
      <c r="F5193" s="1"/>
    </row>
    <row r="5194" spans="5:6">
      <c r="E5194" s="1"/>
      <c r="F5194" s="1"/>
    </row>
    <row r="5195" spans="5:6">
      <c r="E5195" s="1"/>
      <c r="F5195" s="1"/>
    </row>
    <row r="5196" spans="5:6">
      <c r="E5196" s="1"/>
      <c r="F5196" s="1"/>
    </row>
    <row r="5197" spans="5:6">
      <c r="E5197" s="1"/>
      <c r="F5197" s="1"/>
    </row>
    <row r="5198" spans="5:6">
      <c r="E5198" s="1"/>
      <c r="F5198" s="1"/>
    </row>
    <row r="5199" spans="5:6">
      <c r="E5199" s="1"/>
      <c r="F5199" s="1"/>
    </row>
    <row r="5200" spans="5:6">
      <c r="E5200" s="1"/>
      <c r="F5200" s="1"/>
    </row>
    <row r="5201" spans="5:6">
      <c r="E5201" s="1"/>
      <c r="F5201" s="1"/>
    </row>
    <row r="5202" spans="5:6">
      <c r="E5202" s="1"/>
      <c r="F5202" s="1"/>
    </row>
    <row r="5203" spans="5:6">
      <c r="E5203" s="1"/>
      <c r="F5203" s="1"/>
    </row>
    <row r="5204" spans="5:6">
      <c r="E5204" s="1"/>
      <c r="F5204" s="1"/>
    </row>
    <row r="5205" spans="5:6">
      <c r="E5205" s="1"/>
      <c r="F5205" s="1"/>
    </row>
    <row r="5206" spans="5:6">
      <c r="E5206" s="1"/>
      <c r="F5206" s="1"/>
    </row>
    <row r="5207" spans="5:6">
      <c r="E5207" s="1"/>
      <c r="F5207" s="1"/>
    </row>
    <row r="5208" spans="5:6">
      <c r="E5208" s="1"/>
      <c r="F5208" s="1"/>
    </row>
    <row r="5209" spans="5:6">
      <c r="E5209" s="1"/>
      <c r="F5209" s="1"/>
    </row>
    <row r="5210" spans="5:6">
      <c r="E5210" s="1"/>
      <c r="F5210" s="1"/>
    </row>
    <row r="5211" spans="5:6">
      <c r="E5211" s="1"/>
      <c r="F5211" s="1"/>
    </row>
    <row r="5212" spans="5:6">
      <c r="E5212" s="1"/>
      <c r="F5212" s="1"/>
    </row>
    <row r="5213" spans="5:6">
      <c r="E5213" s="1"/>
      <c r="F5213" s="1"/>
    </row>
    <row r="5214" spans="5:6">
      <c r="E5214" s="1"/>
      <c r="F5214" s="1"/>
    </row>
    <row r="5215" spans="5:6">
      <c r="E5215" s="1"/>
      <c r="F5215" s="1"/>
    </row>
    <row r="5216" spans="5:6">
      <c r="E5216" s="1"/>
      <c r="F5216" s="1"/>
    </row>
    <row r="5217" spans="5:6">
      <c r="E5217" s="1"/>
      <c r="F5217" s="1"/>
    </row>
    <row r="5218" spans="5:6">
      <c r="E5218" s="1"/>
      <c r="F5218" s="1"/>
    </row>
    <row r="5219" spans="5:6">
      <c r="E5219" s="1"/>
      <c r="F5219" s="1"/>
    </row>
    <row r="5220" spans="5:6">
      <c r="E5220" s="1"/>
      <c r="F5220" s="1"/>
    </row>
    <row r="5221" spans="5:6">
      <c r="E5221" s="1"/>
      <c r="F5221" s="1"/>
    </row>
    <row r="5222" spans="5:6">
      <c r="E5222" s="1"/>
      <c r="F5222" s="1"/>
    </row>
    <row r="5223" spans="5:6">
      <c r="E5223" s="1"/>
      <c r="F5223" s="1"/>
    </row>
    <row r="5224" spans="5:6">
      <c r="E5224" s="1"/>
      <c r="F5224" s="1"/>
    </row>
    <row r="5225" spans="5:6">
      <c r="E5225" s="1"/>
      <c r="F5225" s="1"/>
    </row>
    <row r="5226" spans="5:6">
      <c r="E5226" s="1"/>
      <c r="F5226" s="1"/>
    </row>
    <row r="5227" spans="5:6">
      <c r="E5227" s="1"/>
      <c r="F5227" s="1"/>
    </row>
    <row r="5228" spans="5:6">
      <c r="E5228" s="1"/>
      <c r="F5228" s="1"/>
    </row>
    <row r="5229" spans="5:6">
      <c r="E5229" s="1"/>
      <c r="F5229" s="1"/>
    </row>
    <row r="5230" spans="5:6">
      <c r="E5230" s="1"/>
      <c r="F5230" s="1"/>
    </row>
    <row r="5231" spans="5:6">
      <c r="E5231" s="1"/>
      <c r="F5231" s="1"/>
    </row>
    <row r="5232" spans="5:6">
      <c r="E5232" s="1"/>
      <c r="F5232" s="1"/>
    </row>
    <row r="5233" spans="5:6">
      <c r="E5233" s="1"/>
      <c r="F5233" s="1"/>
    </row>
    <row r="5234" spans="5:6">
      <c r="E5234" s="1"/>
      <c r="F5234" s="1"/>
    </row>
    <row r="5235" spans="5:6">
      <c r="E5235" s="1"/>
      <c r="F5235" s="1"/>
    </row>
    <row r="5236" spans="5:6">
      <c r="E5236" s="1"/>
      <c r="F5236" s="1"/>
    </row>
    <row r="5237" spans="5:6">
      <c r="E5237" s="1"/>
      <c r="F5237" s="1"/>
    </row>
    <row r="5238" spans="5:6">
      <c r="E5238" s="1"/>
      <c r="F5238" s="1"/>
    </row>
    <row r="5239" spans="5:6">
      <c r="E5239" s="1"/>
      <c r="F5239" s="1"/>
    </row>
    <row r="5240" spans="5:6">
      <c r="E5240" s="1"/>
      <c r="F5240" s="1"/>
    </row>
    <row r="5241" spans="5:6">
      <c r="E5241" s="1"/>
      <c r="F5241" s="1"/>
    </row>
    <row r="5242" spans="5:6">
      <c r="E5242" s="1"/>
      <c r="F5242" s="1"/>
    </row>
    <row r="5243" spans="5:6">
      <c r="E5243" s="1"/>
      <c r="F5243" s="1"/>
    </row>
    <row r="5244" spans="5:6">
      <c r="E5244" s="1"/>
      <c r="F5244" s="1"/>
    </row>
    <row r="5245" spans="5:6">
      <c r="E5245" s="1"/>
      <c r="F5245" s="1"/>
    </row>
    <row r="5246" spans="5:6">
      <c r="E5246" s="1"/>
      <c r="F5246" s="1"/>
    </row>
    <row r="5247" spans="5:6">
      <c r="E5247" s="1"/>
      <c r="F5247" s="1"/>
    </row>
    <row r="5248" spans="5:6">
      <c r="E5248" s="1"/>
      <c r="F5248" s="1"/>
    </row>
    <row r="5249" spans="5:6">
      <c r="E5249" s="1"/>
      <c r="F5249" s="1"/>
    </row>
    <row r="5250" spans="5:6">
      <c r="E5250" s="1"/>
      <c r="F5250" s="1"/>
    </row>
    <row r="5251" spans="5:6">
      <c r="E5251" s="1"/>
      <c r="F5251" s="1"/>
    </row>
    <row r="5252" spans="5:6">
      <c r="E5252" s="1"/>
      <c r="F5252" s="1"/>
    </row>
    <row r="5253" spans="5:6">
      <c r="E5253" s="1"/>
      <c r="F5253" s="1"/>
    </row>
    <row r="5254" spans="5:6">
      <c r="E5254" s="1"/>
      <c r="F5254" s="1"/>
    </row>
    <row r="5255" spans="5:6">
      <c r="E5255" s="1"/>
      <c r="F5255" s="1"/>
    </row>
    <row r="5256" spans="5:6">
      <c r="E5256" s="1"/>
      <c r="F5256" s="1"/>
    </row>
    <row r="5257" spans="5:6">
      <c r="E5257" s="1"/>
      <c r="F5257" s="1"/>
    </row>
    <row r="5258" spans="5:6">
      <c r="E5258" s="1"/>
      <c r="F5258" s="1"/>
    </row>
    <row r="5259" spans="5:6">
      <c r="E5259" s="1"/>
      <c r="F5259" s="1"/>
    </row>
    <row r="5260" spans="5:6">
      <c r="E5260" s="1"/>
      <c r="F5260" s="1"/>
    </row>
    <row r="5261" spans="5:6">
      <c r="E5261" s="1"/>
      <c r="F5261" s="1"/>
    </row>
    <row r="5262" spans="5:6">
      <c r="E5262" s="1"/>
      <c r="F5262" s="1"/>
    </row>
    <row r="5263" spans="5:6">
      <c r="E5263" s="1"/>
      <c r="F5263" s="1"/>
    </row>
    <row r="5264" spans="5:6">
      <c r="E5264" s="1"/>
      <c r="F5264" s="1"/>
    </row>
    <row r="5265" spans="5:6">
      <c r="E5265" s="1"/>
      <c r="F5265" s="1"/>
    </row>
    <row r="5266" spans="5:6">
      <c r="E5266" s="1"/>
      <c r="F5266" s="1"/>
    </row>
    <row r="5267" spans="5:6">
      <c r="E5267" s="1"/>
      <c r="F5267" s="1"/>
    </row>
    <row r="5268" spans="5:6">
      <c r="E5268" s="1"/>
      <c r="F5268" s="1"/>
    </row>
    <row r="5269" spans="5:6">
      <c r="E5269" s="1"/>
      <c r="F5269" s="1"/>
    </row>
    <row r="5270" spans="5:6">
      <c r="E5270" s="1"/>
      <c r="F5270" s="1"/>
    </row>
    <row r="5271" spans="5:6">
      <c r="E5271" s="1"/>
      <c r="F5271" s="1"/>
    </row>
    <row r="5272" spans="5:6">
      <c r="E5272" s="1"/>
      <c r="F5272" s="1"/>
    </row>
    <row r="5273" spans="5:6">
      <c r="E5273" s="1"/>
      <c r="F5273" s="1"/>
    </row>
    <row r="5274" spans="5:6">
      <c r="E5274" s="1"/>
      <c r="F5274" s="1"/>
    </row>
    <row r="5275" spans="5:6">
      <c r="E5275" s="1"/>
      <c r="F5275" s="1"/>
    </row>
    <row r="5276" spans="5:6">
      <c r="E5276" s="1"/>
      <c r="F5276" s="1"/>
    </row>
    <row r="5277" spans="5:6">
      <c r="E5277" s="1"/>
      <c r="F5277" s="1"/>
    </row>
    <row r="5278" spans="5:6">
      <c r="E5278" s="1"/>
      <c r="F5278" s="1"/>
    </row>
    <row r="5279" spans="5:6">
      <c r="E5279" s="1"/>
      <c r="F5279" s="1"/>
    </row>
    <row r="5280" spans="5:6">
      <c r="E5280" s="1"/>
      <c r="F5280" s="1"/>
    </row>
    <row r="5281" spans="5:6">
      <c r="E5281" s="1"/>
      <c r="F5281" s="1"/>
    </row>
    <row r="5282" spans="5:6">
      <c r="E5282" s="1"/>
      <c r="F5282" s="1"/>
    </row>
    <row r="5283" spans="5:6">
      <c r="E5283" s="1"/>
      <c r="F5283" s="1"/>
    </row>
    <row r="5284" spans="5:6">
      <c r="E5284" s="1"/>
      <c r="F5284" s="1"/>
    </row>
    <row r="5285" spans="5:6">
      <c r="E5285" s="1"/>
      <c r="F5285" s="1"/>
    </row>
    <row r="5286" spans="5:6">
      <c r="E5286" s="1"/>
      <c r="F5286" s="1"/>
    </row>
    <row r="5287" spans="5:6">
      <c r="E5287" s="1"/>
      <c r="F5287" s="1"/>
    </row>
    <row r="5288" spans="5:6">
      <c r="E5288" s="1"/>
      <c r="F5288" s="1"/>
    </row>
    <row r="5289" spans="5:6">
      <c r="E5289" s="1"/>
      <c r="F5289" s="1"/>
    </row>
    <row r="5290" spans="5:6">
      <c r="E5290" s="1"/>
      <c r="F5290" s="1"/>
    </row>
    <row r="5291" spans="5:6">
      <c r="E5291" s="1"/>
      <c r="F5291" s="1"/>
    </row>
    <row r="5292" spans="5:6">
      <c r="E5292" s="1"/>
      <c r="F5292" s="1"/>
    </row>
    <row r="5293" spans="5:6">
      <c r="E5293" s="1"/>
      <c r="F5293" s="1"/>
    </row>
    <row r="5294" spans="5:6">
      <c r="E5294" s="1"/>
      <c r="F5294" s="1"/>
    </row>
    <row r="5295" spans="5:6">
      <c r="E5295" s="1"/>
      <c r="F5295" s="1"/>
    </row>
    <row r="5296" spans="5:6">
      <c r="E5296" s="1"/>
      <c r="F5296" s="1"/>
    </row>
    <row r="5297" spans="5:6">
      <c r="E5297" s="1"/>
      <c r="F5297" s="1"/>
    </row>
    <row r="5298" spans="5:6">
      <c r="E5298" s="1"/>
      <c r="F5298" s="1"/>
    </row>
    <row r="5299" spans="5:6">
      <c r="E5299" s="1"/>
      <c r="F5299" s="1"/>
    </row>
    <row r="5300" spans="5:6">
      <c r="E5300" s="1"/>
      <c r="F5300" s="1"/>
    </row>
    <row r="5301" spans="5:6">
      <c r="E5301" s="1"/>
      <c r="F5301" s="1"/>
    </row>
    <row r="5302" spans="5:6">
      <c r="E5302" s="1"/>
      <c r="F5302" s="1"/>
    </row>
    <row r="5303" spans="5:6">
      <c r="E5303" s="1"/>
      <c r="F5303" s="1"/>
    </row>
    <row r="5304" spans="5:6">
      <c r="E5304" s="1"/>
      <c r="F5304" s="1"/>
    </row>
    <row r="5305" spans="5:6">
      <c r="E5305" s="1"/>
      <c r="F5305" s="1"/>
    </row>
    <row r="5306" spans="5:6">
      <c r="E5306" s="1"/>
      <c r="F5306" s="1"/>
    </row>
    <row r="5307" spans="5:6">
      <c r="E5307" s="1"/>
      <c r="F5307" s="1"/>
    </row>
    <row r="5308" spans="5:6">
      <c r="E5308" s="1"/>
      <c r="F5308" s="1"/>
    </row>
    <row r="5309" spans="5:6">
      <c r="E5309" s="1"/>
      <c r="F5309" s="1"/>
    </row>
    <row r="5310" spans="5:6">
      <c r="E5310" s="1"/>
      <c r="F5310" s="1"/>
    </row>
    <row r="5311" spans="5:6">
      <c r="E5311" s="1"/>
      <c r="F5311" s="1"/>
    </row>
    <row r="5312" spans="5:6">
      <c r="E5312" s="1"/>
      <c r="F5312" s="1"/>
    </row>
    <row r="5313" spans="5:6">
      <c r="E5313" s="1"/>
      <c r="F5313" s="1"/>
    </row>
    <row r="5314" spans="5:6">
      <c r="E5314" s="1"/>
      <c r="F5314" s="1"/>
    </row>
    <row r="5315" spans="5:6">
      <c r="E5315" s="1"/>
      <c r="F5315" s="1"/>
    </row>
    <row r="5316" spans="5:6">
      <c r="E5316" s="1"/>
      <c r="F5316" s="1"/>
    </row>
    <row r="5317" spans="5:6">
      <c r="E5317" s="1"/>
      <c r="F5317" s="1"/>
    </row>
    <row r="5318" spans="5:6">
      <c r="E5318" s="1"/>
      <c r="F5318" s="1"/>
    </row>
    <row r="5319" spans="5:6">
      <c r="E5319" s="1"/>
      <c r="F5319" s="1"/>
    </row>
    <row r="5320" spans="5:6">
      <c r="E5320" s="1"/>
      <c r="F5320" s="1"/>
    </row>
    <row r="5321" spans="5:6">
      <c r="E5321" s="1"/>
      <c r="F5321" s="1"/>
    </row>
    <row r="5322" spans="5:6">
      <c r="E5322" s="1"/>
      <c r="F5322" s="1"/>
    </row>
    <row r="5323" spans="5:6">
      <c r="E5323" s="1"/>
      <c r="F5323" s="1"/>
    </row>
    <row r="5324" spans="5:6">
      <c r="E5324" s="1"/>
      <c r="F5324" s="1"/>
    </row>
    <row r="5325" spans="5:6">
      <c r="E5325" s="1"/>
      <c r="F5325" s="1"/>
    </row>
    <row r="5326" spans="5:6">
      <c r="E5326" s="1"/>
      <c r="F5326" s="1"/>
    </row>
    <row r="5327" spans="5:6">
      <c r="E5327" s="1"/>
      <c r="F5327" s="1"/>
    </row>
    <row r="5328" spans="5:6">
      <c r="E5328" s="1"/>
      <c r="F5328" s="1"/>
    </row>
    <row r="5329" spans="5:6">
      <c r="E5329" s="1"/>
      <c r="F5329" s="1"/>
    </row>
    <row r="5330" spans="5:6">
      <c r="E5330" s="1"/>
      <c r="F5330" s="1"/>
    </row>
    <row r="5331" spans="5:6">
      <c r="E5331" s="1"/>
      <c r="F5331" s="1"/>
    </row>
    <row r="5332" spans="5:6">
      <c r="E5332" s="1"/>
      <c r="F5332" s="1"/>
    </row>
    <row r="5333" spans="5:6">
      <c r="E5333" s="1"/>
      <c r="F5333" s="1"/>
    </row>
    <row r="5334" spans="5:6">
      <c r="E5334" s="1"/>
      <c r="F5334" s="1"/>
    </row>
    <row r="5335" spans="5:6">
      <c r="E5335" s="1"/>
      <c r="F5335" s="1"/>
    </row>
    <row r="5336" spans="5:6">
      <c r="E5336" s="1"/>
      <c r="F5336" s="1"/>
    </row>
    <row r="5337" spans="5:6">
      <c r="E5337" s="1"/>
      <c r="F5337" s="1"/>
    </row>
    <row r="5338" spans="5:6">
      <c r="E5338" s="1"/>
      <c r="F5338" s="1"/>
    </row>
    <row r="5339" spans="5:6">
      <c r="E5339" s="1"/>
      <c r="F5339" s="1"/>
    </row>
    <row r="5340" spans="5:6">
      <c r="E5340" s="1"/>
      <c r="F5340" s="1"/>
    </row>
    <row r="5341" spans="5:6">
      <c r="E5341" s="1"/>
      <c r="F5341" s="1"/>
    </row>
    <row r="5342" spans="5:6">
      <c r="E5342" s="1"/>
      <c r="F5342" s="1"/>
    </row>
    <row r="5343" spans="5:6">
      <c r="E5343" s="1"/>
      <c r="F5343" s="1"/>
    </row>
    <row r="5344" spans="5:6">
      <c r="E5344" s="1"/>
      <c r="F5344" s="1"/>
    </row>
    <row r="5345" spans="5:6">
      <c r="E5345" s="1"/>
      <c r="F5345" s="1"/>
    </row>
    <row r="5346" spans="5:6">
      <c r="E5346" s="1"/>
      <c r="F5346" s="1"/>
    </row>
    <row r="5347" spans="5:6">
      <c r="E5347" s="1"/>
      <c r="F5347" s="1"/>
    </row>
    <row r="5348" spans="5:6">
      <c r="E5348" s="1"/>
      <c r="F5348" s="1"/>
    </row>
    <row r="5349" spans="5:6">
      <c r="E5349" s="1"/>
      <c r="F5349" s="1"/>
    </row>
    <row r="5350" spans="5:6">
      <c r="E5350" s="1"/>
      <c r="F5350" s="1"/>
    </row>
    <row r="5351" spans="5:6">
      <c r="E5351" s="1"/>
      <c r="F5351" s="1"/>
    </row>
    <row r="5352" spans="5:6">
      <c r="E5352" s="1"/>
      <c r="F5352" s="1"/>
    </row>
    <row r="5353" spans="5:6">
      <c r="E5353" s="1"/>
      <c r="F5353" s="1"/>
    </row>
    <row r="5354" spans="5:6">
      <c r="E5354" s="1"/>
      <c r="F5354" s="1"/>
    </row>
    <row r="5355" spans="5:6">
      <c r="E5355" s="1"/>
      <c r="F5355" s="1"/>
    </row>
    <row r="5356" spans="5:6">
      <c r="E5356" s="1"/>
      <c r="F5356" s="1"/>
    </row>
    <row r="5357" spans="5:6">
      <c r="E5357" s="1"/>
      <c r="F5357" s="1"/>
    </row>
    <row r="5358" spans="5:6">
      <c r="E5358" s="1"/>
      <c r="F5358" s="1"/>
    </row>
    <row r="5359" spans="5:6">
      <c r="E5359" s="1"/>
      <c r="F5359" s="1"/>
    </row>
    <row r="5360" spans="5:6">
      <c r="E5360" s="1"/>
      <c r="F5360" s="1"/>
    </row>
    <row r="5361" spans="5:6">
      <c r="E5361" s="1"/>
      <c r="F5361" s="1"/>
    </row>
    <row r="5362" spans="5:6">
      <c r="E5362" s="1"/>
      <c r="F5362" s="1"/>
    </row>
    <row r="5363" spans="5:6">
      <c r="E5363" s="1"/>
      <c r="F5363" s="1"/>
    </row>
    <row r="5364" spans="5:6">
      <c r="E5364" s="1"/>
      <c r="F5364" s="1"/>
    </row>
    <row r="5365" spans="5:6">
      <c r="E5365" s="1"/>
      <c r="F5365" s="1"/>
    </row>
    <row r="5366" spans="5:6">
      <c r="E5366" s="1"/>
      <c r="F5366" s="1"/>
    </row>
    <row r="5367" spans="5:6">
      <c r="E5367" s="1"/>
      <c r="F5367" s="1"/>
    </row>
    <row r="5368" spans="5:6">
      <c r="E5368" s="1"/>
      <c r="F5368" s="1"/>
    </row>
    <row r="5369" spans="5:6">
      <c r="E5369" s="1"/>
      <c r="F5369" s="1"/>
    </row>
    <row r="5370" spans="5:6">
      <c r="E5370" s="1"/>
      <c r="F5370" s="1"/>
    </row>
    <row r="5371" spans="5:6">
      <c r="E5371" s="1"/>
      <c r="F5371" s="1"/>
    </row>
    <row r="5372" spans="5:6">
      <c r="E5372" s="1"/>
      <c r="F5372" s="1"/>
    </row>
    <row r="5373" spans="5:6">
      <c r="E5373" s="1"/>
      <c r="F5373" s="1"/>
    </row>
    <row r="5374" spans="5:6">
      <c r="E5374" s="1"/>
      <c r="F5374" s="1"/>
    </row>
    <row r="5375" spans="5:6">
      <c r="E5375" s="1"/>
      <c r="F5375" s="1"/>
    </row>
    <row r="5376" spans="5:6">
      <c r="E5376" s="1"/>
      <c r="F5376" s="1"/>
    </row>
    <row r="5377" spans="5:6">
      <c r="E5377" s="1"/>
      <c r="F5377" s="1"/>
    </row>
    <row r="5378" spans="5:6">
      <c r="E5378" s="1"/>
      <c r="F5378" s="1"/>
    </row>
    <row r="5379" spans="5:6">
      <c r="E5379" s="1"/>
      <c r="F5379" s="1"/>
    </row>
    <row r="5380" spans="5:6">
      <c r="E5380" s="1"/>
      <c r="F5380" s="1"/>
    </row>
    <row r="5381" spans="5:6">
      <c r="E5381" s="1"/>
      <c r="F5381" s="1"/>
    </row>
    <row r="5382" spans="5:6">
      <c r="E5382" s="1"/>
      <c r="F5382" s="1"/>
    </row>
    <row r="5383" spans="5:6">
      <c r="E5383" s="1"/>
      <c r="F5383" s="1"/>
    </row>
    <row r="5384" spans="5:6">
      <c r="E5384" s="1"/>
      <c r="F5384" s="1"/>
    </row>
    <row r="5385" spans="5:6">
      <c r="E5385" s="1"/>
      <c r="F5385" s="1"/>
    </row>
    <row r="5386" spans="5:6">
      <c r="E5386" s="1"/>
      <c r="F5386" s="1"/>
    </row>
    <row r="5387" spans="5:6">
      <c r="E5387" s="1"/>
      <c r="F5387" s="1"/>
    </row>
    <row r="5388" spans="5:6">
      <c r="E5388" s="1"/>
      <c r="F5388" s="1"/>
    </row>
    <row r="5389" spans="5:6">
      <c r="E5389" s="1"/>
      <c r="F5389" s="1"/>
    </row>
    <row r="5390" spans="5:6">
      <c r="E5390" s="1"/>
      <c r="F5390" s="1"/>
    </row>
    <row r="5391" spans="5:6">
      <c r="E5391" s="1"/>
      <c r="F5391" s="1"/>
    </row>
    <row r="5392" spans="5:6">
      <c r="E5392" s="1"/>
      <c r="F5392" s="1"/>
    </row>
    <row r="5393" spans="5:6">
      <c r="E5393" s="1"/>
      <c r="F5393" s="1"/>
    </row>
    <row r="5394" spans="5:6">
      <c r="E5394" s="1"/>
      <c r="F5394" s="1"/>
    </row>
    <row r="5395" spans="5:6">
      <c r="E5395" s="1"/>
      <c r="F5395" s="1"/>
    </row>
    <row r="5396" spans="5:6">
      <c r="E5396" s="1"/>
      <c r="F5396" s="1"/>
    </row>
    <row r="5397" spans="5:6">
      <c r="E5397" s="1"/>
      <c r="F5397" s="1"/>
    </row>
    <row r="5398" spans="5:6">
      <c r="E5398" s="1"/>
      <c r="F5398" s="1"/>
    </row>
    <row r="5399" spans="5:6">
      <c r="E5399" s="1"/>
      <c r="F5399" s="1"/>
    </row>
    <row r="5400" spans="5:6">
      <c r="E5400" s="1"/>
      <c r="F5400" s="1"/>
    </row>
    <row r="5401" spans="5:6">
      <c r="E5401" s="1"/>
      <c r="F5401" s="1"/>
    </row>
    <row r="5402" spans="5:6">
      <c r="E5402" s="1"/>
      <c r="F5402" s="1"/>
    </row>
    <row r="5403" spans="5:6">
      <c r="E5403" s="1"/>
      <c r="F5403" s="1"/>
    </row>
    <row r="5404" spans="5:6">
      <c r="E5404" s="1"/>
      <c r="F5404" s="1"/>
    </row>
    <row r="5405" spans="5:6">
      <c r="E5405" s="1"/>
      <c r="F5405" s="1"/>
    </row>
    <row r="5406" spans="5:6">
      <c r="E5406" s="1"/>
      <c r="F5406" s="1"/>
    </row>
    <row r="5407" spans="5:6">
      <c r="E5407" s="1"/>
      <c r="F5407" s="1"/>
    </row>
    <row r="5408" spans="5:6">
      <c r="E5408" s="1"/>
      <c r="F5408" s="1"/>
    </row>
    <row r="5409" spans="5:6">
      <c r="E5409" s="1"/>
      <c r="F5409" s="1"/>
    </row>
    <row r="5410" spans="5:6">
      <c r="E5410" s="1"/>
      <c r="F5410" s="1"/>
    </row>
    <row r="5411" spans="5:6">
      <c r="E5411" s="1"/>
      <c r="F5411" s="1"/>
    </row>
    <row r="5412" spans="5:6">
      <c r="E5412" s="1"/>
      <c r="F5412" s="1"/>
    </row>
    <row r="5413" spans="5:6">
      <c r="E5413" s="1"/>
      <c r="F5413" s="1"/>
    </row>
    <row r="5414" spans="5:6">
      <c r="E5414" s="1"/>
      <c r="F5414" s="1"/>
    </row>
    <row r="5415" spans="5:6">
      <c r="E5415" s="1"/>
      <c r="F5415" s="1"/>
    </row>
    <row r="5416" spans="5:6">
      <c r="E5416" s="1"/>
      <c r="F5416" s="1"/>
    </row>
    <row r="5417" spans="5:6">
      <c r="E5417" s="1"/>
      <c r="F5417" s="1"/>
    </row>
    <row r="5418" spans="5:6">
      <c r="E5418" s="1"/>
      <c r="F5418" s="1"/>
    </row>
    <row r="5419" spans="5:6">
      <c r="E5419" s="1"/>
      <c r="F5419" s="1"/>
    </row>
    <row r="5420" spans="5:6">
      <c r="E5420" s="1"/>
      <c r="F5420" s="1"/>
    </row>
    <row r="5421" spans="5:6">
      <c r="E5421" s="1"/>
      <c r="F5421" s="1"/>
    </row>
    <row r="5422" spans="5:6">
      <c r="E5422" s="1"/>
      <c r="F5422" s="1"/>
    </row>
    <row r="5423" spans="5:6">
      <c r="E5423" s="1"/>
      <c r="F5423" s="1"/>
    </row>
    <row r="5424" spans="5:6">
      <c r="E5424" s="1"/>
      <c r="F5424" s="1"/>
    </row>
    <row r="5425" spans="5:6">
      <c r="E5425" s="1"/>
      <c r="F5425" s="1"/>
    </row>
    <row r="5426" spans="5:6">
      <c r="E5426" s="1"/>
      <c r="F5426" s="1"/>
    </row>
    <row r="5427" spans="5:6">
      <c r="E5427" s="1"/>
      <c r="F5427" s="1"/>
    </row>
    <row r="5428" spans="5:6">
      <c r="E5428" s="1"/>
      <c r="F5428" s="1"/>
    </row>
    <row r="5429" spans="5:6">
      <c r="E5429" s="1"/>
      <c r="F5429" s="1"/>
    </row>
    <row r="5430" spans="5:6">
      <c r="E5430" s="1"/>
      <c r="F5430" s="1"/>
    </row>
    <row r="5431" spans="5:6">
      <c r="E5431" s="1"/>
      <c r="F5431" s="1"/>
    </row>
    <row r="5432" spans="5:6">
      <c r="E5432" s="1"/>
      <c r="F5432" s="1"/>
    </row>
    <row r="5433" spans="5:6">
      <c r="E5433" s="1"/>
      <c r="F5433" s="1"/>
    </row>
    <row r="5434" spans="5:6">
      <c r="E5434" s="1"/>
      <c r="F5434" s="1"/>
    </row>
    <row r="5435" spans="5:6">
      <c r="E5435" s="1"/>
      <c r="F5435" s="1"/>
    </row>
    <row r="5436" spans="5:6">
      <c r="E5436" s="1"/>
      <c r="F5436" s="1"/>
    </row>
    <row r="5437" spans="5:6">
      <c r="E5437" s="1"/>
      <c r="F5437" s="1"/>
    </row>
    <row r="5438" spans="5:6">
      <c r="E5438" s="1"/>
      <c r="F5438" s="1"/>
    </row>
    <row r="5439" spans="5:6">
      <c r="E5439" s="1"/>
      <c r="F5439" s="1"/>
    </row>
    <row r="5440" spans="5:6">
      <c r="E5440" s="1"/>
      <c r="F5440" s="1"/>
    </row>
    <row r="5441" spans="5:6">
      <c r="E5441" s="1"/>
      <c r="F5441" s="1"/>
    </row>
    <row r="5442" spans="5:6">
      <c r="E5442" s="1"/>
      <c r="F5442" s="1"/>
    </row>
    <row r="5443" spans="5:6">
      <c r="E5443" s="1"/>
      <c r="F5443" s="1"/>
    </row>
    <row r="5444" spans="5:6">
      <c r="E5444" s="1"/>
      <c r="F5444" s="1"/>
    </row>
    <row r="5445" spans="5:6">
      <c r="E5445" s="1"/>
      <c r="F5445" s="1"/>
    </row>
    <row r="5446" spans="5:6">
      <c r="E5446" s="1"/>
      <c r="F5446" s="1"/>
    </row>
    <row r="5447" spans="5:6">
      <c r="E5447" s="1"/>
      <c r="F5447" s="1"/>
    </row>
    <row r="5448" spans="5:6">
      <c r="E5448" s="1"/>
      <c r="F5448" s="1"/>
    </row>
    <row r="5449" spans="5:6">
      <c r="E5449" s="1"/>
      <c r="F5449" s="1"/>
    </row>
    <row r="5450" spans="5:6">
      <c r="E5450" s="1"/>
      <c r="F5450" s="1"/>
    </row>
    <row r="5451" spans="5:6">
      <c r="E5451" s="1"/>
      <c r="F5451" s="1"/>
    </row>
    <row r="5452" spans="5:6">
      <c r="E5452" s="1"/>
      <c r="F5452" s="1"/>
    </row>
    <row r="5453" spans="5:6">
      <c r="E5453" s="1"/>
      <c r="F5453" s="1"/>
    </row>
    <row r="5454" spans="5:6">
      <c r="E5454" s="1"/>
      <c r="F5454" s="1"/>
    </row>
    <row r="5455" spans="5:6">
      <c r="E5455" s="1"/>
      <c r="F5455" s="1"/>
    </row>
    <row r="5456" spans="5:6">
      <c r="E5456" s="1"/>
      <c r="F5456" s="1"/>
    </row>
    <row r="5457" spans="5:6">
      <c r="E5457" s="1"/>
      <c r="F5457" s="1"/>
    </row>
    <row r="5458" spans="5:6">
      <c r="E5458" s="1"/>
      <c r="F5458" s="1"/>
    </row>
    <row r="5459" spans="5:6">
      <c r="E5459" s="1"/>
      <c r="F5459" s="1"/>
    </row>
    <row r="5460" spans="5:6">
      <c r="E5460" s="1"/>
      <c r="F5460" s="1"/>
    </row>
    <row r="5461" spans="5:6">
      <c r="E5461" s="1"/>
      <c r="F5461" s="1"/>
    </row>
    <row r="5462" spans="5:6">
      <c r="E5462" s="1"/>
      <c r="F5462" s="1"/>
    </row>
    <row r="5463" spans="5:6">
      <c r="E5463" s="1"/>
      <c r="F5463" s="1"/>
    </row>
    <row r="5464" spans="5:6">
      <c r="E5464" s="1"/>
      <c r="F5464" s="1"/>
    </row>
    <row r="5465" spans="5:6">
      <c r="E5465" s="1"/>
      <c r="F5465" s="1"/>
    </row>
    <row r="5466" spans="5:6">
      <c r="E5466" s="1"/>
      <c r="F5466" s="1"/>
    </row>
    <row r="5467" spans="5:6">
      <c r="E5467" s="1"/>
      <c r="F5467" s="1"/>
    </row>
    <row r="5468" spans="5:6">
      <c r="E5468" s="1"/>
      <c r="F5468" s="1"/>
    </row>
    <row r="5469" spans="5:6">
      <c r="E5469" s="1"/>
      <c r="F5469" s="1"/>
    </row>
    <row r="5470" spans="5:6">
      <c r="E5470" s="1"/>
      <c r="F5470" s="1"/>
    </row>
    <row r="5471" spans="5:6">
      <c r="E5471" s="1"/>
      <c r="F5471" s="1"/>
    </row>
    <row r="5472" spans="5:6">
      <c r="E5472" s="1"/>
      <c r="F5472" s="1"/>
    </row>
    <row r="5473" spans="5:6">
      <c r="E5473" s="1"/>
      <c r="F5473" s="1"/>
    </row>
    <row r="5474" spans="5:6">
      <c r="E5474" s="1"/>
      <c r="F5474" s="1"/>
    </row>
    <row r="5475" spans="5:6">
      <c r="E5475" s="1"/>
      <c r="F5475" s="1"/>
    </row>
    <row r="5476" spans="5:6">
      <c r="E5476" s="1"/>
      <c r="F5476" s="1"/>
    </row>
    <row r="5477" spans="5:6">
      <c r="E5477" s="1"/>
      <c r="F5477" s="1"/>
    </row>
    <row r="5478" spans="5:6">
      <c r="E5478" s="1"/>
      <c r="F5478" s="1"/>
    </row>
    <row r="5479" spans="5:6">
      <c r="E5479" s="1"/>
      <c r="F5479" s="1"/>
    </row>
    <row r="5480" spans="5:6">
      <c r="E5480" s="1"/>
      <c r="F5480" s="1"/>
    </row>
    <row r="5481" spans="5:6">
      <c r="E5481" s="1"/>
      <c r="F5481" s="1"/>
    </row>
    <row r="5482" spans="5:6">
      <c r="E5482" s="1"/>
      <c r="F5482" s="1"/>
    </row>
    <row r="5483" spans="5:6">
      <c r="E5483" s="1"/>
      <c r="F5483" s="1"/>
    </row>
    <row r="5484" spans="5:6">
      <c r="E5484" s="1"/>
      <c r="F5484" s="1"/>
    </row>
    <row r="5485" spans="5:6">
      <c r="E5485" s="1"/>
      <c r="F5485" s="1"/>
    </row>
    <row r="5486" spans="5:6">
      <c r="E5486" s="1"/>
      <c r="F5486" s="1"/>
    </row>
    <row r="5487" spans="5:6">
      <c r="E5487" s="1"/>
      <c r="F5487" s="1"/>
    </row>
    <row r="5488" spans="5:6">
      <c r="E5488" s="1"/>
      <c r="F5488" s="1"/>
    </row>
    <row r="5489" spans="5:6">
      <c r="E5489" s="1"/>
      <c r="F5489" s="1"/>
    </row>
    <row r="5490" spans="5:6">
      <c r="E5490" s="1"/>
      <c r="F5490" s="1"/>
    </row>
    <row r="5491" spans="5:6">
      <c r="E5491" s="1"/>
      <c r="F5491" s="1"/>
    </row>
    <row r="5492" spans="5:6">
      <c r="E5492" s="1"/>
      <c r="F5492" s="1"/>
    </row>
    <row r="5493" spans="5:6">
      <c r="E5493" s="1"/>
      <c r="F5493" s="1"/>
    </row>
    <row r="5494" spans="5:6">
      <c r="E5494" s="1"/>
      <c r="F5494" s="1"/>
    </row>
    <row r="5495" spans="5:6">
      <c r="E5495" s="1"/>
      <c r="F5495" s="1"/>
    </row>
    <row r="5496" spans="5:6">
      <c r="E5496" s="1"/>
      <c r="F5496" s="1"/>
    </row>
    <row r="5497" spans="5:6">
      <c r="E5497" s="1"/>
      <c r="F5497" s="1"/>
    </row>
    <row r="5498" spans="5:6">
      <c r="E5498" s="1"/>
      <c r="F5498" s="1"/>
    </row>
    <row r="5499" spans="5:6">
      <c r="E5499" s="1"/>
      <c r="F5499" s="1"/>
    </row>
    <row r="5500" spans="5:6">
      <c r="E5500" s="1"/>
      <c r="F5500" s="1"/>
    </row>
    <row r="5501" spans="5:6">
      <c r="E5501" s="1"/>
      <c r="F5501" s="1"/>
    </row>
    <row r="5502" spans="5:6">
      <c r="E5502" s="1"/>
      <c r="F5502" s="1"/>
    </row>
    <row r="5503" spans="5:6">
      <c r="E5503" s="1"/>
      <c r="F5503" s="1"/>
    </row>
    <row r="5504" spans="5:6">
      <c r="E5504" s="1"/>
      <c r="F5504" s="1"/>
    </row>
    <row r="5505" spans="5:6">
      <c r="E5505" s="1"/>
      <c r="F5505" s="1"/>
    </row>
    <row r="5506" spans="5:6">
      <c r="E5506" s="1"/>
      <c r="F5506" s="1"/>
    </row>
    <row r="5507" spans="5:6">
      <c r="E5507" s="1"/>
      <c r="F5507" s="1"/>
    </row>
    <row r="5508" spans="5:6">
      <c r="E5508" s="1"/>
      <c r="F5508" s="1"/>
    </row>
    <row r="5509" spans="5:6">
      <c r="E5509" s="1"/>
      <c r="F5509" s="1"/>
    </row>
    <row r="5510" spans="5:6">
      <c r="E5510" s="1"/>
      <c r="F5510" s="1"/>
    </row>
    <row r="5511" spans="5:6">
      <c r="E5511" s="1"/>
      <c r="F5511" s="1"/>
    </row>
    <row r="5512" spans="5:6">
      <c r="E5512" s="1"/>
      <c r="F5512" s="1"/>
    </row>
    <row r="5513" spans="5:6">
      <c r="E5513" s="1"/>
      <c r="F5513" s="1"/>
    </row>
    <row r="5514" spans="5:6">
      <c r="E5514" s="1"/>
      <c r="F5514" s="1"/>
    </row>
    <row r="5515" spans="5:6">
      <c r="E5515" s="1"/>
      <c r="F5515" s="1"/>
    </row>
    <row r="5516" spans="5:6">
      <c r="E5516" s="1"/>
      <c r="F5516" s="1"/>
    </row>
    <row r="5517" spans="5:6">
      <c r="E5517" s="1"/>
      <c r="F5517" s="1"/>
    </row>
    <row r="5518" spans="5:6">
      <c r="E5518" s="1"/>
      <c r="F5518" s="1"/>
    </row>
    <row r="5519" spans="5:6">
      <c r="E5519" s="1"/>
      <c r="F5519" s="1"/>
    </row>
    <row r="5520" spans="5:6">
      <c r="E5520" s="1"/>
      <c r="F5520" s="1"/>
    </row>
    <row r="5521" spans="5:6">
      <c r="E5521" s="1"/>
      <c r="F5521" s="1"/>
    </row>
    <row r="5522" spans="5:6">
      <c r="E5522" s="1"/>
      <c r="F5522" s="1"/>
    </row>
    <row r="5523" spans="5:6">
      <c r="E5523" s="1"/>
      <c r="F5523" s="1"/>
    </row>
    <row r="5524" spans="5:6">
      <c r="E5524" s="1"/>
      <c r="F5524" s="1"/>
    </row>
    <row r="5525" spans="5:6">
      <c r="E5525" s="1"/>
      <c r="F5525" s="1"/>
    </row>
    <row r="5526" spans="5:6">
      <c r="E5526" s="1"/>
      <c r="F5526" s="1"/>
    </row>
    <row r="5527" spans="5:6">
      <c r="E5527" s="1"/>
      <c r="F5527" s="1"/>
    </row>
    <row r="5528" spans="5:6">
      <c r="E5528" s="1"/>
      <c r="F5528" s="1"/>
    </row>
    <row r="5529" spans="5:6">
      <c r="E5529" s="1"/>
      <c r="F5529" s="1"/>
    </row>
    <row r="5530" spans="5:6">
      <c r="E5530" s="1"/>
      <c r="F5530" s="1"/>
    </row>
    <row r="5531" spans="5:6">
      <c r="E5531" s="1"/>
      <c r="F5531" s="1"/>
    </row>
    <row r="5532" spans="5:6">
      <c r="E5532" s="1"/>
      <c r="F5532" s="1"/>
    </row>
    <row r="5533" spans="5:6">
      <c r="E5533" s="1"/>
      <c r="F5533" s="1"/>
    </row>
    <row r="5534" spans="5:6">
      <c r="E5534" s="1"/>
      <c r="F5534" s="1"/>
    </row>
    <row r="5535" spans="5:6">
      <c r="E5535" s="1"/>
      <c r="F5535" s="1"/>
    </row>
    <row r="5536" spans="5:6">
      <c r="E5536" s="1"/>
      <c r="F5536" s="1"/>
    </row>
    <row r="5537" spans="5:6">
      <c r="E5537" s="1"/>
      <c r="F5537" s="1"/>
    </row>
    <row r="5538" spans="5:6">
      <c r="E5538" s="1"/>
      <c r="F5538" s="1"/>
    </row>
    <row r="5539" spans="5:6">
      <c r="E5539" s="1"/>
      <c r="F5539" s="1"/>
    </row>
    <row r="5540" spans="5:6">
      <c r="E5540" s="1"/>
      <c r="F5540" s="1"/>
    </row>
    <row r="5541" spans="5:6">
      <c r="E5541" s="1"/>
      <c r="F5541" s="1"/>
    </row>
    <row r="5542" spans="5:6">
      <c r="E5542" s="1"/>
      <c r="F5542" s="1"/>
    </row>
    <row r="5543" spans="5:6">
      <c r="E5543" s="1"/>
      <c r="F5543" s="1"/>
    </row>
    <row r="5544" spans="5:6">
      <c r="E5544" s="1"/>
      <c r="F5544" s="1"/>
    </row>
    <row r="5545" spans="5:6">
      <c r="E5545" s="1"/>
      <c r="F5545" s="1"/>
    </row>
    <row r="5546" spans="5:6">
      <c r="E5546" s="1"/>
      <c r="F5546" s="1"/>
    </row>
    <row r="5547" spans="5:6">
      <c r="E5547" s="1"/>
      <c r="F5547" s="1"/>
    </row>
    <row r="5548" spans="5:6">
      <c r="E5548" s="1"/>
      <c r="F5548" s="1"/>
    </row>
    <row r="5549" spans="5:6">
      <c r="E5549" s="1"/>
      <c r="F5549" s="1"/>
    </row>
    <row r="5550" spans="5:6">
      <c r="E5550" s="1"/>
      <c r="F5550" s="1"/>
    </row>
    <row r="5551" spans="5:6">
      <c r="E5551" s="1"/>
      <c r="F5551" s="1"/>
    </row>
    <row r="5552" spans="5:6">
      <c r="E5552" s="1"/>
      <c r="F5552" s="1"/>
    </row>
    <row r="5553" spans="5:6">
      <c r="E5553" s="1"/>
      <c r="F5553" s="1"/>
    </row>
    <row r="5554" spans="5:6">
      <c r="E5554" s="1"/>
      <c r="F5554" s="1"/>
    </row>
    <row r="5555" spans="5:6">
      <c r="E5555" s="1"/>
      <c r="F5555" s="1"/>
    </row>
    <row r="5556" spans="5:6">
      <c r="E5556" s="1"/>
      <c r="F5556" s="1"/>
    </row>
    <row r="5557" spans="5:6">
      <c r="E5557" s="1"/>
      <c r="F5557" s="1"/>
    </row>
    <row r="5558" spans="5:6">
      <c r="E5558" s="1"/>
      <c r="F5558" s="1"/>
    </row>
    <row r="5559" spans="5:6">
      <c r="E5559" s="1"/>
      <c r="F5559" s="1"/>
    </row>
    <row r="5560" spans="5:6">
      <c r="E5560" s="1"/>
      <c r="F5560" s="1"/>
    </row>
    <row r="5561" spans="5:6">
      <c r="E5561" s="1"/>
      <c r="F5561" s="1"/>
    </row>
    <row r="5562" spans="5:6">
      <c r="E5562" s="1"/>
      <c r="F5562" s="1"/>
    </row>
    <row r="5563" spans="5:6">
      <c r="E5563" s="1"/>
      <c r="F5563" s="1"/>
    </row>
    <row r="5564" spans="5:6">
      <c r="E5564" s="1"/>
      <c r="F5564" s="1"/>
    </row>
    <row r="5565" spans="5:6">
      <c r="E5565" s="1"/>
      <c r="F5565" s="1"/>
    </row>
    <row r="5566" spans="5:6">
      <c r="E5566" s="1"/>
      <c r="F5566" s="1"/>
    </row>
    <row r="5567" spans="5:6">
      <c r="E5567" s="1"/>
      <c r="F5567" s="1"/>
    </row>
    <row r="5568" spans="5:6">
      <c r="E5568" s="1"/>
      <c r="F5568" s="1"/>
    </row>
    <row r="5569" spans="5:6">
      <c r="E5569" s="1"/>
      <c r="F5569" s="1"/>
    </row>
    <row r="5570" spans="5:6">
      <c r="E5570" s="1"/>
      <c r="F5570" s="1"/>
    </row>
    <row r="5571" spans="5:6">
      <c r="E5571" s="1"/>
      <c r="F5571" s="1"/>
    </row>
    <row r="5572" spans="5:6">
      <c r="E5572" s="1"/>
      <c r="F5572" s="1"/>
    </row>
    <row r="5573" spans="5:6">
      <c r="E5573" s="1"/>
      <c r="F5573" s="1"/>
    </row>
    <row r="5574" spans="5:6">
      <c r="E5574" s="1"/>
      <c r="F5574" s="1"/>
    </row>
    <row r="5575" spans="5:6">
      <c r="E5575" s="1"/>
      <c r="F5575" s="1"/>
    </row>
    <row r="5576" spans="5:6">
      <c r="E5576" s="1"/>
      <c r="F5576" s="1"/>
    </row>
    <row r="5577" spans="5:6">
      <c r="E5577" s="1"/>
      <c r="F5577" s="1"/>
    </row>
    <row r="5578" spans="5:6">
      <c r="E5578" s="1"/>
      <c r="F5578" s="1"/>
    </row>
    <row r="5579" spans="5:6">
      <c r="E5579" s="1"/>
      <c r="F5579" s="1"/>
    </row>
    <row r="5580" spans="5:6">
      <c r="E5580" s="1"/>
      <c r="F5580" s="1"/>
    </row>
    <row r="5581" spans="5:6">
      <c r="E5581" s="1"/>
      <c r="F5581" s="1"/>
    </row>
    <row r="5582" spans="5:6">
      <c r="E5582" s="1"/>
      <c r="F5582" s="1"/>
    </row>
    <row r="5583" spans="5:6">
      <c r="E5583" s="1"/>
      <c r="F5583" s="1"/>
    </row>
    <row r="5584" spans="5:6">
      <c r="E5584" s="1"/>
      <c r="F5584" s="1"/>
    </row>
    <row r="5585" spans="5:6">
      <c r="E5585" s="1"/>
      <c r="F5585" s="1"/>
    </row>
    <row r="5586" spans="5:6">
      <c r="E5586" s="1"/>
      <c r="F5586" s="1"/>
    </row>
    <row r="5587" spans="5:6">
      <c r="E5587" s="1"/>
      <c r="F5587" s="1"/>
    </row>
    <row r="5588" spans="5:6">
      <c r="E5588" s="1"/>
      <c r="F5588" s="1"/>
    </row>
    <row r="5589" spans="5:6">
      <c r="E5589" s="1"/>
      <c r="F5589" s="1"/>
    </row>
    <row r="5590" spans="5:6">
      <c r="E5590" s="1"/>
      <c r="F5590" s="1"/>
    </row>
    <row r="5591" spans="5:6">
      <c r="E5591" s="1"/>
      <c r="F5591" s="1"/>
    </row>
    <row r="5592" spans="5:6">
      <c r="E5592" s="1"/>
      <c r="F5592" s="1"/>
    </row>
    <row r="5593" spans="5:6">
      <c r="E5593" s="1"/>
      <c r="F5593" s="1"/>
    </row>
    <row r="5594" spans="5:6">
      <c r="E5594" s="1"/>
      <c r="F5594" s="1"/>
    </row>
    <row r="5595" spans="5:6">
      <c r="E5595" s="1"/>
      <c r="F5595" s="1"/>
    </row>
    <row r="5596" spans="5:6">
      <c r="E5596" s="1"/>
      <c r="F5596" s="1"/>
    </row>
    <row r="5597" spans="5:6">
      <c r="E5597" s="1"/>
      <c r="F5597" s="1"/>
    </row>
    <row r="5598" spans="5:6">
      <c r="E5598" s="1"/>
      <c r="F5598" s="1"/>
    </row>
    <row r="5599" spans="5:6">
      <c r="E5599" s="1"/>
      <c r="F5599" s="1"/>
    </row>
    <row r="5600" spans="5:6">
      <c r="E5600" s="1"/>
      <c r="F5600" s="1"/>
    </row>
    <row r="5601" spans="5:6">
      <c r="E5601" s="1"/>
      <c r="F5601" s="1"/>
    </row>
    <row r="5602" spans="5:6">
      <c r="E5602" s="1"/>
      <c r="F5602" s="1"/>
    </row>
    <row r="5603" spans="5:6">
      <c r="E5603" s="1"/>
      <c r="F5603" s="1"/>
    </row>
    <row r="5604" spans="5:6">
      <c r="E5604" s="1"/>
      <c r="F5604" s="1"/>
    </row>
    <row r="5605" spans="5:6">
      <c r="E5605" s="1"/>
      <c r="F5605" s="1"/>
    </row>
    <row r="5606" spans="5:6">
      <c r="E5606" s="1"/>
      <c r="F5606" s="1"/>
    </row>
    <row r="5607" spans="5:6">
      <c r="E5607" s="1"/>
      <c r="F5607" s="1"/>
    </row>
    <row r="5608" spans="5:6">
      <c r="E5608" s="1"/>
      <c r="F5608" s="1"/>
    </row>
    <row r="5609" spans="5:6">
      <c r="E5609" s="1"/>
      <c r="F5609" s="1"/>
    </row>
    <row r="5610" spans="5:6">
      <c r="E5610" s="1"/>
      <c r="F5610" s="1"/>
    </row>
    <row r="5611" spans="5:6">
      <c r="E5611" s="1"/>
      <c r="F5611" s="1"/>
    </row>
    <row r="5612" spans="5:6">
      <c r="E5612" s="1"/>
      <c r="F5612" s="1"/>
    </row>
    <row r="5613" spans="5:6">
      <c r="E5613" s="1"/>
      <c r="F5613" s="1"/>
    </row>
    <row r="5614" spans="5:6">
      <c r="E5614" s="1"/>
      <c r="F5614" s="1"/>
    </row>
    <row r="5615" spans="5:6">
      <c r="E5615" s="1"/>
      <c r="F5615" s="1"/>
    </row>
    <row r="5616" spans="5:6">
      <c r="E5616" s="1"/>
      <c r="F5616" s="1"/>
    </row>
    <row r="5617" spans="5:6">
      <c r="E5617" s="1"/>
      <c r="F5617" s="1"/>
    </row>
    <row r="5618" spans="5:6">
      <c r="E5618" s="1"/>
      <c r="F5618" s="1"/>
    </row>
    <row r="5619" spans="5:6">
      <c r="E5619" s="1"/>
      <c r="F5619" s="1"/>
    </row>
    <row r="5620" spans="5:6">
      <c r="E5620" s="1"/>
      <c r="F5620" s="1"/>
    </row>
    <row r="5621" spans="5:6">
      <c r="E5621" s="1"/>
      <c r="F5621" s="1"/>
    </row>
    <row r="5622" spans="5:6">
      <c r="E5622" s="1"/>
      <c r="F5622" s="1"/>
    </row>
    <row r="5623" spans="5:6">
      <c r="E5623" s="1"/>
      <c r="F5623" s="1"/>
    </row>
    <row r="5624" spans="5:6">
      <c r="E5624" s="1"/>
      <c r="F5624" s="1"/>
    </row>
    <row r="5625" spans="5:6">
      <c r="E5625" s="1"/>
      <c r="F5625" s="1"/>
    </row>
    <row r="5626" spans="5:6">
      <c r="E5626" s="1"/>
      <c r="F5626" s="1"/>
    </row>
    <row r="5627" spans="5:6">
      <c r="E5627" s="1"/>
      <c r="F5627" s="1"/>
    </row>
    <row r="5628" spans="5:6">
      <c r="E5628" s="1"/>
      <c r="F5628" s="1"/>
    </row>
    <row r="5629" spans="5:6">
      <c r="E5629" s="1"/>
      <c r="F5629" s="1"/>
    </row>
    <row r="5630" spans="5:6">
      <c r="E5630" s="1"/>
      <c r="F5630" s="1"/>
    </row>
    <row r="5631" spans="5:6">
      <c r="E5631" s="1"/>
      <c r="F5631" s="1"/>
    </row>
    <row r="5632" spans="5:6">
      <c r="E5632" s="1"/>
      <c r="F5632" s="1"/>
    </row>
    <row r="5633" spans="5:6">
      <c r="E5633" s="1"/>
      <c r="F5633" s="1"/>
    </row>
    <row r="5634" spans="5:6">
      <c r="E5634" s="1"/>
      <c r="F5634" s="1"/>
    </row>
    <row r="5635" spans="5:6">
      <c r="E5635" s="1"/>
      <c r="F5635" s="1"/>
    </row>
    <row r="5636" spans="5:6">
      <c r="E5636" s="1"/>
      <c r="F5636" s="1"/>
    </row>
    <row r="5637" spans="5:6">
      <c r="E5637" s="1"/>
      <c r="F5637" s="1"/>
    </row>
    <row r="5638" spans="5:6">
      <c r="E5638" s="1"/>
      <c r="F5638" s="1"/>
    </row>
    <row r="5639" spans="5:6">
      <c r="E5639" s="1"/>
      <c r="F5639" s="1"/>
    </row>
    <row r="5640" spans="5:6">
      <c r="E5640" s="1"/>
      <c r="F5640" s="1"/>
    </row>
    <row r="5641" spans="5:6">
      <c r="E5641" s="1"/>
      <c r="F5641" s="1"/>
    </row>
    <row r="5642" spans="5:6">
      <c r="E5642" s="1"/>
      <c r="F5642" s="1"/>
    </row>
    <row r="5643" spans="5:6">
      <c r="E5643" s="1"/>
      <c r="F5643" s="1"/>
    </row>
    <row r="5644" spans="5:6">
      <c r="E5644" s="1"/>
      <c r="F5644" s="1"/>
    </row>
    <row r="5645" spans="5:6">
      <c r="E5645" s="1"/>
      <c r="F5645" s="1"/>
    </row>
    <row r="5646" spans="5:6">
      <c r="E5646" s="1"/>
      <c r="F5646" s="1"/>
    </row>
    <row r="5647" spans="5:6">
      <c r="E5647" s="1"/>
      <c r="F5647" s="1"/>
    </row>
    <row r="5648" spans="5:6">
      <c r="E5648" s="1"/>
      <c r="F5648" s="1"/>
    </row>
    <row r="5649" spans="5:6">
      <c r="E5649" s="1"/>
      <c r="F5649" s="1"/>
    </row>
    <row r="5650" spans="5:6">
      <c r="E5650" s="1"/>
      <c r="F5650" s="1"/>
    </row>
    <row r="5651" spans="5:6">
      <c r="E5651" s="1"/>
      <c r="F5651" s="1"/>
    </row>
    <row r="5652" spans="5:6">
      <c r="E5652" s="1"/>
      <c r="F5652" s="1"/>
    </row>
    <row r="5653" spans="5:6">
      <c r="E5653" s="1"/>
      <c r="F5653" s="1"/>
    </row>
    <row r="5654" spans="5:6">
      <c r="E5654" s="1"/>
      <c r="F5654" s="1"/>
    </row>
    <row r="5655" spans="5:6">
      <c r="E5655" s="1"/>
      <c r="F5655" s="1"/>
    </row>
    <row r="5656" spans="5:6">
      <c r="E5656" s="1"/>
      <c r="F5656" s="1"/>
    </row>
    <row r="5657" spans="5:6">
      <c r="E5657" s="1"/>
      <c r="F5657" s="1"/>
    </row>
    <row r="5658" spans="5:6">
      <c r="E5658" s="1"/>
      <c r="F5658" s="1"/>
    </row>
    <row r="5659" spans="5:6">
      <c r="E5659" s="1"/>
      <c r="F5659" s="1"/>
    </row>
    <row r="5660" spans="5:6">
      <c r="E5660" s="1"/>
      <c r="F5660" s="1"/>
    </row>
    <row r="5661" spans="5:6">
      <c r="E5661" s="1"/>
      <c r="F5661" s="1"/>
    </row>
    <row r="5662" spans="5:6">
      <c r="E5662" s="1"/>
      <c r="F5662" s="1"/>
    </row>
    <row r="5663" spans="5:6">
      <c r="E5663" s="1"/>
      <c r="F5663" s="1"/>
    </row>
    <row r="5664" spans="5:6">
      <c r="E5664" s="1"/>
      <c r="F5664" s="1"/>
    </row>
    <row r="5665" spans="5:6">
      <c r="E5665" s="1"/>
      <c r="F5665" s="1"/>
    </row>
    <row r="5666" spans="5:6">
      <c r="E5666" s="1"/>
      <c r="F5666" s="1"/>
    </row>
    <row r="5667" spans="5:6">
      <c r="E5667" s="1"/>
      <c r="F5667" s="1"/>
    </row>
    <row r="5668" spans="5:6">
      <c r="E5668" s="1"/>
      <c r="F5668" s="1"/>
    </row>
    <row r="5669" spans="5:6">
      <c r="E5669" s="1"/>
      <c r="F5669" s="1"/>
    </row>
    <row r="5670" spans="5:6">
      <c r="E5670" s="1"/>
      <c r="F5670" s="1"/>
    </row>
    <row r="5671" spans="5:6">
      <c r="E5671" s="1"/>
      <c r="F5671" s="1"/>
    </row>
    <row r="5672" spans="5:6">
      <c r="E5672" s="1"/>
      <c r="F5672" s="1"/>
    </row>
    <row r="5673" spans="5:6">
      <c r="E5673" s="1"/>
      <c r="F5673" s="1"/>
    </row>
    <row r="5674" spans="5:6">
      <c r="E5674" s="1"/>
      <c r="F5674" s="1"/>
    </row>
    <row r="5675" spans="5:6">
      <c r="E5675" s="1"/>
      <c r="F5675" s="1"/>
    </row>
    <row r="5676" spans="5:6">
      <c r="E5676" s="1"/>
      <c r="F5676" s="1"/>
    </row>
    <row r="5677" spans="5:6">
      <c r="E5677" s="1"/>
      <c r="F5677" s="1"/>
    </row>
    <row r="5678" spans="5:6">
      <c r="E5678" s="1"/>
      <c r="F5678" s="1"/>
    </row>
    <row r="5679" spans="5:6">
      <c r="E5679" s="1"/>
      <c r="F5679" s="1"/>
    </row>
    <row r="5680" spans="5:6">
      <c r="E5680" s="1"/>
      <c r="F5680" s="1"/>
    </row>
    <row r="5681" spans="5:6">
      <c r="E5681" s="1"/>
      <c r="F5681" s="1"/>
    </row>
    <row r="5682" spans="5:6">
      <c r="E5682" s="1"/>
      <c r="F5682" s="1"/>
    </row>
    <row r="5683" spans="5:6">
      <c r="E5683" s="1"/>
      <c r="F5683" s="1"/>
    </row>
    <row r="5684" spans="5:6">
      <c r="E5684" s="1"/>
      <c r="F5684" s="1"/>
    </row>
    <row r="5685" spans="5:6">
      <c r="E5685" s="1"/>
      <c r="F5685" s="1"/>
    </row>
    <row r="5686" spans="5:6">
      <c r="E5686" s="1"/>
      <c r="F5686" s="1"/>
    </row>
    <row r="5687" spans="5:6">
      <c r="E5687" s="1"/>
      <c r="F5687" s="1"/>
    </row>
    <row r="5688" spans="5:6">
      <c r="E5688" s="1"/>
      <c r="F5688" s="1"/>
    </row>
    <row r="5689" spans="5:6">
      <c r="E5689" s="1"/>
      <c r="F5689" s="1"/>
    </row>
    <row r="5690" spans="5:6">
      <c r="E5690" s="1"/>
      <c r="F5690" s="1"/>
    </row>
    <row r="5691" spans="5:6">
      <c r="E5691" s="1"/>
      <c r="F5691" s="1"/>
    </row>
    <row r="5692" spans="5:6">
      <c r="E5692" s="1"/>
      <c r="F5692" s="1"/>
    </row>
    <row r="5693" spans="5:6">
      <c r="E5693" s="1"/>
      <c r="F5693" s="1"/>
    </row>
    <row r="5694" spans="5:6">
      <c r="E5694" s="1"/>
      <c r="F5694" s="1"/>
    </row>
    <row r="5695" spans="5:6">
      <c r="E5695" s="1"/>
      <c r="F5695" s="1"/>
    </row>
    <row r="5696" spans="5:6">
      <c r="E5696" s="1"/>
      <c r="F5696" s="1"/>
    </row>
    <row r="5697" spans="5:6">
      <c r="E5697" s="1"/>
      <c r="F5697" s="1"/>
    </row>
    <row r="5698" spans="5:6">
      <c r="E5698" s="1"/>
      <c r="F5698" s="1"/>
    </row>
    <row r="5699" spans="5:6">
      <c r="E5699" s="1"/>
      <c r="F5699" s="1"/>
    </row>
    <row r="5700" spans="5:6">
      <c r="E5700" s="1"/>
      <c r="F5700" s="1"/>
    </row>
    <row r="5701" spans="5:6">
      <c r="E5701" s="1"/>
      <c r="F5701" s="1"/>
    </row>
    <row r="5702" spans="5:6">
      <c r="E5702" s="1"/>
      <c r="F5702" s="1"/>
    </row>
    <row r="5703" spans="5:6">
      <c r="E5703" s="1"/>
      <c r="F5703" s="1"/>
    </row>
    <row r="5704" spans="5:6">
      <c r="E5704" s="1"/>
      <c r="F5704" s="1"/>
    </row>
    <row r="5705" spans="5:6">
      <c r="E5705" s="1"/>
      <c r="F5705" s="1"/>
    </row>
    <row r="5706" spans="5:6">
      <c r="E5706" s="1"/>
      <c r="F5706" s="1"/>
    </row>
    <row r="5707" spans="5:6">
      <c r="E5707" s="1"/>
      <c r="F5707" s="1"/>
    </row>
    <row r="5708" spans="5:6">
      <c r="E5708" s="1"/>
      <c r="F5708" s="1"/>
    </row>
    <row r="5709" spans="5:6">
      <c r="E5709" s="1"/>
      <c r="F5709" s="1"/>
    </row>
    <row r="5710" spans="5:6">
      <c r="E5710" s="1"/>
      <c r="F5710" s="1"/>
    </row>
    <row r="5711" spans="5:6">
      <c r="E5711" s="1"/>
      <c r="F5711" s="1"/>
    </row>
    <row r="5712" spans="5:6">
      <c r="E5712" s="1"/>
      <c r="F5712" s="1"/>
    </row>
    <row r="5713" spans="5:6">
      <c r="E5713" s="1"/>
      <c r="F5713" s="1"/>
    </row>
    <row r="5714" spans="5:6">
      <c r="E5714" s="1"/>
      <c r="F5714" s="1"/>
    </row>
    <row r="5715" spans="5:6">
      <c r="E5715" s="1"/>
      <c r="F5715" s="1"/>
    </row>
    <row r="5716" spans="5:6">
      <c r="E5716" s="1"/>
      <c r="F5716" s="1"/>
    </row>
    <row r="5717" spans="5:6">
      <c r="E5717" s="1"/>
      <c r="F5717" s="1"/>
    </row>
    <row r="5718" spans="5:6">
      <c r="E5718" s="1"/>
      <c r="F5718" s="1"/>
    </row>
    <row r="5719" spans="5:6">
      <c r="E5719" s="1"/>
      <c r="F5719" s="1"/>
    </row>
    <row r="5720" spans="5:6">
      <c r="E5720" s="1"/>
      <c r="F5720" s="1"/>
    </row>
    <row r="5721" spans="5:6">
      <c r="E5721" s="1"/>
      <c r="F5721" s="1"/>
    </row>
    <row r="5722" spans="5:6">
      <c r="E5722" s="1"/>
      <c r="F5722" s="1"/>
    </row>
    <row r="5723" spans="5:6">
      <c r="E5723" s="1"/>
      <c r="F5723" s="1"/>
    </row>
    <row r="5724" spans="5:6">
      <c r="E5724" s="1"/>
      <c r="F5724" s="1"/>
    </row>
    <row r="5725" spans="5:6">
      <c r="E5725" s="1"/>
      <c r="F5725" s="1"/>
    </row>
    <row r="5726" spans="5:6">
      <c r="E5726" s="1"/>
      <c r="F5726" s="1"/>
    </row>
    <row r="5727" spans="5:6">
      <c r="E5727" s="1"/>
      <c r="F5727" s="1"/>
    </row>
    <row r="5728" spans="5:6">
      <c r="E5728" s="1"/>
      <c r="F5728" s="1"/>
    </row>
    <row r="5729" spans="5:6">
      <c r="E5729" s="1"/>
      <c r="F5729" s="1"/>
    </row>
    <row r="5730" spans="5:6">
      <c r="E5730" s="1"/>
      <c r="F5730" s="1"/>
    </row>
    <row r="5731" spans="5:6">
      <c r="E5731" s="1"/>
      <c r="F5731" s="1"/>
    </row>
    <row r="5732" spans="5:6">
      <c r="E5732" s="1"/>
      <c r="F5732" s="1"/>
    </row>
    <row r="5733" spans="5:6">
      <c r="E5733" s="1"/>
      <c r="F5733" s="1"/>
    </row>
    <row r="5734" spans="5:6">
      <c r="E5734" s="1"/>
      <c r="F5734" s="1"/>
    </row>
    <row r="5735" spans="5:6">
      <c r="E5735" s="1"/>
      <c r="F5735" s="1"/>
    </row>
    <row r="5736" spans="5:6">
      <c r="E5736" s="1"/>
      <c r="F5736" s="1"/>
    </row>
    <row r="5737" spans="5:6">
      <c r="E5737" s="1"/>
      <c r="F5737" s="1"/>
    </row>
    <row r="5738" spans="5:6">
      <c r="E5738" s="1"/>
      <c r="F5738" s="1"/>
    </row>
    <row r="5739" spans="5:6">
      <c r="E5739" s="1"/>
      <c r="F5739" s="1"/>
    </row>
    <row r="5740" spans="5:6">
      <c r="E5740" s="1"/>
      <c r="F5740" s="1"/>
    </row>
    <row r="5741" spans="5:6">
      <c r="E5741" s="1"/>
      <c r="F5741" s="1"/>
    </row>
    <row r="5742" spans="5:6">
      <c r="E5742" s="1"/>
      <c r="F5742" s="1"/>
    </row>
    <row r="5743" spans="5:6">
      <c r="E5743" s="1"/>
      <c r="F5743" s="1"/>
    </row>
    <row r="5744" spans="5:6">
      <c r="E5744" s="1"/>
      <c r="F5744" s="1"/>
    </row>
    <row r="5745" spans="5:6">
      <c r="E5745" s="1"/>
      <c r="F5745" s="1"/>
    </row>
    <row r="5746" spans="5:6">
      <c r="E5746" s="1"/>
      <c r="F5746" s="1"/>
    </row>
    <row r="5747" spans="5:6">
      <c r="E5747" s="1"/>
      <c r="F5747" s="1"/>
    </row>
    <row r="5748" spans="5:6">
      <c r="E5748" s="1"/>
      <c r="F5748" s="1"/>
    </row>
    <row r="5749" spans="5:6">
      <c r="E5749" s="1"/>
      <c r="F5749" s="1"/>
    </row>
    <row r="5750" spans="5:6">
      <c r="E5750" s="1"/>
      <c r="F5750" s="1"/>
    </row>
    <row r="5751" spans="5:6">
      <c r="E5751" s="1"/>
      <c r="F5751" s="1"/>
    </row>
    <row r="5752" spans="5:6">
      <c r="E5752" s="1"/>
      <c r="F5752" s="1"/>
    </row>
    <row r="5753" spans="5:6">
      <c r="E5753" s="1"/>
      <c r="F5753" s="1"/>
    </row>
    <row r="5754" spans="5:6">
      <c r="E5754" s="1"/>
      <c r="F5754" s="1"/>
    </row>
    <row r="5755" spans="5:6">
      <c r="E5755" s="1"/>
      <c r="F5755" s="1"/>
    </row>
    <row r="5756" spans="5:6">
      <c r="E5756" s="1"/>
      <c r="F5756" s="1"/>
    </row>
    <row r="5757" spans="5:6">
      <c r="E5757" s="1"/>
      <c r="F5757" s="1"/>
    </row>
    <row r="5758" spans="5:6">
      <c r="E5758" s="1"/>
      <c r="F5758" s="1"/>
    </row>
    <row r="5759" spans="5:6">
      <c r="E5759" s="1"/>
      <c r="F5759" s="1"/>
    </row>
    <row r="5760" spans="5:6">
      <c r="E5760" s="1"/>
      <c r="F5760" s="1"/>
    </row>
    <row r="5761" spans="5:6">
      <c r="E5761" s="1"/>
      <c r="F5761" s="1"/>
    </row>
    <row r="5762" spans="5:6">
      <c r="E5762" s="1"/>
      <c r="F5762" s="1"/>
    </row>
    <row r="5763" spans="5:6">
      <c r="E5763" s="1"/>
      <c r="F5763" s="1"/>
    </row>
    <row r="5764" spans="5:6">
      <c r="E5764" s="1"/>
      <c r="F5764" s="1"/>
    </row>
    <row r="5765" spans="5:6">
      <c r="E5765" s="1"/>
      <c r="F5765" s="1"/>
    </row>
    <row r="5766" spans="5:6">
      <c r="E5766" s="1"/>
      <c r="F5766" s="1"/>
    </row>
    <row r="5767" spans="5:6">
      <c r="E5767" s="1"/>
      <c r="F5767" s="1"/>
    </row>
    <row r="5768" spans="5:6">
      <c r="E5768" s="1"/>
      <c r="F5768" s="1"/>
    </row>
    <row r="5769" spans="5:6">
      <c r="E5769" s="1"/>
      <c r="F5769" s="1"/>
    </row>
    <row r="5770" spans="5:6">
      <c r="E5770" s="1"/>
      <c r="F5770" s="1"/>
    </row>
    <row r="5771" spans="5:6">
      <c r="E5771" s="1"/>
      <c r="F5771" s="1"/>
    </row>
    <row r="5772" spans="5:6">
      <c r="E5772" s="1"/>
      <c r="F5772" s="1"/>
    </row>
    <row r="5773" spans="5:6">
      <c r="E5773" s="1"/>
      <c r="F5773" s="1"/>
    </row>
    <row r="5774" spans="5:6">
      <c r="E5774" s="1"/>
      <c r="F5774" s="1"/>
    </row>
    <row r="5775" spans="5:6">
      <c r="E5775" s="1"/>
      <c r="F5775" s="1"/>
    </row>
    <row r="5776" spans="5:6">
      <c r="E5776" s="1"/>
      <c r="F5776" s="1"/>
    </row>
    <row r="5777" spans="5:6">
      <c r="E5777" s="1"/>
      <c r="F5777" s="1"/>
    </row>
    <row r="5778" spans="5:6">
      <c r="E5778" s="1"/>
      <c r="F5778" s="1"/>
    </row>
    <row r="5779" spans="5:6">
      <c r="E5779" s="1"/>
      <c r="F5779" s="1"/>
    </row>
    <row r="5780" spans="5:6">
      <c r="E5780" s="1"/>
      <c r="F5780" s="1"/>
    </row>
    <row r="5781" spans="5:6">
      <c r="E5781" s="1"/>
      <c r="F5781" s="1"/>
    </row>
    <row r="5782" spans="5:6">
      <c r="E5782" s="1"/>
      <c r="F5782" s="1"/>
    </row>
    <row r="5783" spans="5:6">
      <c r="E5783" s="1"/>
      <c r="F5783" s="1"/>
    </row>
    <row r="5784" spans="5:6">
      <c r="E5784" s="1"/>
      <c r="F5784" s="1"/>
    </row>
    <row r="5785" spans="5:6">
      <c r="E5785" s="1"/>
      <c r="F5785" s="1"/>
    </row>
    <row r="5786" spans="5:6">
      <c r="E5786" s="1"/>
      <c r="F5786" s="1"/>
    </row>
    <row r="5787" spans="5:6">
      <c r="E5787" s="1"/>
      <c r="F5787" s="1"/>
    </row>
    <row r="5788" spans="5:6">
      <c r="E5788" s="1"/>
      <c r="F5788" s="1"/>
    </row>
    <row r="5789" spans="5:6">
      <c r="E5789" s="1"/>
      <c r="F5789" s="1"/>
    </row>
    <row r="5790" spans="5:6">
      <c r="E5790" s="1"/>
      <c r="F5790" s="1"/>
    </row>
    <row r="5791" spans="5:6">
      <c r="E5791" s="1"/>
      <c r="F5791" s="1"/>
    </row>
    <row r="5792" spans="5:6">
      <c r="E5792" s="1"/>
      <c r="F5792" s="1"/>
    </row>
    <row r="5793" spans="5:6">
      <c r="E5793" s="1"/>
      <c r="F5793" s="1"/>
    </row>
    <row r="5794" spans="5:6">
      <c r="E5794" s="1"/>
      <c r="F5794" s="1"/>
    </row>
    <row r="5795" spans="5:6">
      <c r="E5795" s="1"/>
      <c r="F5795" s="1"/>
    </row>
    <row r="5796" spans="5:6">
      <c r="E5796" s="1"/>
      <c r="F5796" s="1"/>
    </row>
    <row r="5797" spans="5:6">
      <c r="E5797" s="1"/>
      <c r="F5797" s="1"/>
    </row>
    <row r="5798" spans="5:6">
      <c r="E5798" s="1"/>
      <c r="F5798" s="1"/>
    </row>
    <row r="5799" spans="5:6">
      <c r="E5799" s="1"/>
      <c r="F5799" s="1"/>
    </row>
    <row r="5800" spans="5:6">
      <c r="E5800" s="1"/>
      <c r="F5800" s="1"/>
    </row>
    <row r="5801" spans="5:6">
      <c r="E5801" s="1"/>
      <c r="F5801" s="1"/>
    </row>
    <row r="5802" spans="5:6">
      <c r="E5802" s="1"/>
      <c r="F5802" s="1"/>
    </row>
    <row r="5803" spans="5:6">
      <c r="E5803" s="1"/>
      <c r="F5803" s="1"/>
    </row>
    <row r="5804" spans="5:6">
      <c r="E5804" s="1"/>
      <c r="F5804" s="1"/>
    </row>
    <row r="5805" spans="5:6">
      <c r="E5805" s="1"/>
      <c r="F5805" s="1"/>
    </row>
    <row r="5806" spans="5:6">
      <c r="E5806" s="1"/>
      <c r="F5806" s="1"/>
    </row>
    <row r="5807" spans="5:6">
      <c r="E5807" s="1"/>
      <c r="F5807" s="1"/>
    </row>
    <row r="5808" spans="5:6">
      <c r="E5808" s="1"/>
      <c r="F5808" s="1"/>
    </row>
    <row r="5809" spans="5:6">
      <c r="E5809" s="1"/>
      <c r="F5809" s="1"/>
    </row>
    <row r="5810" spans="5:6">
      <c r="E5810" s="1"/>
      <c r="F5810" s="1"/>
    </row>
    <row r="5811" spans="5:6">
      <c r="E5811" s="1"/>
      <c r="F5811" s="1"/>
    </row>
    <row r="5812" spans="5:6">
      <c r="E5812" s="1"/>
      <c r="F5812" s="1"/>
    </row>
    <row r="5813" spans="5:6">
      <c r="E5813" s="1"/>
      <c r="F5813" s="1"/>
    </row>
    <row r="5814" spans="5:6">
      <c r="E5814" s="1"/>
      <c r="F5814" s="1"/>
    </row>
    <row r="5815" spans="5:6">
      <c r="E5815" s="1"/>
      <c r="F5815" s="1"/>
    </row>
    <row r="5816" spans="5:6">
      <c r="E5816" s="1"/>
      <c r="F5816" s="1"/>
    </row>
    <row r="5817" spans="5:6">
      <c r="E5817" s="1"/>
      <c r="F5817" s="1"/>
    </row>
    <row r="5818" spans="5:6">
      <c r="E5818" s="1"/>
      <c r="F5818" s="1"/>
    </row>
    <row r="5819" spans="5:6">
      <c r="E5819" s="1"/>
      <c r="F5819" s="1"/>
    </row>
    <row r="5820" spans="5:6">
      <c r="E5820" s="1"/>
      <c r="F5820" s="1"/>
    </row>
    <row r="5821" spans="5:6">
      <c r="E5821" s="1"/>
      <c r="F5821" s="1"/>
    </row>
    <row r="5822" spans="5:6">
      <c r="E5822" s="1"/>
      <c r="F5822" s="1"/>
    </row>
    <row r="5823" spans="5:6">
      <c r="E5823" s="1"/>
      <c r="F5823" s="1"/>
    </row>
    <row r="5824" spans="5:6">
      <c r="E5824" s="1"/>
      <c r="F5824" s="1"/>
    </row>
    <row r="5825" spans="5:6">
      <c r="E5825" s="1"/>
      <c r="F5825" s="1"/>
    </row>
    <row r="5826" spans="5:6">
      <c r="E5826" s="1"/>
      <c r="F5826" s="1"/>
    </row>
    <row r="5827" spans="5:6">
      <c r="E5827" s="1"/>
      <c r="F5827" s="1"/>
    </row>
    <row r="5828" spans="5:6">
      <c r="E5828" s="1"/>
      <c r="F5828" s="1"/>
    </row>
    <row r="5829" spans="5:6">
      <c r="E5829" s="1"/>
      <c r="F5829" s="1"/>
    </row>
    <row r="5830" spans="5:6">
      <c r="E5830" s="1"/>
      <c r="F5830" s="1"/>
    </row>
    <row r="5831" spans="5:6">
      <c r="E5831" s="1"/>
      <c r="F5831" s="1"/>
    </row>
    <row r="5832" spans="5:6">
      <c r="E5832" s="1"/>
      <c r="F5832" s="1"/>
    </row>
    <row r="5833" spans="5:6">
      <c r="E5833" s="1"/>
      <c r="F5833" s="1"/>
    </row>
    <row r="5834" spans="5:6">
      <c r="E5834" s="1"/>
      <c r="F5834" s="1"/>
    </row>
    <row r="5835" spans="5:6">
      <c r="E5835" s="1"/>
      <c r="F5835" s="1"/>
    </row>
    <row r="5836" spans="5:6">
      <c r="E5836" s="1"/>
      <c r="F5836" s="1"/>
    </row>
    <row r="5837" spans="5:6">
      <c r="E5837" s="1"/>
      <c r="F5837" s="1"/>
    </row>
    <row r="5838" spans="5:6">
      <c r="E5838" s="1"/>
      <c r="F5838" s="1"/>
    </row>
    <row r="5839" spans="5:6">
      <c r="E5839" s="1"/>
      <c r="F5839" s="1"/>
    </row>
    <row r="5840" spans="5:6">
      <c r="E5840" s="1"/>
      <c r="F5840" s="1"/>
    </row>
    <row r="5841" spans="5:6">
      <c r="E5841" s="1"/>
      <c r="F5841" s="1"/>
    </row>
    <row r="5842" spans="5:6">
      <c r="E5842" s="1"/>
      <c r="F5842" s="1"/>
    </row>
    <row r="5843" spans="5:6">
      <c r="E5843" s="1"/>
      <c r="F5843" s="1"/>
    </row>
    <row r="5844" spans="5:6">
      <c r="E5844" s="1"/>
      <c r="F5844" s="1"/>
    </row>
    <row r="5845" spans="5:6">
      <c r="E5845" s="1"/>
      <c r="F5845" s="1"/>
    </row>
    <row r="5846" spans="5:6">
      <c r="E5846" s="1"/>
      <c r="F5846" s="1"/>
    </row>
    <row r="5847" spans="5:6">
      <c r="E5847" s="1"/>
      <c r="F5847" s="1"/>
    </row>
    <row r="5848" spans="5:6">
      <c r="E5848" s="1"/>
      <c r="F5848" s="1"/>
    </row>
    <row r="5849" spans="5:6">
      <c r="E5849" s="1"/>
      <c r="F5849" s="1"/>
    </row>
    <row r="5850" spans="5:6">
      <c r="E5850" s="1"/>
      <c r="F5850" s="1"/>
    </row>
    <row r="5851" spans="5:6">
      <c r="E5851" s="1"/>
      <c r="F5851" s="1"/>
    </row>
    <row r="5852" spans="5:6">
      <c r="E5852" s="1"/>
      <c r="F5852" s="1"/>
    </row>
    <row r="5853" spans="5:6">
      <c r="E5853" s="1"/>
      <c r="F5853" s="1"/>
    </row>
    <row r="5854" spans="5:6">
      <c r="E5854" s="1"/>
      <c r="F5854" s="1"/>
    </row>
    <row r="5855" spans="5:6">
      <c r="E5855" s="1"/>
      <c r="F5855" s="1"/>
    </row>
    <row r="5856" spans="5:6">
      <c r="E5856" s="1"/>
      <c r="F5856" s="1"/>
    </row>
    <row r="5857" spans="5:6">
      <c r="E5857" s="1"/>
      <c r="F5857" s="1"/>
    </row>
    <row r="5858" spans="5:6">
      <c r="E5858" s="1"/>
      <c r="F5858" s="1"/>
    </row>
    <row r="5859" spans="5:6">
      <c r="E5859" s="1"/>
      <c r="F5859" s="1"/>
    </row>
    <row r="5860" spans="5:6">
      <c r="E5860" s="1"/>
      <c r="F5860" s="1"/>
    </row>
    <row r="5861" spans="5:6">
      <c r="E5861" s="1"/>
      <c r="F5861" s="1"/>
    </row>
    <row r="5862" spans="5:6">
      <c r="E5862" s="1"/>
      <c r="F5862" s="1"/>
    </row>
    <row r="5863" spans="5:6">
      <c r="E5863" s="1"/>
      <c r="F5863" s="1"/>
    </row>
    <row r="5864" spans="5:6">
      <c r="E5864" s="1"/>
      <c r="F5864" s="1"/>
    </row>
    <row r="5865" spans="5:6">
      <c r="E5865" s="1"/>
      <c r="F5865" s="1"/>
    </row>
    <row r="5866" spans="5:6">
      <c r="E5866" s="1"/>
      <c r="F5866" s="1"/>
    </row>
    <row r="5867" spans="5:6">
      <c r="E5867" s="1"/>
      <c r="F5867" s="1"/>
    </row>
    <row r="5868" spans="5:6">
      <c r="E5868" s="1"/>
      <c r="F5868" s="1"/>
    </row>
    <row r="5869" spans="5:6">
      <c r="E5869" s="1"/>
      <c r="F5869" s="1"/>
    </row>
    <row r="5870" spans="5:6">
      <c r="E5870" s="1"/>
      <c r="F5870" s="1"/>
    </row>
    <row r="5871" spans="5:6">
      <c r="E5871" s="1"/>
      <c r="F5871" s="1"/>
    </row>
    <row r="5872" spans="5:6">
      <c r="E5872" s="1"/>
      <c r="F5872" s="1"/>
    </row>
    <row r="5873" spans="5:6">
      <c r="E5873" s="1"/>
      <c r="F5873" s="1"/>
    </row>
    <row r="5874" spans="5:6">
      <c r="E5874" s="1"/>
      <c r="F5874" s="1"/>
    </row>
    <row r="5875" spans="5:6">
      <c r="E5875" s="1"/>
      <c r="F5875" s="1"/>
    </row>
    <row r="5876" spans="5:6">
      <c r="E5876" s="1"/>
      <c r="F5876" s="1"/>
    </row>
    <row r="5877" spans="5:6">
      <c r="E5877" s="1"/>
      <c r="F5877" s="1"/>
    </row>
    <row r="5878" spans="5:6">
      <c r="E5878" s="1"/>
      <c r="F5878" s="1"/>
    </row>
    <row r="5879" spans="5:6">
      <c r="E5879" s="1"/>
      <c r="F5879" s="1"/>
    </row>
    <row r="5880" spans="5:6">
      <c r="E5880" s="1"/>
      <c r="F5880" s="1"/>
    </row>
    <row r="5881" spans="5:6">
      <c r="E5881" s="1"/>
      <c r="F5881" s="1"/>
    </row>
    <row r="5882" spans="5:6">
      <c r="E5882" s="1"/>
      <c r="F5882" s="1"/>
    </row>
    <row r="5883" spans="5:6">
      <c r="E5883" s="1"/>
      <c r="F5883" s="1"/>
    </row>
    <row r="5884" spans="5:6">
      <c r="E5884" s="1"/>
      <c r="F5884" s="1"/>
    </row>
    <row r="5885" spans="5:6">
      <c r="E5885" s="1"/>
      <c r="F5885" s="1"/>
    </row>
    <row r="5886" spans="5:6">
      <c r="E5886" s="1"/>
      <c r="F5886" s="1"/>
    </row>
    <row r="5887" spans="5:6">
      <c r="E5887" s="1"/>
      <c r="F5887" s="1"/>
    </row>
    <row r="5888" spans="5:6">
      <c r="E5888" s="1"/>
      <c r="F5888" s="1"/>
    </row>
    <row r="5889" spans="5:6">
      <c r="E5889" s="1"/>
      <c r="F5889" s="1"/>
    </row>
    <row r="5890" spans="5:6">
      <c r="E5890" s="1"/>
      <c r="F5890" s="1"/>
    </row>
    <row r="5891" spans="5:6">
      <c r="E5891" s="1"/>
      <c r="F5891" s="1"/>
    </row>
    <row r="5892" spans="5:6">
      <c r="E5892" s="1"/>
      <c r="F5892" s="1"/>
    </row>
    <row r="5893" spans="5:6">
      <c r="E5893" s="1"/>
      <c r="F5893" s="1"/>
    </row>
    <row r="5894" spans="5:6">
      <c r="E5894" s="1"/>
      <c r="F5894" s="1"/>
    </row>
    <row r="5895" spans="5:6">
      <c r="E5895" s="1"/>
      <c r="F5895" s="1"/>
    </row>
    <row r="5896" spans="5:6">
      <c r="E5896" s="1"/>
      <c r="F5896" s="1"/>
    </row>
    <row r="5897" spans="5:6">
      <c r="E5897" s="1"/>
      <c r="F5897" s="1"/>
    </row>
    <row r="5898" spans="5:6">
      <c r="E5898" s="1"/>
      <c r="F5898" s="1"/>
    </row>
    <row r="5899" spans="5:6">
      <c r="E5899" s="1"/>
      <c r="F5899" s="1"/>
    </row>
    <row r="5900" spans="5:6">
      <c r="E5900" s="1"/>
      <c r="F5900" s="1"/>
    </row>
    <row r="5901" spans="5:6">
      <c r="E5901" s="1"/>
      <c r="F5901" s="1"/>
    </row>
    <row r="5902" spans="5:6">
      <c r="E5902" s="1"/>
      <c r="F5902" s="1"/>
    </row>
    <row r="5903" spans="5:6">
      <c r="E5903" s="1"/>
      <c r="F5903" s="1"/>
    </row>
    <row r="5904" spans="5:6">
      <c r="E5904" s="1"/>
      <c r="F5904" s="1"/>
    </row>
    <row r="5905" spans="5:6">
      <c r="E5905" s="1"/>
      <c r="F5905" s="1"/>
    </row>
    <row r="5906" spans="5:6">
      <c r="E5906" s="1"/>
      <c r="F5906" s="1"/>
    </row>
    <row r="5907" spans="5:6">
      <c r="E5907" s="1"/>
      <c r="F5907" s="1"/>
    </row>
    <row r="5908" spans="5:6">
      <c r="E5908" s="1"/>
      <c r="F5908" s="1"/>
    </row>
    <row r="5909" spans="5:6">
      <c r="E5909" s="1"/>
      <c r="F5909" s="1"/>
    </row>
    <row r="5910" spans="5:6">
      <c r="E5910" s="1"/>
      <c r="F5910" s="1"/>
    </row>
    <row r="5911" spans="5:6">
      <c r="E5911" s="1"/>
      <c r="F5911" s="1"/>
    </row>
    <row r="5912" spans="5:6">
      <c r="E5912" s="1"/>
      <c r="F5912" s="1"/>
    </row>
    <row r="5913" spans="5:6">
      <c r="E5913" s="1"/>
      <c r="F5913" s="1"/>
    </row>
    <row r="5914" spans="5:6">
      <c r="E5914" s="1"/>
      <c r="F5914" s="1"/>
    </row>
    <row r="5915" spans="5:6">
      <c r="E5915" s="1"/>
      <c r="F5915" s="1"/>
    </row>
    <row r="5916" spans="5:6">
      <c r="E5916" s="1"/>
      <c r="F5916" s="1"/>
    </row>
    <row r="5917" spans="5:6">
      <c r="E5917" s="1"/>
      <c r="F5917" s="1"/>
    </row>
    <row r="5918" spans="5:6">
      <c r="E5918" s="1"/>
      <c r="F5918" s="1"/>
    </row>
    <row r="5919" spans="5:6">
      <c r="E5919" s="1"/>
      <c r="F5919" s="1"/>
    </row>
    <row r="5920" spans="5:6">
      <c r="E5920" s="1"/>
      <c r="F5920" s="1"/>
    </row>
    <row r="5921" spans="5:6">
      <c r="E5921" s="1"/>
      <c r="F5921" s="1"/>
    </row>
    <row r="5922" spans="5:6">
      <c r="E5922" s="1"/>
      <c r="F5922" s="1"/>
    </row>
    <row r="5923" spans="5:6">
      <c r="E5923" s="1"/>
      <c r="F5923" s="1"/>
    </row>
    <row r="5924" spans="5:6">
      <c r="E5924" s="1"/>
      <c r="F5924" s="1"/>
    </row>
    <row r="5925" spans="5:6">
      <c r="E5925" s="1"/>
      <c r="F5925" s="1"/>
    </row>
    <row r="5926" spans="5:6">
      <c r="E5926" s="1"/>
      <c r="F5926" s="1"/>
    </row>
    <row r="5927" spans="5:6">
      <c r="E5927" s="1"/>
      <c r="F5927" s="1"/>
    </row>
    <row r="5928" spans="5:6">
      <c r="E5928" s="1"/>
      <c r="F5928" s="1"/>
    </row>
    <row r="5929" spans="5:6">
      <c r="E5929" s="1"/>
      <c r="F5929" s="1"/>
    </row>
    <row r="5930" spans="5:6">
      <c r="E5930" s="1"/>
      <c r="F5930" s="1"/>
    </row>
    <row r="5931" spans="5:6">
      <c r="E5931" s="1"/>
      <c r="F5931" s="1"/>
    </row>
    <row r="5932" spans="5:6">
      <c r="E5932" s="1"/>
      <c r="F5932" s="1"/>
    </row>
    <row r="5933" spans="5:6">
      <c r="E5933" s="1"/>
      <c r="F5933" s="1"/>
    </row>
    <row r="5934" spans="5:6">
      <c r="E5934" s="1"/>
      <c r="F5934" s="1"/>
    </row>
    <row r="5935" spans="5:6">
      <c r="E5935" s="1"/>
      <c r="F5935" s="1"/>
    </row>
    <row r="5936" spans="5:6">
      <c r="E5936" s="1"/>
      <c r="F5936" s="1"/>
    </row>
    <row r="5937" spans="5:6">
      <c r="E5937" s="1"/>
      <c r="F5937" s="1"/>
    </row>
    <row r="5938" spans="5:6">
      <c r="E5938" s="1"/>
      <c r="F5938" s="1"/>
    </row>
    <row r="5939" spans="5:6">
      <c r="E5939" s="1"/>
      <c r="F5939" s="1"/>
    </row>
    <row r="5940" spans="5:6">
      <c r="E5940" s="1"/>
      <c r="F5940" s="1"/>
    </row>
    <row r="5941" spans="5:6">
      <c r="E5941" s="1"/>
      <c r="F5941" s="1"/>
    </row>
    <row r="5942" spans="5:6">
      <c r="E5942" s="1"/>
      <c r="F5942" s="1"/>
    </row>
    <row r="5943" spans="5:6">
      <c r="E5943" s="1"/>
      <c r="F5943" s="1"/>
    </row>
    <row r="5944" spans="5:6">
      <c r="E5944" s="1"/>
      <c r="F5944" s="1"/>
    </row>
    <row r="5945" spans="5:6">
      <c r="E5945" s="1"/>
      <c r="F5945" s="1"/>
    </row>
    <row r="5946" spans="5:6">
      <c r="E5946" s="1"/>
      <c r="F5946" s="1"/>
    </row>
    <row r="5947" spans="5:6">
      <c r="E5947" s="1"/>
      <c r="F5947" s="1"/>
    </row>
    <row r="5948" spans="5:6">
      <c r="E5948" s="1"/>
      <c r="F5948" s="1"/>
    </row>
    <row r="5949" spans="5:6">
      <c r="E5949" s="1"/>
      <c r="F5949" s="1"/>
    </row>
    <row r="5950" spans="5:6">
      <c r="E5950" s="1"/>
      <c r="F5950" s="1"/>
    </row>
    <row r="5951" spans="5:6">
      <c r="E5951" s="1"/>
      <c r="F5951" s="1"/>
    </row>
    <row r="5952" spans="5:6">
      <c r="E5952" s="1"/>
      <c r="F5952" s="1"/>
    </row>
    <row r="5953" spans="5:6">
      <c r="E5953" s="1"/>
      <c r="F5953" s="1"/>
    </row>
    <row r="5954" spans="5:6">
      <c r="E5954" s="1"/>
      <c r="F5954" s="1"/>
    </row>
    <row r="5955" spans="5:6">
      <c r="E5955" s="1"/>
      <c r="F5955" s="1"/>
    </row>
    <row r="5956" spans="5:6">
      <c r="E5956" s="1"/>
      <c r="F5956" s="1"/>
    </row>
    <row r="5957" spans="5:6">
      <c r="E5957" s="1"/>
      <c r="F5957" s="1"/>
    </row>
    <row r="5958" spans="5:6">
      <c r="E5958" s="1"/>
      <c r="F5958" s="1"/>
    </row>
    <row r="5959" spans="5:6">
      <c r="E5959" s="1"/>
      <c r="F5959" s="1"/>
    </row>
    <row r="5960" spans="5:6">
      <c r="E5960" s="1"/>
      <c r="F5960" s="1"/>
    </row>
    <row r="5961" spans="5:6">
      <c r="E5961" s="1"/>
      <c r="F5961" s="1"/>
    </row>
    <row r="5962" spans="5:6">
      <c r="E5962" s="1"/>
      <c r="F5962" s="1"/>
    </row>
    <row r="5963" spans="5:6">
      <c r="E5963" s="1"/>
      <c r="F5963" s="1"/>
    </row>
    <row r="5964" spans="5:6">
      <c r="E5964" s="1"/>
      <c r="F5964" s="1"/>
    </row>
    <row r="5965" spans="5:6">
      <c r="E5965" s="1"/>
      <c r="F5965" s="1"/>
    </row>
    <row r="5966" spans="5:6">
      <c r="E5966" s="1"/>
      <c r="F5966" s="1"/>
    </row>
    <row r="5967" spans="5:6">
      <c r="E5967" s="1"/>
      <c r="F5967" s="1"/>
    </row>
    <row r="5968" spans="5:6">
      <c r="E5968" s="1"/>
      <c r="F5968" s="1"/>
    </row>
    <row r="5969" spans="5:6">
      <c r="E5969" s="1"/>
      <c r="F5969" s="1"/>
    </row>
    <row r="5970" spans="5:6">
      <c r="E5970" s="1"/>
      <c r="F5970" s="1"/>
    </row>
    <row r="5971" spans="5:6">
      <c r="E5971" s="1"/>
      <c r="F5971" s="1"/>
    </row>
    <row r="5972" spans="5:6">
      <c r="E5972" s="1"/>
      <c r="F5972" s="1"/>
    </row>
    <row r="5973" spans="5:6">
      <c r="E5973" s="1"/>
      <c r="F5973" s="1"/>
    </row>
    <row r="5974" spans="5:6">
      <c r="E5974" s="1"/>
      <c r="F5974" s="1"/>
    </row>
    <row r="5975" spans="5:6">
      <c r="E5975" s="1"/>
      <c r="F5975" s="1"/>
    </row>
    <row r="5976" spans="5:6">
      <c r="E5976" s="1"/>
      <c r="F5976" s="1"/>
    </row>
    <row r="5977" spans="5:6">
      <c r="E5977" s="1"/>
      <c r="F5977" s="1"/>
    </row>
    <row r="5978" spans="5:6">
      <c r="E5978" s="1"/>
      <c r="F5978" s="1"/>
    </row>
    <row r="5979" spans="5:6">
      <c r="E5979" s="1"/>
      <c r="F5979" s="1"/>
    </row>
    <row r="5980" spans="5:6">
      <c r="E5980" s="1"/>
      <c r="F5980" s="1"/>
    </row>
    <row r="5981" spans="5:6">
      <c r="E5981" s="1"/>
      <c r="F5981" s="1"/>
    </row>
    <row r="5982" spans="5:6">
      <c r="E5982" s="1"/>
      <c r="F5982" s="1"/>
    </row>
    <row r="5983" spans="5:6">
      <c r="E5983" s="1"/>
      <c r="F5983" s="1"/>
    </row>
    <row r="5984" spans="5:6">
      <c r="E5984" s="1"/>
      <c r="F5984" s="1"/>
    </row>
    <row r="5985" spans="5:6">
      <c r="E5985" s="1"/>
      <c r="F5985" s="1"/>
    </row>
    <row r="5986" spans="5:6">
      <c r="E5986" s="1"/>
      <c r="F5986" s="1"/>
    </row>
    <row r="5987" spans="5:6">
      <c r="E5987" s="1"/>
      <c r="F5987" s="1"/>
    </row>
    <row r="5988" spans="5:6">
      <c r="E5988" s="1"/>
      <c r="F5988" s="1"/>
    </row>
    <row r="5989" spans="5:6">
      <c r="E5989" s="1"/>
      <c r="F5989" s="1"/>
    </row>
    <row r="5990" spans="5:6">
      <c r="E5990" s="1"/>
      <c r="F5990" s="1"/>
    </row>
    <row r="5991" spans="5:6">
      <c r="E5991" s="1"/>
      <c r="F5991" s="1"/>
    </row>
    <row r="5992" spans="5:6">
      <c r="E5992" s="1"/>
      <c r="F5992" s="1"/>
    </row>
    <row r="5993" spans="5:6">
      <c r="E5993" s="1"/>
      <c r="F5993" s="1"/>
    </row>
    <row r="5994" spans="5:6">
      <c r="E5994" s="1"/>
      <c r="F5994" s="1"/>
    </row>
    <row r="5995" spans="5:6">
      <c r="E5995" s="1"/>
      <c r="F5995" s="1"/>
    </row>
    <row r="5996" spans="5:6">
      <c r="E5996" s="1"/>
      <c r="F5996" s="1"/>
    </row>
    <row r="5997" spans="5:6">
      <c r="E5997" s="1"/>
      <c r="F5997" s="1"/>
    </row>
    <row r="5998" spans="5:6">
      <c r="E5998" s="1"/>
      <c r="F5998" s="1"/>
    </row>
    <row r="5999" spans="5:6">
      <c r="E5999" s="1"/>
      <c r="F5999" s="1"/>
    </row>
    <row r="6000" spans="5:6">
      <c r="E6000" s="1"/>
      <c r="F6000" s="1"/>
    </row>
    <row r="6001" spans="5:6">
      <c r="E6001" s="1"/>
      <c r="F6001" s="1"/>
    </row>
    <row r="6002" spans="5:6">
      <c r="E6002" s="1"/>
      <c r="F6002" s="1"/>
    </row>
    <row r="6003" spans="5:6">
      <c r="E6003" s="1"/>
      <c r="F6003" s="1"/>
    </row>
    <row r="6004" spans="5:6">
      <c r="E6004" s="1"/>
      <c r="F6004" s="1"/>
    </row>
    <row r="6005" spans="5:6">
      <c r="E6005" s="1"/>
      <c r="F6005" s="1"/>
    </row>
    <row r="6006" spans="5:6">
      <c r="E6006" s="1"/>
      <c r="F6006" s="1"/>
    </row>
    <row r="6007" spans="5:6">
      <c r="E6007" s="1"/>
      <c r="F6007" s="1"/>
    </row>
    <row r="6008" spans="5:6">
      <c r="E6008" s="1"/>
      <c r="F6008" s="1"/>
    </row>
    <row r="6009" spans="5:6">
      <c r="E6009" s="1"/>
      <c r="F6009" s="1"/>
    </row>
    <row r="6010" spans="5:6">
      <c r="E6010" s="1"/>
      <c r="F6010" s="1"/>
    </row>
    <row r="6011" spans="5:6">
      <c r="E6011" s="1"/>
      <c r="F6011" s="1"/>
    </row>
    <row r="6012" spans="5:6">
      <c r="E6012" s="1"/>
      <c r="F6012" s="1"/>
    </row>
    <row r="6013" spans="5:6">
      <c r="E6013" s="1"/>
      <c r="F6013" s="1"/>
    </row>
    <row r="6014" spans="5:6">
      <c r="E6014" s="1"/>
      <c r="F6014" s="1"/>
    </row>
    <row r="6015" spans="5:6">
      <c r="E6015" s="1"/>
      <c r="F6015" s="1"/>
    </row>
    <row r="6016" spans="5:6">
      <c r="E6016" s="1"/>
      <c r="F6016" s="1"/>
    </row>
    <row r="6017" spans="5:6">
      <c r="E6017" s="1"/>
      <c r="F6017" s="1"/>
    </row>
    <row r="6018" spans="5:6">
      <c r="E6018" s="1"/>
      <c r="F6018" s="1"/>
    </row>
    <row r="6019" spans="5:6">
      <c r="E6019" s="1"/>
      <c r="F6019" s="1"/>
    </row>
    <row r="6020" spans="5:6">
      <c r="E6020" s="1"/>
      <c r="F6020" s="1"/>
    </row>
    <row r="6021" spans="5:6">
      <c r="E6021" s="1"/>
      <c r="F6021" s="1"/>
    </row>
    <row r="6022" spans="5:6">
      <c r="E6022" s="1"/>
      <c r="F6022" s="1"/>
    </row>
    <row r="6023" spans="5:6">
      <c r="E6023" s="1"/>
      <c r="F6023" s="1"/>
    </row>
    <row r="6024" spans="5:6">
      <c r="E6024" s="1"/>
      <c r="F6024" s="1"/>
    </row>
    <row r="6025" spans="5:6">
      <c r="E6025" s="1"/>
      <c r="F6025" s="1"/>
    </row>
    <row r="6026" spans="5:6">
      <c r="E6026" s="1"/>
      <c r="F6026" s="1"/>
    </row>
    <row r="6027" spans="5:6">
      <c r="E6027" s="1"/>
      <c r="F6027" s="1"/>
    </row>
    <row r="6028" spans="5:6">
      <c r="E6028" s="1"/>
      <c r="F6028" s="1"/>
    </row>
    <row r="6029" spans="5:6">
      <c r="E6029" s="1"/>
      <c r="F6029" s="1"/>
    </row>
    <row r="6030" spans="5:6">
      <c r="E6030" s="1"/>
      <c r="F6030" s="1"/>
    </row>
    <row r="6031" spans="5:6">
      <c r="E6031" s="1"/>
      <c r="F6031" s="1"/>
    </row>
    <row r="6032" spans="5:6">
      <c r="E6032" s="1"/>
      <c r="F6032" s="1"/>
    </row>
    <row r="6033" spans="5:6">
      <c r="E6033" s="1"/>
      <c r="F6033" s="1"/>
    </row>
    <row r="6034" spans="5:6">
      <c r="E6034" s="1"/>
      <c r="F6034" s="1"/>
    </row>
    <row r="6035" spans="5:6">
      <c r="E6035" s="1"/>
      <c r="F6035" s="1"/>
    </row>
    <row r="6036" spans="5:6">
      <c r="E6036" s="1"/>
      <c r="F6036" s="1"/>
    </row>
    <row r="6037" spans="5:6">
      <c r="E6037" s="1"/>
      <c r="F6037" s="1"/>
    </row>
    <row r="6038" spans="5:6">
      <c r="E6038" s="1"/>
      <c r="F6038" s="1"/>
    </row>
    <row r="6039" spans="5:6">
      <c r="E6039" s="1"/>
      <c r="F6039" s="1"/>
    </row>
    <row r="6040" spans="5:6">
      <c r="E6040" s="1"/>
      <c r="F6040" s="1"/>
    </row>
    <row r="6041" spans="5:6">
      <c r="E6041" s="1"/>
      <c r="F6041" s="1"/>
    </row>
    <row r="6042" spans="5:6">
      <c r="E6042" s="1"/>
      <c r="F6042" s="1"/>
    </row>
    <row r="6043" spans="5:6">
      <c r="E6043" s="1"/>
      <c r="F6043" s="1"/>
    </row>
    <row r="6044" spans="5:6">
      <c r="E6044" s="1"/>
      <c r="F6044" s="1"/>
    </row>
    <row r="6045" spans="5:6">
      <c r="E6045" s="1"/>
      <c r="F6045" s="1"/>
    </row>
    <row r="6046" spans="5:6">
      <c r="E6046" s="1"/>
      <c r="F6046" s="1"/>
    </row>
    <row r="6047" spans="5:6">
      <c r="E6047" s="1"/>
      <c r="F6047" s="1"/>
    </row>
    <row r="6048" spans="5:6">
      <c r="E6048" s="1"/>
      <c r="F6048" s="1"/>
    </row>
    <row r="6049" spans="5:6">
      <c r="E6049" s="1"/>
      <c r="F6049" s="1"/>
    </row>
    <row r="6050" spans="5:6">
      <c r="E6050" s="1"/>
      <c r="F6050" s="1"/>
    </row>
    <row r="6051" spans="5:6">
      <c r="E6051" s="1"/>
      <c r="F6051" s="1"/>
    </row>
    <row r="6052" spans="5:6">
      <c r="E6052" s="1"/>
      <c r="F6052" s="1"/>
    </row>
    <row r="6053" spans="5:6">
      <c r="E6053" s="1"/>
      <c r="F6053" s="1"/>
    </row>
    <row r="6054" spans="5:6">
      <c r="E6054" s="1"/>
      <c r="F6054" s="1"/>
    </row>
    <row r="6055" spans="5:6">
      <c r="E6055" s="1"/>
      <c r="F6055" s="1"/>
    </row>
    <row r="6056" spans="5:6">
      <c r="E6056" s="1"/>
      <c r="F6056" s="1"/>
    </row>
    <row r="6057" spans="5:6">
      <c r="E6057" s="1"/>
      <c r="F6057" s="1"/>
    </row>
    <row r="6058" spans="5:6">
      <c r="E6058" s="1"/>
      <c r="F6058" s="1"/>
    </row>
    <row r="6059" spans="5:6">
      <c r="E6059" s="1"/>
      <c r="F6059" s="1"/>
    </row>
    <row r="6060" spans="5:6">
      <c r="E6060" s="1"/>
      <c r="F6060" s="1"/>
    </row>
    <row r="6061" spans="5:6">
      <c r="E6061" s="1"/>
      <c r="F6061" s="1"/>
    </row>
    <row r="6062" spans="5:6">
      <c r="E6062" s="1"/>
      <c r="F6062" s="1"/>
    </row>
    <row r="6063" spans="5:6">
      <c r="E6063" s="1"/>
      <c r="F6063" s="1"/>
    </row>
    <row r="6064" spans="5:6">
      <c r="E6064" s="1"/>
      <c r="F6064" s="1"/>
    </row>
    <row r="6065" spans="5:6">
      <c r="E6065" s="1"/>
      <c r="F6065" s="1"/>
    </row>
    <row r="6066" spans="5:6">
      <c r="E6066" s="1"/>
      <c r="F6066" s="1"/>
    </row>
    <row r="6067" spans="5:6">
      <c r="E6067" s="1"/>
      <c r="F6067" s="1"/>
    </row>
    <row r="6068" spans="5:6">
      <c r="E6068" s="1"/>
      <c r="F6068" s="1"/>
    </row>
    <row r="6069" spans="5:6">
      <c r="E6069" s="1"/>
      <c r="F6069" s="1"/>
    </row>
    <row r="6070" spans="5:6">
      <c r="E6070" s="1"/>
      <c r="F6070" s="1"/>
    </row>
    <row r="6071" spans="5:6">
      <c r="E6071" s="1"/>
      <c r="F6071" s="1"/>
    </row>
    <row r="6072" spans="5:6">
      <c r="E6072" s="1"/>
      <c r="F6072" s="1"/>
    </row>
    <row r="6073" spans="5:6">
      <c r="E6073" s="1"/>
      <c r="F6073" s="1"/>
    </row>
    <row r="6074" spans="5:6">
      <c r="E6074" s="1"/>
      <c r="F6074" s="1"/>
    </row>
    <row r="6075" spans="5:6">
      <c r="E6075" s="1"/>
      <c r="F6075" s="1"/>
    </row>
    <row r="6076" spans="5:6">
      <c r="E6076" s="1"/>
      <c r="F6076" s="1"/>
    </row>
    <row r="6077" spans="5:6">
      <c r="E6077" s="1"/>
      <c r="F6077" s="1"/>
    </row>
    <row r="6078" spans="5:6">
      <c r="E6078" s="1"/>
      <c r="F6078" s="1"/>
    </row>
    <row r="6079" spans="5:6">
      <c r="E6079" s="1"/>
      <c r="F6079" s="1"/>
    </row>
    <row r="6080" spans="5:6">
      <c r="E6080" s="1"/>
      <c r="F6080" s="1"/>
    </row>
    <row r="6081" spans="5:6">
      <c r="E6081" s="1"/>
      <c r="F6081" s="1"/>
    </row>
    <row r="6082" spans="5:6">
      <c r="E6082" s="1"/>
      <c r="F6082" s="1"/>
    </row>
    <row r="6083" spans="5:6">
      <c r="E6083" s="1"/>
      <c r="F6083" s="1"/>
    </row>
    <row r="6084" spans="5:6">
      <c r="E6084" s="1"/>
      <c r="F6084" s="1"/>
    </row>
    <row r="6085" spans="5:6">
      <c r="E6085" s="1"/>
      <c r="F6085" s="1"/>
    </row>
    <row r="6086" spans="5:6">
      <c r="E6086" s="1"/>
      <c r="F6086" s="1"/>
    </row>
    <row r="6087" spans="5:6">
      <c r="E6087" s="1"/>
      <c r="F6087" s="1"/>
    </row>
    <row r="6088" spans="5:6">
      <c r="E6088" s="1"/>
      <c r="F6088" s="1"/>
    </row>
    <row r="6089" spans="5:6">
      <c r="E6089" s="1"/>
      <c r="F6089" s="1"/>
    </row>
    <row r="6090" spans="5:6">
      <c r="E6090" s="1"/>
      <c r="F6090" s="1"/>
    </row>
    <row r="6091" spans="5:6">
      <c r="E6091" s="1"/>
      <c r="F6091" s="1"/>
    </row>
    <row r="6092" spans="5:6">
      <c r="E6092" s="1"/>
      <c r="F6092" s="1"/>
    </row>
    <row r="6093" spans="5:6">
      <c r="E6093" s="1"/>
      <c r="F6093" s="1"/>
    </row>
    <row r="6094" spans="5:6">
      <c r="E6094" s="1"/>
      <c r="F6094" s="1"/>
    </row>
    <row r="6095" spans="5:6">
      <c r="E6095" s="1"/>
      <c r="F6095" s="1"/>
    </row>
    <row r="6096" spans="5:6">
      <c r="E6096" s="1"/>
      <c r="F6096" s="1"/>
    </row>
    <row r="6097" spans="5:6">
      <c r="E6097" s="1"/>
      <c r="F6097" s="1"/>
    </row>
    <row r="6098" spans="5:6">
      <c r="E6098" s="1"/>
      <c r="F6098" s="1"/>
    </row>
    <row r="6099" spans="5:6">
      <c r="E6099" s="1"/>
      <c r="F6099" s="1"/>
    </row>
    <row r="6100" spans="5:6">
      <c r="E6100" s="1"/>
      <c r="F6100" s="1"/>
    </row>
    <row r="6101" spans="5:6">
      <c r="E6101" s="1"/>
      <c r="F6101" s="1"/>
    </row>
    <row r="6102" spans="5:6">
      <c r="E6102" s="1"/>
      <c r="F6102" s="1"/>
    </row>
    <row r="6103" spans="5:6">
      <c r="E6103" s="1"/>
      <c r="F6103" s="1"/>
    </row>
    <row r="6104" spans="5:6">
      <c r="E6104" s="1"/>
      <c r="F6104" s="1"/>
    </row>
    <row r="6105" spans="5:6">
      <c r="E6105" s="1"/>
      <c r="F6105" s="1"/>
    </row>
    <row r="6106" spans="5:6">
      <c r="E6106" s="1"/>
      <c r="F6106" s="1"/>
    </row>
    <row r="6107" spans="5:6">
      <c r="E6107" s="1"/>
      <c r="F6107" s="1"/>
    </row>
    <row r="6108" spans="5:6">
      <c r="E6108" s="1"/>
      <c r="F6108" s="1"/>
    </row>
    <row r="6109" spans="5:6">
      <c r="E6109" s="1"/>
      <c r="F6109" s="1"/>
    </row>
    <row r="6110" spans="5:6">
      <c r="E6110" s="1"/>
      <c r="F6110" s="1"/>
    </row>
    <row r="6111" spans="5:6">
      <c r="E6111" s="1"/>
      <c r="F6111" s="1"/>
    </row>
    <row r="6112" spans="5:6">
      <c r="E6112" s="1"/>
      <c r="F6112" s="1"/>
    </row>
    <row r="6113" spans="5:6">
      <c r="E6113" s="1"/>
      <c r="F6113" s="1"/>
    </row>
    <row r="6114" spans="5:6">
      <c r="E6114" s="1"/>
      <c r="F6114" s="1"/>
    </row>
    <row r="6115" spans="5:6">
      <c r="E6115" s="1"/>
      <c r="F6115" s="1"/>
    </row>
    <row r="6116" spans="5:6">
      <c r="E6116" s="1"/>
      <c r="F6116" s="1"/>
    </row>
    <row r="6117" spans="5:6">
      <c r="E6117" s="1"/>
      <c r="F6117" s="1"/>
    </row>
    <row r="6118" spans="5:6">
      <c r="E6118" s="1"/>
      <c r="F6118" s="1"/>
    </row>
    <row r="6119" spans="5:6">
      <c r="E6119" s="1"/>
      <c r="F6119" s="1"/>
    </row>
    <row r="6120" spans="5:6">
      <c r="E6120" s="1"/>
      <c r="F6120" s="1"/>
    </row>
    <row r="6121" spans="5:6">
      <c r="E6121" s="1"/>
      <c r="F6121" s="1"/>
    </row>
    <row r="6122" spans="5:6">
      <c r="E6122" s="1"/>
      <c r="F6122" s="1"/>
    </row>
    <row r="6123" spans="5:6">
      <c r="E6123" s="1"/>
      <c r="F6123" s="1"/>
    </row>
    <row r="6124" spans="5:6">
      <c r="E6124" s="1"/>
      <c r="F6124" s="1"/>
    </row>
    <row r="6125" spans="5:6">
      <c r="E6125" s="1"/>
      <c r="F6125" s="1"/>
    </row>
    <row r="6126" spans="5:6">
      <c r="E6126" s="1"/>
      <c r="F6126" s="1"/>
    </row>
    <row r="6127" spans="5:6">
      <c r="E6127" s="1"/>
      <c r="F6127" s="1"/>
    </row>
    <row r="6128" spans="5:6">
      <c r="E6128" s="1"/>
      <c r="F6128" s="1"/>
    </row>
    <row r="6129" spans="5:6">
      <c r="E6129" s="1"/>
      <c r="F6129" s="1"/>
    </row>
    <row r="6130" spans="5:6">
      <c r="E6130" s="1"/>
      <c r="F6130" s="1"/>
    </row>
    <row r="6131" spans="5:6">
      <c r="E6131" s="1"/>
      <c r="F6131" s="1"/>
    </row>
    <row r="6132" spans="5:6">
      <c r="E6132" s="1"/>
      <c r="F6132" s="1"/>
    </row>
    <row r="6133" spans="5:6">
      <c r="E6133" s="1"/>
      <c r="F6133" s="1"/>
    </row>
    <row r="6134" spans="5:6">
      <c r="E6134" s="1"/>
      <c r="F6134" s="1"/>
    </row>
    <row r="6135" spans="5:6">
      <c r="E6135" s="1"/>
      <c r="F6135" s="1"/>
    </row>
    <row r="6136" spans="5:6">
      <c r="E6136" s="1"/>
      <c r="F6136" s="1"/>
    </row>
    <row r="6137" spans="5:6">
      <c r="E6137" s="1"/>
      <c r="F6137" s="1"/>
    </row>
    <row r="6138" spans="5:6">
      <c r="E6138" s="1"/>
      <c r="F6138" s="1"/>
    </row>
    <row r="6139" spans="5:6">
      <c r="E6139" s="1"/>
      <c r="F6139" s="1"/>
    </row>
    <row r="6140" spans="5:6">
      <c r="E6140" s="1"/>
      <c r="F6140" s="1"/>
    </row>
    <row r="6141" spans="5:6">
      <c r="E6141" s="1"/>
      <c r="F6141" s="1"/>
    </row>
    <row r="6142" spans="5:6">
      <c r="E6142" s="1"/>
      <c r="F6142" s="1"/>
    </row>
    <row r="6143" spans="5:6">
      <c r="E6143" s="1"/>
      <c r="F6143" s="1"/>
    </row>
    <row r="6144" spans="5:6">
      <c r="E6144" s="1"/>
      <c r="F6144" s="1"/>
    </row>
    <row r="6145" spans="5:6">
      <c r="E6145" s="1"/>
      <c r="F6145" s="1"/>
    </row>
    <row r="6146" spans="5:6">
      <c r="E6146" s="1"/>
      <c r="F6146" s="1"/>
    </row>
    <row r="6147" spans="5:6">
      <c r="E6147" s="1"/>
      <c r="F6147" s="1"/>
    </row>
    <row r="6148" spans="5:6">
      <c r="E6148" s="1"/>
      <c r="F6148" s="1"/>
    </row>
    <row r="6149" spans="5:6">
      <c r="E6149" s="1"/>
      <c r="F6149" s="1"/>
    </row>
    <row r="6150" spans="5:6">
      <c r="E6150" s="1"/>
      <c r="F6150" s="1"/>
    </row>
    <row r="6151" spans="5:6">
      <c r="E6151" s="1"/>
      <c r="F6151" s="1"/>
    </row>
    <row r="6152" spans="5:6">
      <c r="E6152" s="1"/>
      <c r="F6152" s="1"/>
    </row>
    <row r="6153" spans="5:6">
      <c r="E6153" s="1"/>
      <c r="F6153" s="1"/>
    </row>
    <row r="6154" spans="5:6">
      <c r="E6154" s="1"/>
      <c r="F6154" s="1"/>
    </row>
    <row r="6155" spans="5:6">
      <c r="E6155" s="1"/>
      <c r="F6155" s="1"/>
    </row>
    <row r="6156" spans="5:6">
      <c r="E6156" s="1"/>
      <c r="F6156" s="1"/>
    </row>
    <row r="6157" spans="5:6">
      <c r="E6157" s="1"/>
      <c r="F6157" s="1"/>
    </row>
    <row r="6158" spans="5:6">
      <c r="E6158" s="1"/>
      <c r="F6158" s="1"/>
    </row>
    <row r="6159" spans="5:6">
      <c r="E6159" s="1"/>
      <c r="F6159" s="1"/>
    </row>
    <row r="6160" spans="5:6">
      <c r="E6160" s="1"/>
      <c r="F6160" s="1"/>
    </row>
    <row r="6161" spans="5:6">
      <c r="E6161" s="1"/>
      <c r="F6161" s="1"/>
    </row>
    <row r="6162" spans="5:6">
      <c r="E6162" s="1"/>
      <c r="F6162" s="1"/>
    </row>
    <row r="6163" spans="5:6">
      <c r="E6163" s="1"/>
      <c r="F6163" s="1"/>
    </row>
    <row r="6164" spans="5:6">
      <c r="E6164" s="1"/>
      <c r="F6164" s="1"/>
    </row>
    <row r="6165" spans="5:6">
      <c r="E6165" s="1"/>
      <c r="F6165" s="1"/>
    </row>
    <row r="6166" spans="5:6">
      <c r="E6166" s="1"/>
      <c r="F6166" s="1"/>
    </row>
    <row r="6167" spans="5:6">
      <c r="E6167" s="1"/>
      <c r="F6167" s="1"/>
    </row>
    <row r="6168" spans="5:6">
      <c r="E6168" s="1"/>
      <c r="F6168" s="1"/>
    </row>
    <row r="6169" spans="5:6">
      <c r="E6169" s="1"/>
      <c r="F6169" s="1"/>
    </row>
    <row r="6170" spans="5:6">
      <c r="E6170" s="1"/>
      <c r="F6170" s="1"/>
    </row>
    <row r="6171" spans="5:6">
      <c r="E6171" s="1"/>
      <c r="F6171" s="1"/>
    </row>
    <row r="6172" spans="5:6">
      <c r="E6172" s="1"/>
      <c r="F6172" s="1"/>
    </row>
    <row r="6173" spans="5:6">
      <c r="E6173" s="1"/>
      <c r="F6173" s="1"/>
    </row>
    <row r="6174" spans="5:6">
      <c r="E6174" s="1"/>
      <c r="F6174" s="1"/>
    </row>
    <row r="6175" spans="5:6">
      <c r="E6175" s="1"/>
      <c r="F6175" s="1"/>
    </row>
    <row r="6176" spans="5:6">
      <c r="E6176" s="1"/>
      <c r="F6176" s="1"/>
    </row>
    <row r="6177" spans="5:6">
      <c r="E6177" s="1"/>
      <c r="F6177" s="1"/>
    </row>
    <row r="6178" spans="5:6">
      <c r="E6178" s="1"/>
      <c r="F6178" s="1"/>
    </row>
    <row r="6179" spans="5:6">
      <c r="E6179" s="1"/>
      <c r="F6179" s="1"/>
    </row>
    <row r="6180" spans="5:6">
      <c r="E6180" s="1"/>
      <c r="F6180" s="1"/>
    </row>
    <row r="6181" spans="5:6">
      <c r="E6181" s="1"/>
      <c r="F6181" s="1"/>
    </row>
    <row r="6182" spans="5:6">
      <c r="E6182" s="1"/>
      <c r="F6182" s="1"/>
    </row>
    <row r="6183" spans="5:6">
      <c r="E6183" s="1"/>
      <c r="F6183" s="1"/>
    </row>
    <row r="6184" spans="5:6">
      <c r="E6184" s="1"/>
      <c r="F6184" s="1"/>
    </row>
    <row r="6185" spans="5:6">
      <c r="E6185" s="1"/>
      <c r="F6185" s="1"/>
    </row>
    <row r="6186" spans="5:6">
      <c r="E6186" s="1"/>
      <c r="F6186" s="1"/>
    </row>
    <row r="6187" spans="5:6">
      <c r="E6187" s="1"/>
      <c r="F6187" s="1"/>
    </row>
    <row r="6188" spans="5:6">
      <c r="E6188" s="1"/>
      <c r="F6188" s="1"/>
    </row>
    <row r="6189" spans="5:6">
      <c r="E6189" s="1"/>
      <c r="F6189" s="1"/>
    </row>
    <row r="6190" spans="5:6">
      <c r="E6190" s="1"/>
      <c r="F6190" s="1"/>
    </row>
    <row r="6191" spans="5:6">
      <c r="E6191" s="1"/>
      <c r="F6191" s="1"/>
    </row>
    <row r="6192" spans="5:6">
      <c r="E6192" s="1"/>
      <c r="F6192" s="1"/>
    </row>
    <row r="6193" spans="5:6">
      <c r="E6193" s="1"/>
      <c r="F6193" s="1"/>
    </row>
    <row r="6194" spans="5:6">
      <c r="E6194" s="1"/>
      <c r="F6194" s="1"/>
    </row>
    <row r="6195" spans="5:6">
      <c r="E6195" s="1"/>
      <c r="F6195" s="1"/>
    </row>
    <row r="6196" spans="5:6">
      <c r="E6196" s="1"/>
      <c r="F6196" s="1"/>
    </row>
    <row r="6197" spans="5:6">
      <c r="E6197" s="1"/>
      <c r="F6197" s="1"/>
    </row>
    <row r="6198" spans="5:6">
      <c r="E6198" s="1"/>
      <c r="F6198" s="1"/>
    </row>
    <row r="6199" spans="5:6">
      <c r="E6199" s="1"/>
      <c r="F6199" s="1"/>
    </row>
    <row r="6200" spans="5:6">
      <c r="E6200" s="1"/>
      <c r="F6200" s="1"/>
    </row>
    <row r="6201" spans="5:6">
      <c r="E6201" s="1"/>
      <c r="F6201" s="1"/>
    </row>
    <row r="6202" spans="5:6">
      <c r="E6202" s="1"/>
      <c r="F6202" s="1"/>
    </row>
    <row r="6203" spans="5:6">
      <c r="E6203" s="1"/>
      <c r="F6203" s="1"/>
    </row>
    <row r="6204" spans="5:6">
      <c r="E6204" s="1"/>
      <c r="F6204" s="1"/>
    </row>
    <row r="6205" spans="5:6">
      <c r="E6205" s="1"/>
      <c r="F6205" s="1"/>
    </row>
    <row r="6206" spans="5:6">
      <c r="E6206" s="1"/>
      <c r="F6206" s="1"/>
    </row>
    <row r="6207" spans="5:6">
      <c r="E6207" s="1"/>
      <c r="F6207" s="1"/>
    </row>
    <row r="6208" spans="5:6">
      <c r="E6208" s="1"/>
      <c r="F6208" s="1"/>
    </row>
    <row r="6209" spans="5:6">
      <c r="E6209" s="1"/>
      <c r="F6209" s="1"/>
    </row>
    <row r="6210" spans="5:6">
      <c r="E6210" s="1"/>
      <c r="F6210" s="1"/>
    </row>
    <row r="6211" spans="5:6">
      <c r="E6211" s="1"/>
      <c r="F6211" s="1"/>
    </row>
    <row r="6212" spans="5:6">
      <c r="E6212" s="1"/>
      <c r="F6212" s="1"/>
    </row>
    <row r="6213" spans="5:6">
      <c r="E6213" s="1"/>
      <c r="F6213" s="1"/>
    </row>
    <row r="6214" spans="5:6">
      <c r="E6214" s="1"/>
      <c r="F6214" s="1"/>
    </row>
    <row r="6215" spans="5:6">
      <c r="E6215" s="1"/>
      <c r="F6215" s="1"/>
    </row>
    <row r="6216" spans="5:6">
      <c r="E6216" s="1"/>
      <c r="F6216" s="1"/>
    </row>
    <row r="6217" spans="5:6">
      <c r="E6217" s="1"/>
      <c r="F6217" s="1"/>
    </row>
    <row r="6218" spans="5:6">
      <c r="E6218" s="1"/>
      <c r="F6218" s="1"/>
    </row>
    <row r="6219" spans="5:6">
      <c r="E6219" s="1"/>
      <c r="F6219" s="1"/>
    </row>
    <row r="6220" spans="5:6">
      <c r="E6220" s="1"/>
      <c r="F6220" s="1"/>
    </row>
    <row r="6221" spans="5:6">
      <c r="E6221" s="1"/>
      <c r="F6221" s="1"/>
    </row>
    <row r="6222" spans="5:6">
      <c r="E6222" s="1"/>
      <c r="F6222" s="1"/>
    </row>
    <row r="6223" spans="5:6">
      <c r="E6223" s="1"/>
      <c r="F6223" s="1"/>
    </row>
    <row r="6224" spans="5:6">
      <c r="E6224" s="1"/>
      <c r="F6224" s="1"/>
    </row>
    <row r="6225" spans="5:6">
      <c r="E6225" s="1"/>
      <c r="F6225" s="1"/>
    </row>
    <row r="6226" spans="5:6">
      <c r="E6226" s="1"/>
      <c r="F6226" s="1"/>
    </row>
    <row r="6227" spans="5:6">
      <c r="E6227" s="1"/>
      <c r="F6227" s="1"/>
    </row>
    <row r="6228" spans="5:6">
      <c r="E6228" s="1"/>
      <c r="F6228" s="1"/>
    </row>
    <row r="6229" spans="5:6">
      <c r="E6229" s="1"/>
      <c r="F6229" s="1"/>
    </row>
    <row r="6230" spans="5:6">
      <c r="E6230" s="1"/>
      <c r="F6230" s="1"/>
    </row>
    <row r="6231" spans="5:6">
      <c r="E6231" s="1"/>
      <c r="F6231" s="1"/>
    </row>
    <row r="6232" spans="5:6">
      <c r="E6232" s="1"/>
      <c r="F6232" s="1"/>
    </row>
    <row r="6233" spans="5:6">
      <c r="E6233" s="1"/>
      <c r="F6233" s="1"/>
    </row>
    <row r="6234" spans="5:6">
      <c r="E6234" s="1"/>
      <c r="F6234" s="1"/>
    </row>
    <row r="6235" spans="5:6">
      <c r="E6235" s="1"/>
      <c r="F6235" s="1"/>
    </row>
    <row r="6236" spans="5:6">
      <c r="E6236" s="1"/>
      <c r="F6236" s="1"/>
    </row>
    <row r="6237" spans="5:6">
      <c r="E6237" s="1"/>
      <c r="F6237" s="1"/>
    </row>
    <row r="6238" spans="5:6">
      <c r="E6238" s="1"/>
      <c r="F6238" s="1"/>
    </row>
    <row r="6239" spans="5:6">
      <c r="E6239" s="1"/>
      <c r="F6239" s="1"/>
    </row>
    <row r="6240" spans="5:6">
      <c r="E6240" s="1"/>
      <c r="F6240" s="1"/>
    </row>
    <row r="6241" spans="5:6">
      <c r="E6241" s="1"/>
      <c r="F6241" s="1"/>
    </row>
    <row r="6242" spans="5:6">
      <c r="E6242" s="1"/>
      <c r="F6242" s="1"/>
    </row>
    <row r="6243" spans="5:6">
      <c r="E6243" s="1"/>
      <c r="F6243" s="1"/>
    </row>
    <row r="6244" spans="5:6">
      <c r="E6244" s="1"/>
      <c r="F6244" s="1"/>
    </row>
    <row r="6245" spans="5:6">
      <c r="E6245" s="1"/>
      <c r="F6245" s="1"/>
    </row>
    <row r="6246" spans="5:6">
      <c r="E6246" s="1"/>
      <c r="F6246" s="1"/>
    </row>
    <row r="6247" spans="5:6">
      <c r="E6247" s="1"/>
      <c r="F6247" s="1"/>
    </row>
    <row r="6248" spans="5:6">
      <c r="E6248" s="1"/>
      <c r="F6248" s="1"/>
    </row>
    <row r="6249" spans="5:6">
      <c r="E6249" s="1"/>
      <c r="F6249" s="1"/>
    </row>
    <row r="6250" spans="5:6">
      <c r="E6250" s="1"/>
      <c r="F6250" s="1"/>
    </row>
    <row r="6251" spans="5:6">
      <c r="E6251" s="1"/>
      <c r="F6251" s="1"/>
    </row>
    <row r="6252" spans="5:6">
      <c r="E6252" s="1"/>
      <c r="F6252" s="1"/>
    </row>
    <row r="6253" spans="5:6">
      <c r="E6253" s="1"/>
      <c r="F6253" s="1"/>
    </row>
    <row r="6254" spans="5:6">
      <c r="E6254" s="1"/>
      <c r="F6254" s="1"/>
    </row>
    <row r="6255" spans="5:6">
      <c r="E6255" s="1"/>
      <c r="F6255" s="1"/>
    </row>
    <row r="6256" spans="5:6">
      <c r="E6256" s="1"/>
      <c r="F6256" s="1"/>
    </row>
    <row r="6257" spans="5:6">
      <c r="E6257" s="1"/>
      <c r="F6257" s="1"/>
    </row>
    <row r="6258" spans="5:6">
      <c r="E6258" s="1"/>
      <c r="F6258" s="1"/>
    </row>
    <row r="6259" spans="5:6">
      <c r="E6259" s="1"/>
      <c r="F6259" s="1"/>
    </row>
    <row r="6260" spans="5:6">
      <c r="E6260" s="1"/>
      <c r="F6260" s="1"/>
    </row>
    <row r="6261" spans="5:6">
      <c r="E6261" s="1"/>
      <c r="F6261" s="1"/>
    </row>
    <row r="6262" spans="5:6">
      <c r="E6262" s="1"/>
      <c r="F6262" s="1"/>
    </row>
    <row r="6263" spans="5:6">
      <c r="E6263" s="1"/>
      <c r="F6263" s="1"/>
    </row>
    <row r="6264" spans="5:6">
      <c r="E6264" s="1"/>
      <c r="F6264" s="1"/>
    </row>
    <row r="6265" spans="5:6">
      <c r="E6265" s="1"/>
      <c r="F6265" s="1"/>
    </row>
    <row r="6266" spans="5:6">
      <c r="E6266" s="1"/>
      <c r="F6266" s="1"/>
    </row>
    <row r="6267" spans="5:6">
      <c r="E6267" s="1"/>
      <c r="F6267" s="1"/>
    </row>
    <row r="6268" spans="5:6">
      <c r="E6268" s="1"/>
      <c r="F6268" s="1"/>
    </row>
    <row r="6269" spans="5:6">
      <c r="E6269" s="1"/>
      <c r="F6269" s="1"/>
    </row>
    <row r="6270" spans="5:6">
      <c r="E6270" s="1"/>
      <c r="F6270" s="1"/>
    </row>
    <row r="6271" spans="5:6">
      <c r="E6271" s="1"/>
      <c r="F6271" s="1"/>
    </row>
    <row r="6272" spans="5:6">
      <c r="E6272" s="1"/>
      <c r="F6272" s="1"/>
    </row>
    <row r="6273" spans="5:6">
      <c r="E6273" s="1"/>
      <c r="F6273" s="1"/>
    </row>
    <row r="6274" spans="5:6">
      <c r="E6274" s="1"/>
      <c r="F6274" s="1"/>
    </row>
    <row r="6275" spans="5:6">
      <c r="E6275" s="1"/>
      <c r="F6275" s="1"/>
    </row>
    <row r="6276" spans="5:6">
      <c r="E6276" s="1"/>
      <c r="F6276" s="1"/>
    </row>
    <row r="6277" spans="5:6">
      <c r="E6277" s="1"/>
      <c r="F6277" s="1"/>
    </row>
    <row r="6278" spans="5:6">
      <c r="E6278" s="1"/>
      <c r="F6278" s="1"/>
    </row>
    <row r="6279" spans="5:6">
      <c r="E6279" s="1"/>
      <c r="F6279" s="1"/>
    </row>
    <row r="6280" spans="5:6">
      <c r="E6280" s="1"/>
      <c r="F6280" s="1"/>
    </row>
    <row r="6281" spans="5:6">
      <c r="E6281" s="1"/>
      <c r="F6281" s="1"/>
    </row>
    <row r="6282" spans="5:6">
      <c r="E6282" s="1"/>
      <c r="F6282" s="1"/>
    </row>
    <row r="6283" spans="5:6">
      <c r="E6283" s="1"/>
      <c r="F6283" s="1"/>
    </row>
    <row r="6284" spans="5:6">
      <c r="E6284" s="1"/>
      <c r="F6284" s="1"/>
    </row>
    <row r="6285" spans="5:6">
      <c r="E6285" s="1"/>
      <c r="F6285" s="1"/>
    </row>
    <row r="6286" spans="5:6">
      <c r="E6286" s="1"/>
      <c r="F6286" s="1"/>
    </row>
    <row r="6287" spans="5:6">
      <c r="E6287" s="1"/>
      <c r="F6287" s="1"/>
    </row>
    <row r="6288" spans="5:6">
      <c r="E6288" s="1"/>
      <c r="F6288" s="1"/>
    </row>
    <row r="6289" spans="5:6">
      <c r="E6289" s="1"/>
      <c r="F6289" s="1"/>
    </row>
    <row r="6290" spans="5:6">
      <c r="E6290" s="1"/>
      <c r="F6290" s="1"/>
    </row>
    <row r="6291" spans="5:6">
      <c r="E6291" s="1"/>
      <c r="F6291" s="1"/>
    </row>
    <row r="6292" spans="5:6">
      <c r="E6292" s="1"/>
      <c r="F6292" s="1"/>
    </row>
    <row r="6293" spans="5:6">
      <c r="E6293" s="1"/>
      <c r="F6293" s="1"/>
    </row>
    <row r="6294" spans="5:6">
      <c r="E6294" s="1"/>
      <c r="F6294" s="1"/>
    </row>
    <row r="6295" spans="5:6">
      <c r="E6295" s="1"/>
      <c r="F6295" s="1"/>
    </row>
    <row r="6296" spans="5:6">
      <c r="E6296" s="1"/>
      <c r="F6296" s="1"/>
    </row>
    <row r="6297" spans="5:6">
      <c r="E6297" s="1"/>
      <c r="F6297" s="1"/>
    </row>
    <row r="6298" spans="5:6">
      <c r="E6298" s="1"/>
      <c r="F6298" s="1"/>
    </row>
    <row r="6299" spans="5:6">
      <c r="E6299" s="1"/>
      <c r="F6299" s="1"/>
    </row>
    <row r="6300" spans="5:6">
      <c r="E6300" s="1"/>
      <c r="F6300" s="1"/>
    </row>
    <row r="6301" spans="5:6">
      <c r="E6301" s="1"/>
      <c r="F6301" s="1"/>
    </row>
    <row r="6302" spans="5:6">
      <c r="E6302" s="1"/>
      <c r="F6302" s="1"/>
    </row>
    <row r="6303" spans="5:6">
      <c r="E6303" s="1"/>
      <c r="F6303" s="1"/>
    </row>
    <row r="6304" spans="5:6">
      <c r="E6304" s="1"/>
      <c r="F6304" s="1"/>
    </row>
    <row r="6305" spans="5:6">
      <c r="E6305" s="1"/>
      <c r="F6305" s="1"/>
    </row>
    <row r="6306" spans="5:6">
      <c r="E6306" s="1"/>
      <c r="F6306" s="1"/>
    </row>
    <row r="6307" spans="5:6">
      <c r="E6307" s="1"/>
      <c r="F6307" s="1"/>
    </row>
    <row r="6308" spans="5:6">
      <c r="E6308" s="1"/>
      <c r="F6308" s="1"/>
    </row>
    <row r="6309" spans="5:6">
      <c r="E6309" s="1"/>
      <c r="F6309" s="1"/>
    </row>
    <row r="6310" spans="5:6">
      <c r="E6310" s="1"/>
      <c r="F6310" s="1"/>
    </row>
    <row r="6311" spans="5:6">
      <c r="E6311" s="1"/>
      <c r="F6311" s="1"/>
    </row>
    <row r="6312" spans="5:6">
      <c r="E6312" s="1"/>
      <c r="F6312" s="1"/>
    </row>
    <row r="6313" spans="5:6">
      <c r="E6313" s="1"/>
      <c r="F6313" s="1"/>
    </row>
    <row r="6314" spans="5:6">
      <c r="E6314" s="1"/>
      <c r="F6314" s="1"/>
    </row>
    <row r="6315" spans="5:6">
      <c r="E6315" s="1"/>
      <c r="F6315" s="1"/>
    </row>
    <row r="6316" spans="5:6">
      <c r="E6316" s="1"/>
      <c r="F6316" s="1"/>
    </row>
    <row r="6317" spans="5:6">
      <c r="E6317" s="1"/>
      <c r="F6317" s="1"/>
    </row>
    <row r="6318" spans="5:6">
      <c r="E6318" s="1"/>
      <c r="F6318" s="1"/>
    </row>
    <row r="6319" spans="5:6">
      <c r="E6319" s="1"/>
      <c r="F6319" s="1"/>
    </row>
    <row r="6320" spans="5:6">
      <c r="E6320" s="1"/>
      <c r="F6320" s="1"/>
    </row>
    <row r="6321" spans="5:6">
      <c r="E6321" s="1"/>
      <c r="F6321" s="1"/>
    </row>
    <row r="6322" spans="5:6">
      <c r="E6322" s="1"/>
      <c r="F6322" s="1"/>
    </row>
    <row r="6323" spans="5:6">
      <c r="E6323" s="1"/>
      <c r="F6323" s="1"/>
    </row>
    <row r="6324" spans="5:6">
      <c r="E6324" s="1"/>
      <c r="F6324" s="1"/>
    </row>
    <row r="6325" spans="5:6">
      <c r="E6325" s="1"/>
      <c r="F6325" s="1"/>
    </row>
    <row r="6326" spans="5:6">
      <c r="E6326" s="1"/>
      <c r="F6326" s="1"/>
    </row>
    <row r="6327" spans="5:6">
      <c r="E6327" s="1"/>
      <c r="F6327" s="1"/>
    </row>
    <row r="6328" spans="5:6">
      <c r="E6328" s="1"/>
      <c r="F6328" s="1"/>
    </row>
    <row r="6329" spans="5:6">
      <c r="E6329" s="1"/>
      <c r="F6329" s="1"/>
    </row>
    <row r="6330" spans="5:6">
      <c r="E6330" s="1"/>
      <c r="F6330" s="1"/>
    </row>
    <row r="6331" spans="5:6">
      <c r="E6331" s="1"/>
      <c r="F6331" s="1"/>
    </row>
    <row r="6332" spans="5:6">
      <c r="E6332" s="1"/>
      <c r="F6332" s="1"/>
    </row>
    <row r="6333" spans="5:6">
      <c r="E6333" s="1"/>
      <c r="F6333" s="1"/>
    </row>
    <row r="6334" spans="5:6">
      <c r="E6334" s="1"/>
      <c r="F6334" s="1"/>
    </row>
    <row r="6335" spans="5:6">
      <c r="E6335" s="1"/>
      <c r="F6335" s="1"/>
    </row>
    <row r="6336" spans="5:6">
      <c r="E6336" s="1"/>
      <c r="F6336" s="1"/>
    </row>
    <row r="6337" spans="5:6">
      <c r="E6337" s="1"/>
      <c r="F6337" s="1"/>
    </row>
    <row r="6338" spans="5:6">
      <c r="E6338" s="1"/>
      <c r="F6338" s="1"/>
    </row>
    <row r="6339" spans="5:6">
      <c r="E6339" s="1"/>
      <c r="F6339" s="1"/>
    </row>
    <row r="6340" spans="5:6">
      <c r="E6340" s="1"/>
      <c r="F6340" s="1"/>
    </row>
    <row r="6341" spans="5:6">
      <c r="E6341" s="1"/>
      <c r="F6341" s="1"/>
    </row>
    <row r="6342" spans="5:6">
      <c r="E6342" s="1"/>
      <c r="F6342" s="1"/>
    </row>
    <row r="6343" spans="5:6">
      <c r="E6343" s="1"/>
      <c r="F6343" s="1"/>
    </row>
    <row r="6344" spans="5:6">
      <c r="E6344" s="1"/>
      <c r="F6344" s="1"/>
    </row>
    <row r="6345" spans="5:6">
      <c r="E6345" s="1"/>
      <c r="F6345" s="1"/>
    </row>
    <row r="6346" spans="5:6">
      <c r="E6346" s="1"/>
      <c r="F6346" s="1"/>
    </row>
    <row r="6347" spans="5:6">
      <c r="E6347" s="1"/>
      <c r="F6347" s="1"/>
    </row>
    <row r="6348" spans="5:6">
      <c r="E6348" s="1"/>
      <c r="F6348" s="1"/>
    </row>
    <row r="6349" spans="5:6">
      <c r="E6349" s="1"/>
      <c r="F6349" s="1"/>
    </row>
    <row r="6350" spans="5:6">
      <c r="E6350" s="1"/>
      <c r="F6350" s="1"/>
    </row>
    <row r="6351" spans="5:6">
      <c r="E6351" s="1"/>
      <c r="F6351" s="1"/>
    </row>
    <row r="6352" spans="5:6">
      <c r="E6352" s="1"/>
      <c r="F6352" s="1"/>
    </row>
    <row r="6353" spans="5:6">
      <c r="E6353" s="1"/>
      <c r="F6353" s="1"/>
    </row>
    <row r="6354" spans="5:6">
      <c r="E6354" s="1"/>
      <c r="F6354" s="1"/>
    </row>
    <row r="6355" spans="5:6">
      <c r="E6355" s="1"/>
      <c r="F6355" s="1"/>
    </row>
    <row r="6356" spans="5:6">
      <c r="E6356" s="1"/>
      <c r="F6356" s="1"/>
    </row>
    <row r="6357" spans="5:6">
      <c r="E6357" s="1"/>
      <c r="F6357" s="1"/>
    </row>
    <row r="6358" spans="5:6">
      <c r="E6358" s="1"/>
      <c r="F6358" s="1"/>
    </row>
    <row r="6359" spans="5:6">
      <c r="E6359" s="1"/>
      <c r="F6359" s="1"/>
    </row>
    <row r="6360" spans="5:6">
      <c r="E6360" s="1"/>
      <c r="F6360" s="1"/>
    </row>
    <row r="6361" spans="5:6">
      <c r="E6361" s="1"/>
      <c r="F6361" s="1"/>
    </row>
    <row r="6362" spans="5:6">
      <c r="E6362" s="1"/>
      <c r="F6362" s="1"/>
    </row>
    <row r="6363" spans="5:6">
      <c r="E6363" s="1"/>
      <c r="F6363" s="1"/>
    </row>
    <row r="6364" spans="5:6">
      <c r="E6364" s="1"/>
      <c r="F6364" s="1"/>
    </row>
    <row r="6365" spans="5:6">
      <c r="E6365" s="1"/>
      <c r="F6365" s="1"/>
    </row>
    <row r="6366" spans="5:6">
      <c r="E6366" s="1"/>
      <c r="F6366" s="1"/>
    </row>
    <row r="6367" spans="5:6">
      <c r="E6367" s="1"/>
      <c r="F6367" s="1"/>
    </row>
    <row r="6368" spans="5:6">
      <c r="E6368" s="1"/>
      <c r="F6368" s="1"/>
    </row>
    <row r="6369" spans="5:6">
      <c r="E6369" s="1"/>
      <c r="F6369" s="1"/>
    </row>
    <row r="6370" spans="5:6">
      <c r="E6370" s="1"/>
      <c r="F6370" s="1"/>
    </row>
    <row r="6371" spans="5:6">
      <c r="E6371" s="1"/>
      <c r="F6371" s="1"/>
    </row>
    <row r="6372" spans="5:6">
      <c r="E6372" s="1"/>
      <c r="F6372" s="1"/>
    </row>
    <row r="6373" spans="5:6">
      <c r="E6373" s="1"/>
      <c r="F6373" s="1"/>
    </row>
    <row r="6374" spans="5:6">
      <c r="E6374" s="1"/>
      <c r="F6374" s="1"/>
    </row>
    <row r="6375" spans="5:6">
      <c r="E6375" s="1"/>
      <c r="F6375" s="1"/>
    </row>
    <row r="6376" spans="5:6">
      <c r="E6376" s="1"/>
      <c r="F6376" s="1"/>
    </row>
    <row r="6377" spans="5:6">
      <c r="E6377" s="1"/>
      <c r="F6377" s="1"/>
    </row>
    <row r="6378" spans="5:6">
      <c r="E6378" s="1"/>
      <c r="F6378" s="1"/>
    </row>
    <row r="6379" spans="5:6">
      <c r="E6379" s="1"/>
      <c r="F6379" s="1"/>
    </row>
    <row r="6380" spans="5:6">
      <c r="E6380" s="1"/>
      <c r="F6380" s="1"/>
    </row>
    <row r="6381" spans="5:6">
      <c r="E6381" s="1"/>
      <c r="F6381" s="1"/>
    </row>
    <row r="6382" spans="5:6">
      <c r="E6382" s="1"/>
      <c r="F6382" s="1"/>
    </row>
    <row r="6383" spans="5:6">
      <c r="E6383" s="1"/>
      <c r="F6383" s="1"/>
    </row>
    <row r="6384" spans="5:6">
      <c r="E6384" s="1"/>
      <c r="F6384" s="1"/>
    </row>
    <row r="6385" spans="5:6">
      <c r="E6385" s="1"/>
      <c r="F6385" s="1"/>
    </row>
    <row r="6386" spans="5:6">
      <c r="E6386" s="1"/>
      <c r="F6386" s="1"/>
    </row>
    <row r="6387" spans="5:6">
      <c r="E6387" s="1"/>
      <c r="F6387" s="1"/>
    </row>
    <row r="6388" spans="5:6">
      <c r="E6388" s="1"/>
      <c r="F6388" s="1"/>
    </row>
    <row r="6389" spans="5:6">
      <c r="E6389" s="1"/>
      <c r="F6389" s="1"/>
    </row>
    <row r="6390" spans="5:6">
      <c r="E6390" s="1"/>
      <c r="F6390" s="1"/>
    </row>
    <row r="6391" spans="5:6">
      <c r="E6391" s="1"/>
      <c r="F6391" s="1"/>
    </row>
    <row r="6392" spans="5:6">
      <c r="E6392" s="1"/>
      <c r="F6392" s="1"/>
    </row>
    <row r="6393" spans="5:6">
      <c r="E6393" s="1"/>
      <c r="F6393" s="1"/>
    </row>
    <row r="6394" spans="5:6">
      <c r="E6394" s="1"/>
      <c r="F6394" s="1"/>
    </row>
    <row r="6395" spans="5:6">
      <c r="E6395" s="1"/>
      <c r="F6395" s="1"/>
    </row>
    <row r="6396" spans="5:6">
      <c r="E6396" s="1"/>
      <c r="F6396" s="1"/>
    </row>
    <row r="6397" spans="5:6">
      <c r="E6397" s="1"/>
      <c r="F6397" s="1"/>
    </row>
    <row r="6398" spans="5:6">
      <c r="E6398" s="1"/>
      <c r="F6398" s="1"/>
    </row>
    <row r="6399" spans="5:6">
      <c r="E6399" s="1"/>
      <c r="F6399" s="1"/>
    </row>
    <row r="6400" spans="5:6">
      <c r="E6400" s="1"/>
      <c r="F6400" s="1"/>
    </row>
    <row r="6401" spans="5:6">
      <c r="E6401" s="1"/>
      <c r="F6401" s="1"/>
    </row>
    <row r="6402" spans="5:6">
      <c r="E6402" s="1"/>
      <c r="F6402" s="1"/>
    </row>
    <row r="6403" spans="5:6">
      <c r="E6403" s="1"/>
      <c r="F6403" s="1"/>
    </row>
    <row r="6404" spans="5:6">
      <c r="E6404" s="1"/>
      <c r="F6404" s="1"/>
    </row>
    <row r="6405" spans="5:6">
      <c r="E6405" s="1"/>
      <c r="F6405" s="1"/>
    </row>
    <row r="6406" spans="5:6">
      <c r="E6406" s="1"/>
      <c r="F6406" s="1"/>
    </row>
    <row r="6407" spans="5:6">
      <c r="E6407" s="1"/>
      <c r="F6407" s="1"/>
    </row>
    <row r="6408" spans="5:6">
      <c r="E6408" s="1"/>
      <c r="F6408" s="1"/>
    </row>
    <row r="6409" spans="5:6">
      <c r="E6409" s="1"/>
      <c r="F6409" s="1"/>
    </row>
    <row r="6410" spans="5:6">
      <c r="E6410" s="1"/>
      <c r="F6410" s="1"/>
    </row>
    <row r="6411" spans="5:6">
      <c r="E6411" s="1"/>
      <c r="F6411" s="1"/>
    </row>
    <row r="6412" spans="5:6">
      <c r="E6412" s="1"/>
      <c r="F6412" s="1"/>
    </row>
    <row r="6413" spans="5:6">
      <c r="E6413" s="1"/>
      <c r="F6413" s="1"/>
    </row>
    <row r="6414" spans="5:6">
      <c r="E6414" s="1"/>
      <c r="F6414" s="1"/>
    </row>
    <row r="6415" spans="5:6">
      <c r="E6415" s="1"/>
      <c r="F6415" s="1"/>
    </row>
    <row r="6416" spans="5:6">
      <c r="E6416" s="1"/>
      <c r="F6416" s="1"/>
    </row>
    <row r="6417" spans="5:6">
      <c r="E6417" s="1"/>
      <c r="F6417" s="1"/>
    </row>
    <row r="6418" spans="5:6">
      <c r="E6418" s="1"/>
      <c r="F6418" s="1"/>
    </row>
    <row r="6419" spans="5:6">
      <c r="E6419" s="1"/>
      <c r="F6419" s="1"/>
    </row>
    <row r="6420" spans="5:6">
      <c r="E6420" s="1"/>
      <c r="F6420" s="1"/>
    </row>
    <row r="6421" spans="5:6">
      <c r="E6421" s="1"/>
      <c r="F6421" s="1"/>
    </row>
    <row r="6422" spans="5:6">
      <c r="E6422" s="1"/>
      <c r="F6422" s="1"/>
    </row>
    <row r="6423" spans="5:6">
      <c r="E6423" s="1"/>
      <c r="F6423" s="1"/>
    </row>
    <row r="6424" spans="5:6">
      <c r="E6424" s="1"/>
      <c r="F6424" s="1"/>
    </row>
    <row r="6425" spans="5:6">
      <c r="E6425" s="1"/>
      <c r="F6425" s="1"/>
    </row>
    <row r="6426" spans="5:6">
      <c r="E6426" s="1"/>
      <c r="F6426" s="1"/>
    </row>
    <row r="6427" spans="5:6">
      <c r="E6427" s="1"/>
      <c r="F6427" s="1"/>
    </row>
    <row r="6428" spans="5:6">
      <c r="E6428" s="1"/>
      <c r="F6428" s="1"/>
    </row>
    <row r="6429" spans="5:6">
      <c r="E6429" s="1"/>
      <c r="F6429" s="1"/>
    </row>
    <row r="6430" spans="5:6">
      <c r="E6430" s="1"/>
      <c r="F6430" s="1"/>
    </row>
    <row r="6431" spans="5:6">
      <c r="E6431" s="1"/>
      <c r="F6431" s="1"/>
    </row>
    <row r="6432" spans="5:6">
      <c r="E6432" s="1"/>
      <c r="F6432" s="1"/>
    </row>
    <row r="6433" spans="5:6">
      <c r="E6433" s="1"/>
      <c r="F6433" s="1"/>
    </row>
    <row r="6434" spans="5:6">
      <c r="E6434" s="1"/>
      <c r="F6434" s="1"/>
    </row>
    <row r="6435" spans="5:6">
      <c r="E6435" s="1"/>
      <c r="F6435" s="1"/>
    </row>
    <row r="6436" spans="5:6">
      <c r="E6436" s="1"/>
      <c r="F6436" s="1"/>
    </row>
    <row r="6437" spans="5:6">
      <c r="E6437" s="1"/>
      <c r="F6437" s="1"/>
    </row>
    <row r="6438" spans="5:6">
      <c r="E6438" s="1"/>
      <c r="F6438" s="1"/>
    </row>
    <row r="6439" spans="5:6">
      <c r="E6439" s="1"/>
      <c r="F6439" s="1"/>
    </row>
    <row r="6440" spans="5:6">
      <c r="E6440" s="1"/>
      <c r="F6440" s="1"/>
    </row>
    <row r="6441" spans="5:6">
      <c r="E6441" s="1"/>
      <c r="F6441" s="1"/>
    </row>
    <row r="6442" spans="5:6">
      <c r="E6442" s="1"/>
      <c r="F6442" s="1"/>
    </row>
    <row r="6443" spans="5:6">
      <c r="E6443" s="1"/>
      <c r="F6443" s="1"/>
    </row>
    <row r="6444" spans="5:6">
      <c r="E6444" s="1"/>
      <c r="F6444" s="1"/>
    </row>
    <row r="6445" spans="5:6">
      <c r="E6445" s="1"/>
      <c r="F6445" s="1"/>
    </row>
    <row r="6446" spans="5:6">
      <c r="E6446" s="1"/>
      <c r="F6446" s="1"/>
    </row>
    <row r="6447" spans="5:6">
      <c r="E6447" s="1"/>
      <c r="F6447" s="1"/>
    </row>
    <row r="6448" spans="5:6">
      <c r="E6448" s="1"/>
      <c r="F6448" s="1"/>
    </row>
    <row r="6449" spans="5:6">
      <c r="E6449" s="1"/>
      <c r="F6449" s="1"/>
    </row>
    <row r="6450" spans="5:6">
      <c r="E6450" s="1"/>
      <c r="F6450" s="1"/>
    </row>
    <row r="6451" spans="5:6">
      <c r="E6451" s="1"/>
      <c r="F6451" s="1"/>
    </row>
    <row r="6452" spans="5:6">
      <c r="E6452" s="1"/>
      <c r="F6452" s="1"/>
    </row>
    <row r="6453" spans="5:6">
      <c r="E6453" s="1"/>
      <c r="F6453" s="1"/>
    </row>
    <row r="6454" spans="5:6">
      <c r="E6454" s="1"/>
      <c r="F6454" s="1"/>
    </row>
    <row r="6455" spans="5:6">
      <c r="E6455" s="1"/>
      <c r="F6455" s="1"/>
    </row>
    <row r="6456" spans="5:6">
      <c r="E6456" s="1"/>
      <c r="F6456" s="1"/>
    </row>
    <row r="6457" spans="5:6">
      <c r="E6457" s="1"/>
      <c r="F6457" s="1"/>
    </row>
    <row r="6458" spans="5:6">
      <c r="E6458" s="1"/>
      <c r="F6458" s="1"/>
    </row>
    <row r="6459" spans="5:6">
      <c r="E6459" s="1"/>
      <c r="F6459" s="1"/>
    </row>
    <row r="6460" spans="5:6">
      <c r="E6460" s="1"/>
      <c r="F6460" s="1"/>
    </row>
    <row r="6461" spans="5:6">
      <c r="E6461" s="1"/>
      <c r="F6461" s="1"/>
    </row>
    <row r="6462" spans="5:6">
      <c r="E6462" s="1"/>
      <c r="F6462" s="1"/>
    </row>
    <row r="6463" spans="5:6">
      <c r="E6463" s="1"/>
      <c r="F6463" s="1"/>
    </row>
    <row r="6464" spans="5:6">
      <c r="E6464" s="1"/>
      <c r="F6464" s="1"/>
    </row>
    <row r="6465" spans="5:6">
      <c r="E6465" s="1"/>
      <c r="F6465" s="1"/>
    </row>
    <row r="6466" spans="5:6">
      <c r="E6466" s="1"/>
      <c r="F6466" s="1"/>
    </row>
    <row r="6467" spans="5:6">
      <c r="E6467" s="1"/>
      <c r="F6467" s="1"/>
    </row>
    <row r="6468" spans="5:6">
      <c r="E6468" s="1"/>
      <c r="F6468" s="1"/>
    </row>
    <row r="6469" spans="5:6">
      <c r="E6469" s="1"/>
      <c r="F6469" s="1"/>
    </row>
    <row r="6470" spans="5:6">
      <c r="E6470" s="1"/>
      <c r="F6470" s="1"/>
    </row>
    <row r="6471" spans="5:6">
      <c r="E6471" s="1"/>
      <c r="F6471" s="1"/>
    </row>
    <row r="6472" spans="5:6">
      <c r="E6472" s="1"/>
      <c r="F6472" s="1"/>
    </row>
    <row r="6473" spans="5:6">
      <c r="E6473" s="1"/>
      <c r="F6473" s="1"/>
    </row>
    <row r="6474" spans="5:6">
      <c r="E6474" s="1"/>
      <c r="F6474" s="1"/>
    </row>
    <row r="6475" spans="5:6">
      <c r="E6475" s="1"/>
      <c r="F6475" s="1"/>
    </row>
    <row r="6476" spans="5:6">
      <c r="E6476" s="1"/>
      <c r="F6476" s="1"/>
    </row>
    <row r="6477" spans="5:6">
      <c r="E6477" s="1"/>
      <c r="F6477" s="1"/>
    </row>
    <row r="6478" spans="5:6">
      <c r="E6478" s="1"/>
      <c r="F6478" s="1"/>
    </row>
    <row r="6479" spans="5:6">
      <c r="E6479" s="1"/>
      <c r="F6479" s="1"/>
    </row>
    <row r="6480" spans="5:6">
      <c r="E6480" s="1"/>
      <c r="F6480" s="1"/>
    </row>
    <row r="6481" spans="5:6">
      <c r="E6481" s="1"/>
      <c r="F6481" s="1"/>
    </row>
    <row r="6482" spans="5:6">
      <c r="E6482" s="1"/>
      <c r="F6482" s="1"/>
    </row>
    <row r="6483" spans="5:6">
      <c r="E6483" s="1"/>
      <c r="F6483" s="1"/>
    </row>
    <row r="6484" spans="5:6">
      <c r="E6484" s="1"/>
      <c r="F6484" s="1"/>
    </row>
    <row r="6485" spans="5:6">
      <c r="E6485" s="1"/>
      <c r="F6485" s="1"/>
    </row>
    <row r="6486" spans="5:6">
      <c r="E6486" s="1"/>
      <c r="F6486" s="1"/>
    </row>
    <row r="6487" spans="5:6">
      <c r="E6487" s="1"/>
      <c r="F6487" s="1"/>
    </row>
    <row r="6488" spans="5:6">
      <c r="E6488" s="1"/>
      <c r="F6488" s="1"/>
    </row>
    <row r="6489" spans="5:6">
      <c r="E6489" s="1"/>
      <c r="F6489" s="1"/>
    </row>
    <row r="6490" spans="5:6">
      <c r="E6490" s="1"/>
      <c r="F6490" s="1"/>
    </row>
    <row r="6491" spans="5:6">
      <c r="E6491" s="1"/>
      <c r="F6491" s="1"/>
    </row>
    <row r="6492" spans="5:6">
      <c r="E6492" s="1"/>
      <c r="F6492" s="1"/>
    </row>
    <row r="6493" spans="5:6">
      <c r="E6493" s="1"/>
      <c r="F6493" s="1"/>
    </row>
    <row r="6494" spans="5:6">
      <c r="E6494" s="1"/>
      <c r="F6494" s="1"/>
    </row>
    <row r="6495" spans="5:6">
      <c r="E6495" s="1"/>
      <c r="F6495" s="1"/>
    </row>
    <row r="6496" spans="5:6">
      <c r="E6496" s="1"/>
      <c r="F6496" s="1"/>
    </row>
    <row r="6497" spans="5:6">
      <c r="E6497" s="1"/>
      <c r="F6497" s="1"/>
    </row>
    <row r="6498" spans="5:6">
      <c r="E6498" s="1"/>
      <c r="F6498" s="1"/>
    </row>
    <row r="6499" spans="5:6">
      <c r="E6499" s="1"/>
      <c r="F6499" s="1"/>
    </row>
    <row r="6500" spans="5:6">
      <c r="E6500" s="1"/>
      <c r="F6500" s="1"/>
    </row>
    <row r="6501" spans="5:6">
      <c r="E6501" s="1"/>
      <c r="F6501" s="1"/>
    </row>
    <row r="6502" spans="5:6">
      <c r="E6502" s="1"/>
      <c r="F6502" s="1"/>
    </row>
    <row r="6503" spans="5:6">
      <c r="E6503" s="1"/>
      <c r="F6503" s="1"/>
    </row>
    <row r="6504" spans="5:6">
      <c r="E6504" s="1"/>
      <c r="F6504" s="1"/>
    </row>
    <row r="6505" spans="5:6">
      <c r="E6505" s="1"/>
      <c r="F6505" s="1"/>
    </row>
    <row r="6506" spans="5:6">
      <c r="E6506" s="1"/>
      <c r="F6506" s="1"/>
    </row>
    <row r="6507" spans="5:6">
      <c r="E6507" s="1"/>
      <c r="F6507" s="1"/>
    </row>
    <row r="6508" spans="5:6">
      <c r="E6508" s="1"/>
      <c r="F6508" s="1"/>
    </row>
    <row r="6509" spans="5:6">
      <c r="E6509" s="1"/>
      <c r="F6509" s="1"/>
    </row>
    <row r="6510" spans="5:6">
      <c r="E6510" s="1"/>
      <c r="F6510" s="1"/>
    </row>
    <row r="6511" spans="5:6">
      <c r="E6511" s="1"/>
      <c r="F6511" s="1"/>
    </row>
    <row r="6512" spans="5:6">
      <c r="E6512" s="1"/>
      <c r="F6512" s="1"/>
    </row>
    <row r="6513" spans="5:6">
      <c r="E6513" s="1"/>
      <c r="F6513" s="1"/>
    </row>
    <row r="6514" spans="5:6">
      <c r="E6514" s="1"/>
      <c r="F6514" s="1"/>
    </row>
    <row r="6515" spans="5:6">
      <c r="E6515" s="1"/>
      <c r="F6515" s="1"/>
    </row>
    <row r="6516" spans="5:6">
      <c r="E6516" s="1"/>
      <c r="F6516" s="1"/>
    </row>
    <row r="6517" spans="5:6">
      <c r="E6517" s="1"/>
      <c r="F6517" s="1"/>
    </row>
    <row r="6518" spans="5:6">
      <c r="E6518" s="1"/>
      <c r="F6518" s="1"/>
    </row>
    <row r="6519" spans="5:6">
      <c r="E6519" s="1"/>
      <c r="F6519" s="1"/>
    </row>
    <row r="6520" spans="5:6">
      <c r="E6520" s="1"/>
      <c r="F6520" s="1"/>
    </row>
    <row r="6521" spans="5:6">
      <c r="E6521" s="1"/>
      <c r="F6521" s="1"/>
    </row>
    <row r="6522" spans="5:6">
      <c r="E6522" s="1"/>
      <c r="F6522" s="1"/>
    </row>
    <row r="6523" spans="5:6">
      <c r="E6523" s="1"/>
      <c r="F6523" s="1"/>
    </row>
    <row r="6524" spans="5:6">
      <c r="E6524" s="1"/>
      <c r="F6524" s="1"/>
    </row>
    <row r="6525" spans="5:6">
      <c r="E6525" s="1"/>
      <c r="F6525" s="1"/>
    </row>
    <row r="6526" spans="5:6">
      <c r="E6526" s="1"/>
      <c r="F6526" s="1"/>
    </row>
    <row r="6527" spans="5:6">
      <c r="E6527" s="1"/>
      <c r="F6527" s="1"/>
    </row>
    <row r="6528" spans="5:6">
      <c r="E6528" s="1"/>
      <c r="F6528" s="1"/>
    </row>
    <row r="6529" spans="5:6">
      <c r="E6529" s="1"/>
      <c r="F6529" s="1"/>
    </row>
    <row r="6530" spans="5:6">
      <c r="E6530" s="1"/>
      <c r="F6530" s="1"/>
    </row>
    <row r="6531" spans="5:6">
      <c r="E6531" s="1"/>
      <c r="F6531" s="1"/>
    </row>
    <row r="6532" spans="5:6">
      <c r="E6532" s="1"/>
      <c r="F6532" s="1"/>
    </row>
    <row r="6533" spans="5:6">
      <c r="E6533" s="1"/>
      <c r="F6533" s="1"/>
    </row>
    <row r="6534" spans="5:6">
      <c r="E6534" s="1"/>
      <c r="F6534" s="1"/>
    </row>
    <row r="6535" spans="5:6">
      <c r="E6535" s="1"/>
      <c r="F6535" s="1"/>
    </row>
    <row r="6536" spans="5:6">
      <c r="E6536" s="1"/>
      <c r="F6536" s="1"/>
    </row>
    <row r="6537" spans="5:6">
      <c r="E6537" s="1"/>
      <c r="F6537" s="1"/>
    </row>
    <row r="6538" spans="5:6">
      <c r="E6538" s="1"/>
      <c r="F6538" s="1"/>
    </row>
    <row r="6539" spans="5:6">
      <c r="E6539" s="1"/>
      <c r="F6539" s="1"/>
    </row>
    <row r="6540" spans="5:6">
      <c r="E6540" s="1"/>
      <c r="F6540" s="1"/>
    </row>
    <row r="6541" spans="5:6">
      <c r="E6541" s="1"/>
      <c r="F6541" s="1"/>
    </row>
    <row r="6542" spans="5:6">
      <c r="E6542" s="1"/>
      <c r="F6542" s="1"/>
    </row>
    <row r="6543" spans="5:6">
      <c r="E6543" s="1"/>
      <c r="F6543" s="1"/>
    </row>
    <row r="6544" spans="5:6">
      <c r="E6544" s="1"/>
      <c r="F6544" s="1"/>
    </row>
    <row r="6545" spans="5:6">
      <c r="E6545" s="1"/>
      <c r="F6545" s="1"/>
    </row>
    <row r="6546" spans="5:6">
      <c r="E6546" s="1"/>
      <c r="F6546" s="1"/>
    </row>
    <row r="6547" spans="5:6">
      <c r="E6547" s="1"/>
      <c r="F6547" s="1"/>
    </row>
    <row r="6548" spans="5:6">
      <c r="E6548" s="1"/>
      <c r="F6548" s="1"/>
    </row>
    <row r="6549" spans="5:6">
      <c r="E6549" s="1"/>
      <c r="F6549" s="1"/>
    </row>
    <row r="6550" spans="5:6">
      <c r="E6550" s="1"/>
      <c r="F6550" s="1"/>
    </row>
    <row r="6551" spans="5:6">
      <c r="E6551" s="1"/>
      <c r="F6551" s="1"/>
    </row>
    <row r="6552" spans="5:6">
      <c r="E6552" s="1"/>
      <c r="F6552" s="1"/>
    </row>
    <row r="6553" spans="5:6">
      <c r="E6553" s="1"/>
      <c r="F6553" s="1"/>
    </row>
    <row r="6554" spans="5:6">
      <c r="E6554" s="1"/>
      <c r="F6554" s="1"/>
    </row>
    <row r="6555" spans="5:6">
      <c r="E6555" s="1"/>
      <c r="F6555" s="1"/>
    </row>
    <row r="6556" spans="5:6">
      <c r="E6556" s="1"/>
      <c r="F6556" s="1"/>
    </row>
    <row r="6557" spans="5:6">
      <c r="E6557" s="1"/>
      <c r="F6557" s="1"/>
    </row>
    <row r="6558" spans="5:6">
      <c r="E6558" s="1"/>
      <c r="F6558" s="1"/>
    </row>
    <row r="6559" spans="5:6">
      <c r="E6559" s="1"/>
      <c r="F6559" s="1"/>
    </row>
    <row r="6560" spans="5:6">
      <c r="E6560" s="1"/>
      <c r="F6560" s="1"/>
    </row>
    <row r="6561" spans="5:6">
      <c r="E6561" s="1"/>
      <c r="F6561" s="1"/>
    </row>
    <row r="6562" spans="5:6">
      <c r="E6562" s="1"/>
      <c r="F6562" s="1"/>
    </row>
    <row r="6563" spans="5:6">
      <c r="E6563" s="1"/>
      <c r="F6563" s="1"/>
    </row>
    <row r="6564" spans="5:6">
      <c r="E6564" s="1"/>
      <c r="F6564" s="1"/>
    </row>
    <row r="6565" spans="5:6">
      <c r="E6565" s="1"/>
      <c r="F6565" s="1"/>
    </row>
    <row r="6566" spans="5:6">
      <c r="E6566" s="1"/>
      <c r="F6566" s="1"/>
    </row>
    <row r="6567" spans="5:6">
      <c r="E6567" s="1"/>
      <c r="F6567" s="1"/>
    </row>
    <row r="6568" spans="5:6">
      <c r="E6568" s="1"/>
      <c r="F6568" s="1"/>
    </row>
    <row r="6569" spans="5:6">
      <c r="E6569" s="1"/>
      <c r="F6569" s="1"/>
    </row>
    <row r="6570" spans="5:6">
      <c r="E6570" s="1"/>
      <c r="F6570" s="1"/>
    </row>
    <row r="6571" spans="5:6">
      <c r="E6571" s="1"/>
      <c r="F6571" s="1"/>
    </row>
    <row r="6572" spans="5:6">
      <c r="E6572" s="1"/>
      <c r="F6572" s="1"/>
    </row>
    <row r="6573" spans="5:6">
      <c r="E6573" s="1"/>
      <c r="F6573" s="1"/>
    </row>
    <row r="6574" spans="5:6">
      <c r="E6574" s="1"/>
      <c r="F6574" s="1"/>
    </row>
    <row r="6575" spans="5:6">
      <c r="E6575" s="1"/>
      <c r="F6575" s="1"/>
    </row>
    <row r="6576" spans="5:6">
      <c r="E6576" s="1"/>
      <c r="F6576" s="1"/>
    </row>
    <row r="6577" spans="5:6">
      <c r="E6577" s="1"/>
      <c r="F6577" s="1"/>
    </row>
    <row r="6578" spans="5:6">
      <c r="E6578" s="1"/>
      <c r="F6578" s="1"/>
    </row>
    <row r="6579" spans="5:6">
      <c r="E6579" s="1"/>
      <c r="F6579" s="1"/>
    </row>
    <row r="6580" spans="5:6">
      <c r="E6580" s="1"/>
      <c r="F6580" s="1"/>
    </row>
    <row r="6581" spans="5:6">
      <c r="E6581" s="1"/>
      <c r="F6581" s="1"/>
    </row>
    <row r="6582" spans="5:6">
      <c r="E6582" s="1"/>
      <c r="F6582" s="1"/>
    </row>
    <row r="6583" spans="5:6">
      <c r="E6583" s="1"/>
      <c r="F6583" s="1"/>
    </row>
    <row r="6584" spans="5:6">
      <c r="E6584" s="1"/>
      <c r="F6584" s="1"/>
    </row>
    <row r="6585" spans="5:6">
      <c r="E6585" s="1"/>
      <c r="F6585" s="1"/>
    </row>
    <row r="6586" spans="5:6">
      <c r="E6586" s="1"/>
      <c r="F6586" s="1"/>
    </row>
    <row r="6587" spans="5:6">
      <c r="E6587" s="1"/>
      <c r="F6587" s="1"/>
    </row>
    <row r="6588" spans="5:6">
      <c r="E6588" s="1"/>
      <c r="F6588" s="1"/>
    </row>
    <row r="6589" spans="5:6">
      <c r="E6589" s="1"/>
      <c r="F6589" s="1"/>
    </row>
    <row r="6590" spans="5:6">
      <c r="E6590" s="1"/>
      <c r="F6590" s="1"/>
    </row>
    <row r="6591" spans="5:6">
      <c r="E6591" s="1"/>
      <c r="F6591" s="1"/>
    </row>
    <row r="6592" spans="5:6">
      <c r="E6592" s="1"/>
      <c r="F6592" s="1"/>
    </row>
    <row r="6593" spans="5:6">
      <c r="E6593" s="1"/>
      <c r="F6593" s="1"/>
    </row>
    <row r="6594" spans="5:6">
      <c r="E6594" s="1"/>
      <c r="F6594" s="1"/>
    </row>
    <row r="6595" spans="5:6">
      <c r="E6595" s="1"/>
      <c r="F6595" s="1"/>
    </row>
    <row r="6596" spans="5:6">
      <c r="E6596" s="1"/>
      <c r="F6596" s="1"/>
    </row>
    <row r="6597" spans="5:6">
      <c r="E6597" s="1"/>
      <c r="F6597" s="1"/>
    </row>
    <row r="6598" spans="5:6">
      <c r="E6598" s="1"/>
      <c r="F6598" s="1"/>
    </row>
    <row r="6599" spans="5:6">
      <c r="E6599" s="1"/>
      <c r="F6599" s="1"/>
    </row>
    <row r="6600" spans="5:6">
      <c r="E6600" s="1"/>
      <c r="F6600" s="1"/>
    </row>
    <row r="6601" spans="5:6">
      <c r="E6601" s="1"/>
      <c r="F6601" s="1"/>
    </row>
    <row r="6602" spans="5:6">
      <c r="E6602" s="1"/>
      <c r="F6602" s="1"/>
    </row>
    <row r="6603" spans="5:6">
      <c r="E6603" s="1"/>
      <c r="F6603" s="1"/>
    </row>
    <row r="6604" spans="5:6">
      <c r="E6604" s="1"/>
      <c r="F6604" s="1"/>
    </row>
    <row r="6605" spans="5:6">
      <c r="E6605" s="1"/>
      <c r="F6605" s="1"/>
    </row>
    <row r="6606" spans="5:6">
      <c r="E6606" s="1"/>
      <c r="F6606" s="1"/>
    </row>
    <row r="6607" spans="5:6">
      <c r="E6607" s="1"/>
      <c r="F6607" s="1"/>
    </row>
    <row r="6608" spans="5:6">
      <c r="E6608" s="1"/>
      <c r="F6608" s="1"/>
    </row>
    <row r="6609" spans="5:6">
      <c r="E6609" s="1"/>
      <c r="F6609" s="1"/>
    </row>
    <row r="6610" spans="5:6">
      <c r="E6610" s="1"/>
      <c r="F6610" s="1"/>
    </row>
    <row r="6611" spans="5:6">
      <c r="E6611" s="1"/>
      <c r="F6611" s="1"/>
    </row>
    <row r="6612" spans="5:6">
      <c r="E6612" s="1"/>
      <c r="F6612" s="1"/>
    </row>
    <row r="6613" spans="5:6">
      <c r="E6613" s="1"/>
      <c r="F6613" s="1"/>
    </row>
    <row r="6614" spans="5:6">
      <c r="E6614" s="1"/>
      <c r="F6614" s="1"/>
    </row>
    <row r="6615" spans="5:6">
      <c r="E6615" s="1"/>
      <c r="F6615" s="1"/>
    </row>
    <row r="6616" spans="5:6">
      <c r="E6616" s="1"/>
      <c r="F6616" s="1"/>
    </row>
    <row r="6617" spans="5:6">
      <c r="E6617" s="1"/>
      <c r="F6617" s="1"/>
    </row>
    <row r="6618" spans="5:6">
      <c r="E6618" s="1"/>
      <c r="F6618" s="1"/>
    </row>
    <row r="6619" spans="5:6">
      <c r="E6619" s="1"/>
      <c r="F6619" s="1"/>
    </row>
    <row r="6620" spans="5:6">
      <c r="E6620" s="1"/>
      <c r="F6620" s="1"/>
    </row>
    <row r="6621" spans="5:6">
      <c r="E6621" s="1"/>
      <c r="F6621" s="1"/>
    </row>
    <row r="6622" spans="5:6">
      <c r="E6622" s="1"/>
      <c r="F6622" s="1"/>
    </row>
    <row r="6623" spans="5:6">
      <c r="E6623" s="1"/>
      <c r="F6623" s="1"/>
    </row>
    <row r="6624" spans="5:6">
      <c r="E6624" s="1"/>
      <c r="F6624" s="1"/>
    </row>
    <row r="6625" spans="5:6">
      <c r="E6625" s="1"/>
      <c r="F6625" s="1"/>
    </row>
    <row r="6626" spans="5:6">
      <c r="E6626" s="1"/>
      <c r="F6626" s="1"/>
    </row>
    <row r="6627" spans="5:6">
      <c r="E6627" s="1"/>
      <c r="F6627" s="1"/>
    </row>
    <row r="6628" spans="5:6">
      <c r="E6628" s="1"/>
      <c r="F6628" s="1"/>
    </row>
    <row r="6629" spans="5:6">
      <c r="E6629" s="1"/>
      <c r="F6629" s="1"/>
    </row>
    <row r="6630" spans="5:6">
      <c r="E6630" s="1"/>
      <c r="F6630" s="1"/>
    </row>
    <row r="6631" spans="5:6">
      <c r="E6631" s="1"/>
      <c r="F6631" s="1"/>
    </row>
    <row r="6632" spans="5:6">
      <c r="E6632" s="1"/>
      <c r="F6632" s="1"/>
    </row>
    <row r="6633" spans="5:6">
      <c r="E6633" s="1"/>
      <c r="F6633" s="1"/>
    </row>
    <row r="6634" spans="5:6">
      <c r="E6634" s="1"/>
      <c r="F6634" s="1"/>
    </row>
    <row r="6635" spans="5:6">
      <c r="E6635" s="1"/>
      <c r="F6635" s="1"/>
    </row>
    <row r="6636" spans="5:6">
      <c r="E6636" s="1"/>
      <c r="F6636" s="1"/>
    </row>
    <row r="6637" spans="5:6">
      <c r="E6637" s="1"/>
      <c r="F6637" s="1"/>
    </row>
    <row r="6638" spans="5:6">
      <c r="E6638" s="1"/>
      <c r="F6638" s="1"/>
    </row>
    <row r="6639" spans="5:6">
      <c r="E6639" s="1"/>
      <c r="F6639" s="1"/>
    </row>
    <row r="6640" spans="5:6">
      <c r="E6640" s="1"/>
      <c r="F6640" s="1"/>
    </row>
    <row r="6641" spans="5:6">
      <c r="E6641" s="1"/>
      <c r="F6641" s="1"/>
    </row>
    <row r="6642" spans="5:6">
      <c r="E6642" s="1"/>
      <c r="F6642" s="1"/>
    </row>
    <row r="6643" spans="5:6">
      <c r="E6643" s="1"/>
      <c r="F6643" s="1"/>
    </row>
    <row r="6644" spans="5:6">
      <c r="E6644" s="1"/>
      <c r="F6644" s="1"/>
    </row>
    <row r="6645" spans="5:6">
      <c r="E6645" s="1"/>
      <c r="F6645" s="1"/>
    </row>
    <row r="6646" spans="5:6">
      <c r="E6646" s="1"/>
      <c r="F6646" s="1"/>
    </row>
    <row r="6647" spans="5:6">
      <c r="E6647" s="1"/>
      <c r="F6647" s="1"/>
    </row>
    <row r="6648" spans="5:6">
      <c r="E6648" s="1"/>
      <c r="F6648" s="1"/>
    </row>
    <row r="6649" spans="5:6">
      <c r="E6649" s="1"/>
      <c r="F6649" s="1"/>
    </row>
    <row r="6650" spans="5:6">
      <c r="E6650" s="1"/>
      <c r="F6650" s="1"/>
    </row>
    <row r="6651" spans="5:6">
      <c r="E6651" s="1"/>
      <c r="F6651" s="1"/>
    </row>
    <row r="6652" spans="5:6">
      <c r="E6652" s="1"/>
      <c r="F6652" s="1"/>
    </row>
    <row r="6653" spans="5:6">
      <c r="E6653" s="1"/>
      <c r="F6653" s="1"/>
    </row>
    <row r="6654" spans="5:6">
      <c r="E6654" s="1"/>
      <c r="F6654" s="1"/>
    </row>
    <row r="6655" spans="5:6">
      <c r="E6655" s="1"/>
      <c r="F6655" s="1"/>
    </row>
    <row r="6656" spans="5:6">
      <c r="E6656" s="1"/>
      <c r="F6656" s="1"/>
    </row>
    <row r="6657" spans="5:6">
      <c r="E6657" s="1"/>
      <c r="F6657" s="1"/>
    </row>
    <row r="6658" spans="5:6">
      <c r="E6658" s="1"/>
      <c r="F6658" s="1"/>
    </row>
    <row r="6659" spans="5:6">
      <c r="E6659" s="1"/>
      <c r="F6659" s="1"/>
    </row>
    <row r="6660" spans="5:6">
      <c r="E6660" s="1"/>
      <c r="F6660" s="1"/>
    </row>
    <row r="6661" spans="5:6">
      <c r="E6661" s="1"/>
      <c r="F6661" s="1"/>
    </row>
    <row r="6662" spans="5:6">
      <c r="E6662" s="1"/>
      <c r="F6662" s="1"/>
    </row>
    <row r="6663" spans="5:6">
      <c r="E6663" s="1"/>
      <c r="F6663" s="1"/>
    </row>
    <row r="6664" spans="5:6">
      <c r="E6664" s="1"/>
      <c r="F6664" s="1"/>
    </row>
    <row r="6665" spans="5:6">
      <c r="E6665" s="1"/>
      <c r="F6665" s="1"/>
    </row>
    <row r="6666" spans="5:6">
      <c r="E6666" s="1"/>
      <c r="F6666" s="1"/>
    </row>
    <row r="6667" spans="5:6">
      <c r="E6667" s="1"/>
      <c r="F6667" s="1"/>
    </row>
    <row r="6668" spans="5:6">
      <c r="E6668" s="1"/>
      <c r="F6668" s="1"/>
    </row>
    <row r="6669" spans="5:6">
      <c r="E6669" s="1"/>
      <c r="F6669" s="1"/>
    </row>
    <row r="6670" spans="5:6">
      <c r="E6670" s="1"/>
      <c r="F6670" s="1"/>
    </row>
    <row r="6671" spans="5:6">
      <c r="E6671" s="1"/>
      <c r="F6671" s="1"/>
    </row>
    <row r="6672" spans="5:6">
      <c r="E6672" s="1"/>
      <c r="F6672" s="1"/>
    </row>
    <row r="6673" spans="5:6">
      <c r="E6673" s="1"/>
      <c r="F6673" s="1"/>
    </row>
    <row r="6674" spans="5:6">
      <c r="E6674" s="1"/>
      <c r="F6674" s="1"/>
    </row>
    <row r="6675" spans="5:6">
      <c r="E6675" s="1"/>
      <c r="F6675" s="1"/>
    </row>
    <row r="6676" spans="5:6">
      <c r="E6676" s="1"/>
      <c r="F6676" s="1"/>
    </row>
    <row r="6677" spans="5:6">
      <c r="E6677" s="1"/>
      <c r="F6677" s="1"/>
    </row>
    <row r="6678" spans="5:6">
      <c r="E6678" s="1"/>
      <c r="F6678" s="1"/>
    </row>
    <row r="6679" spans="5:6">
      <c r="E6679" s="1"/>
      <c r="F6679" s="1"/>
    </row>
    <row r="6680" spans="5:6">
      <c r="E6680" s="1"/>
      <c r="F6680" s="1"/>
    </row>
    <row r="6681" spans="5:6">
      <c r="E6681" s="1"/>
      <c r="F6681" s="1"/>
    </row>
    <row r="6682" spans="5:6">
      <c r="E6682" s="1"/>
      <c r="F6682" s="1"/>
    </row>
    <row r="6683" spans="5:6">
      <c r="E6683" s="1"/>
      <c r="F6683" s="1"/>
    </row>
    <row r="6684" spans="5:6">
      <c r="E6684" s="1"/>
      <c r="F6684" s="1"/>
    </row>
    <row r="6685" spans="5:6">
      <c r="E6685" s="1"/>
      <c r="F6685" s="1"/>
    </row>
    <row r="6686" spans="5:6">
      <c r="E6686" s="1"/>
      <c r="F6686" s="1"/>
    </row>
    <row r="6687" spans="5:6">
      <c r="E6687" s="1"/>
      <c r="F6687" s="1"/>
    </row>
    <row r="6688" spans="5:6">
      <c r="E6688" s="1"/>
      <c r="F6688" s="1"/>
    </row>
    <row r="6689" spans="5:6">
      <c r="E6689" s="1"/>
      <c r="F6689" s="1"/>
    </row>
    <row r="6690" spans="5:6">
      <c r="E6690" s="1"/>
      <c r="F6690" s="1"/>
    </row>
    <row r="6691" spans="5:6">
      <c r="E6691" s="1"/>
      <c r="F6691" s="1"/>
    </row>
    <row r="6692" spans="5:6">
      <c r="E6692" s="1"/>
      <c r="F6692" s="1"/>
    </row>
    <row r="6693" spans="5:6">
      <c r="E6693" s="1"/>
      <c r="F6693" s="1"/>
    </row>
    <row r="6694" spans="5:6">
      <c r="E6694" s="1"/>
      <c r="F6694" s="1"/>
    </row>
    <row r="6695" spans="5:6">
      <c r="E6695" s="1"/>
      <c r="F6695" s="1"/>
    </row>
    <row r="6696" spans="5:6">
      <c r="E6696" s="1"/>
      <c r="F6696" s="1"/>
    </row>
    <row r="6697" spans="5:6">
      <c r="E6697" s="1"/>
      <c r="F6697" s="1"/>
    </row>
    <row r="6698" spans="5:6">
      <c r="E6698" s="1"/>
      <c r="F6698" s="1"/>
    </row>
    <row r="6699" spans="5:6">
      <c r="E6699" s="1"/>
      <c r="F6699" s="1"/>
    </row>
    <row r="6700" spans="5:6">
      <c r="E6700" s="1"/>
      <c r="F6700" s="1"/>
    </row>
    <row r="6701" spans="5:6">
      <c r="E6701" s="1"/>
      <c r="F6701" s="1"/>
    </row>
    <row r="6702" spans="5:6">
      <c r="E6702" s="1"/>
      <c r="F6702" s="1"/>
    </row>
    <row r="6703" spans="5:6">
      <c r="E6703" s="1"/>
      <c r="F6703" s="1"/>
    </row>
    <row r="6704" spans="5:6">
      <c r="E6704" s="1"/>
      <c r="F6704" s="1"/>
    </row>
    <row r="6705" spans="5:6">
      <c r="E6705" s="1"/>
      <c r="F6705" s="1"/>
    </row>
    <row r="6706" spans="5:6">
      <c r="E6706" s="1"/>
      <c r="F6706" s="1"/>
    </row>
    <row r="6707" spans="5:6">
      <c r="E6707" s="1"/>
      <c r="F6707" s="1"/>
    </row>
    <row r="6708" spans="5:6">
      <c r="E6708" s="1"/>
      <c r="F6708" s="1"/>
    </row>
    <row r="6709" spans="5:6">
      <c r="E6709" s="1"/>
      <c r="F6709" s="1"/>
    </row>
    <row r="6710" spans="5:6">
      <c r="E6710" s="1"/>
      <c r="F6710" s="1"/>
    </row>
    <row r="6711" spans="5:6">
      <c r="E6711" s="1"/>
      <c r="F6711" s="1"/>
    </row>
    <row r="6712" spans="5:6">
      <c r="E6712" s="1"/>
      <c r="F6712" s="1"/>
    </row>
    <row r="6713" spans="5:6">
      <c r="E6713" s="1"/>
      <c r="F6713" s="1"/>
    </row>
    <row r="6714" spans="5:6">
      <c r="E6714" s="1"/>
      <c r="F6714" s="1"/>
    </row>
    <row r="6715" spans="5:6">
      <c r="E6715" s="1"/>
      <c r="F6715" s="1"/>
    </row>
    <row r="6716" spans="5:6">
      <c r="E6716" s="1"/>
      <c r="F6716" s="1"/>
    </row>
    <row r="6717" spans="5:6">
      <c r="E6717" s="1"/>
      <c r="F6717" s="1"/>
    </row>
    <row r="6718" spans="5:6">
      <c r="E6718" s="1"/>
      <c r="F6718" s="1"/>
    </row>
    <row r="6719" spans="5:6">
      <c r="E6719" s="1"/>
      <c r="F6719" s="1"/>
    </row>
    <row r="6720" spans="5:6">
      <c r="E6720" s="1"/>
      <c r="F6720" s="1"/>
    </row>
    <row r="6721" spans="5:6">
      <c r="E6721" s="1"/>
      <c r="F6721" s="1"/>
    </row>
    <row r="6722" spans="5:6">
      <c r="E6722" s="1"/>
      <c r="F6722" s="1"/>
    </row>
    <row r="6723" spans="5:6">
      <c r="E6723" s="1"/>
      <c r="F6723" s="1"/>
    </row>
    <row r="6724" spans="5:6">
      <c r="E6724" s="1"/>
      <c r="F6724" s="1"/>
    </row>
    <row r="6725" spans="5:6">
      <c r="E6725" s="1"/>
      <c r="F6725" s="1"/>
    </row>
    <row r="6726" spans="5:6">
      <c r="E6726" s="1"/>
      <c r="F6726" s="1"/>
    </row>
    <row r="6727" spans="5:6">
      <c r="E6727" s="1"/>
      <c r="F6727" s="1"/>
    </row>
    <row r="6728" spans="5:6">
      <c r="E6728" s="1"/>
      <c r="F6728" s="1"/>
    </row>
    <row r="6729" spans="5:6">
      <c r="E6729" s="1"/>
      <c r="F6729" s="1"/>
    </row>
    <row r="6730" spans="5:6">
      <c r="E6730" s="1"/>
      <c r="F6730" s="1"/>
    </row>
    <row r="6731" spans="5:6">
      <c r="E6731" s="1"/>
      <c r="F6731" s="1"/>
    </row>
    <row r="6732" spans="5:6">
      <c r="E6732" s="1"/>
      <c r="F6732" s="1"/>
    </row>
    <row r="6733" spans="5:6">
      <c r="E6733" s="1"/>
      <c r="F6733" s="1"/>
    </row>
    <row r="6734" spans="5:6">
      <c r="E6734" s="1"/>
      <c r="F6734" s="1"/>
    </row>
    <row r="6735" spans="5:6">
      <c r="E6735" s="1"/>
      <c r="F6735" s="1"/>
    </row>
    <row r="6736" spans="5:6">
      <c r="E6736" s="1"/>
      <c r="F6736" s="1"/>
    </row>
    <row r="6737" spans="5:6">
      <c r="E6737" s="1"/>
      <c r="F6737" s="1"/>
    </row>
    <row r="6738" spans="5:6">
      <c r="E6738" s="1"/>
      <c r="F6738" s="1"/>
    </row>
    <row r="6739" spans="5:6">
      <c r="E6739" s="1"/>
      <c r="F6739" s="1"/>
    </row>
    <row r="6740" spans="5:6">
      <c r="E6740" s="1"/>
      <c r="F6740" s="1"/>
    </row>
    <row r="6741" spans="5:6">
      <c r="E6741" s="1"/>
      <c r="F6741" s="1"/>
    </row>
    <row r="6742" spans="5:6">
      <c r="E6742" s="1"/>
      <c r="F6742" s="1"/>
    </row>
    <row r="6743" spans="5:6">
      <c r="E6743" s="1"/>
      <c r="F6743" s="1"/>
    </row>
    <row r="6744" spans="5:6">
      <c r="E6744" s="1"/>
      <c r="F6744" s="1"/>
    </row>
    <row r="6745" spans="5:6">
      <c r="E6745" s="1"/>
      <c r="F6745" s="1"/>
    </row>
    <row r="6746" spans="5:6">
      <c r="E6746" s="1"/>
      <c r="F6746" s="1"/>
    </row>
    <row r="6747" spans="5:6">
      <c r="E6747" s="1"/>
      <c r="F6747" s="1"/>
    </row>
    <row r="6748" spans="5:6">
      <c r="E6748" s="1"/>
      <c r="F6748" s="1"/>
    </row>
    <row r="6749" spans="5:6">
      <c r="E6749" s="1"/>
      <c r="F6749" s="1"/>
    </row>
    <row r="6750" spans="5:6">
      <c r="E6750" s="1"/>
      <c r="F6750" s="1"/>
    </row>
    <row r="6751" spans="5:6">
      <c r="E6751" s="1"/>
      <c r="F6751" s="1"/>
    </row>
    <row r="6752" spans="5:6">
      <c r="E6752" s="1"/>
      <c r="F6752" s="1"/>
    </row>
    <row r="6753" spans="5:6">
      <c r="E6753" s="1"/>
      <c r="F6753" s="1"/>
    </row>
    <row r="6754" spans="5:6">
      <c r="E6754" s="1"/>
      <c r="F6754" s="1"/>
    </row>
    <row r="6755" spans="5:6">
      <c r="E6755" s="1"/>
      <c r="F6755" s="1"/>
    </row>
    <row r="6756" spans="5:6">
      <c r="E6756" s="1"/>
      <c r="F6756" s="1"/>
    </row>
    <row r="6757" spans="5:6">
      <c r="E6757" s="1"/>
      <c r="F6757" s="1"/>
    </row>
    <row r="6758" spans="5:6">
      <c r="E6758" s="1"/>
      <c r="F6758" s="1"/>
    </row>
    <row r="6759" spans="5:6">
      <c r="E6759" s="1"/>
      <c r="F6759" s="1"/>
    </row>
    <row r="6760" spans="5:6">
      <c r="E6760" s="1"/>
      <c r="F6760" s="1"/>
    </row>
    <row r="6761" spans="5:6">
      <c r="E6761" s="1"/>
      <c r="F6761" s="1"/>
    </row>
    <row r="6762" spans="5:6">
      <c r="E6762" s="1"/>
      <c r="F6762" s="1"/>
    </row>
    <row r="6763" spans="5:6">
      <c r="E6763" s="1"/>
      <c r="F6763" s="1"/>
    </row>
    <row r="6764" spans="5:6">
      <c r="E6764" s="1"/>
      <c r="F6764" s="1"/>
    </row>
    <row r="6765" spans="5:6">
      <c r="E6765" s="1"/>
      <c r="F6765" s="1"/>
    </row>
    <row r="6766" spans="5:6">
      <c r="E6766" s="1"/>
      <c r="F6766" s="1"/>
    </row>
    <row r="6767" spans="5:6">
      <c r="E6767" s="1"/>
      <c r="F6767" s="1"/>
    </row>
    <row r="6768" spans="5:6">
      <c r="E6768" s="1"/>
      <c r="F6768" s="1"/>
    </row>
    <row r="6769" spans="5:6">
      <c r="E6769" s="1"/>
      <c r="F6769" s="1"/>
    </row>
    <row r="6770" spans="5:6">
      <c r="E6770" s="1"/>
      <c r="F6770" s="1"/>
    </row>
    <row r="6771" spans="5:6">
      <c r="E6771" s="1"/>
      <c r="F6771" s="1"/>
    </row>
    <row r="6772" spans="5:6">
      <c r="E6772" s="1"/>
      <c r="F6772" s="1"/>
    </row>
    <row r="6773" spans="5:6">
      <c r="E6773" s="1"/>
      <c r="F6773" s="1"/>
    </row>
    <row r="6774" spans="5:6">
      <c r="E6774" s="1"/>
      <c r="F6774" s="1"/>
    </row>
    <row r="6775" spans="5:6">
      <c r="E6775" s="1"/>
      <c r="F6775" s="1"/>
    </row>
    <row r="6776" spans="5:6">
      <c r="E6776" s="1"/>
      <c r="F6776" s="1"/>
    </row>
    <row r="6777" spans="5:6">
      <c r="E6777" s="1"/>
      <c r="F6777" s="1"/>
    </row>
    <row r="6778" spans="5:6">
      <c r="E6778" s="1"/>
      <c r="F6778" s="1"/>
    </row>
    <row r="6779" spans="5:6">
      <c r="E6779" s="1"/>
      <c r="F6779" s="1"/>
    </row>
    <row r="6780" spans="5:6">
      <c r="E6780" s="1"/>
      <c r="F6780" s="1"/>
    </row>
    <row r="6781" spans="5:6">
      <c r="E6781" s="1"/>
      <c r="F6781" s="1"/>
    </row>
    <row r="6782" spans="5:6">
      <c r="E6782" s="1"/>
      <c r="F6782" s="1"/>
    </row>
    <row r="6783" spans="5:6">
      <c r="E6783" s="1"/>
      <c r="F6783" s="1"/>
    </row>
    <row r="6784" spans="5:6">
      <c r="E6784" s="1"/>
      <c r="F6784" s="1"/>
    </row>
    <row r="6785" spans="5:6">
      <c r="E6785" s="1"/>
      <c r="F6785" s="1"/>
    </row>
    <row r="6786" spans="5:6">
      <c r="E6786" s="1"/>
      <c r="F6786" s="1"/>
    </row>
    <row r="6787" spans="5:6">
      <c r="E6787" s="1"/>
      <c r="F6787" s="1"/>
    </row>
    <row r="6788" spans="5:6">
      <c r="E6788" s="1"/>
      <c r="F6788" s="1"/>
    </row>
    <row r="6789" spans="5:6">
      <c r="E6789" s="1"/>
      <c r="F6789" s="1"/>
    </row>
    <row r="6790" spans="5:6">
      <c r="E6790" s="1"/>
      <c r="F6790" s="1"/>
    </row>
    <row r="6791" spans="5:6">
      <c r="E6791" s="1"/>
      <c r="F6791" s="1"/>
    </row>
    <row r="6792" spans="5:6">
      <c r="E6792" s="1"/>
      <c r="F6792" s="1"/>
    </row>
    <row r="6793" spans="5:6">
      <c r="E6793" s="1"/>
      <c r="F6793" s="1"/>
    </row>
    <row r="6794" spans="5:6">
      <c r="E6794" s="1"/>
      <c r="F6794" s="1"/>
    </row>
    <row r="6795" spans="5:6">
      <c r="E6795" s="1"/>
      <c r="F6795" s="1"/>
    </row>
    <row r="6796" spans="5:6">
      <c r="E6796" s="1"/>
      <c r="F6796" s="1"/>
    </row>
    <row r="6797" spans="5:6">
      <c r="E6797" s="1"/>
      <c r="F6797" s="1"/>
    </row>
    <row r="6798" spans="5:6">
      <c r="E6798" s="1"/>
      <c r="F6798" s="1"/>
    </row>
    <row r="6799" spans="5:6">
      <c r="E6799" s="1"/>
      <c r="F6799" s="1"/>
    </row>
    <row r="6800" spans="5:6">
      <c r="E6800" s="1"/>
      <c r="F6800" s="1"/>
    </row>
    <row r="6801" spans="5:6">
      <c r="E6801" s="1"/>
      <c r="F6801" s="1"/>
    </row>
    <row r="6802" spans="5:6">
      <c r="E6802" s="1"/>
      <c r="F6802" s="1"/>
    </row>
    <row r="6803" spans="5:6">
      <c r="E6803" s="1"/>
      <c r="F6803" s="1"/>
    </row>
    <row r="6804" spans="5:6">
      <c r="E6804" s="1"/>
      <c r="F6804" s="1"/>
    </row>
    <row r="6805" spans="5:6">
      <c r="E6805" s="1"/>
      <c r="F6805" s="1"/>
    </row>
    <row r="6806" spans="5:6">
      <c r="E6806" s="1"/>
      <c r="F6806" s="1"/>
    </row>
    <row r="6807" spans="5:6">
      <c r="E6807" s="1"/>
      <c r="F6807" s="1"/>
    </row>
    <row r="6808" spans="5:6">
      <c r="E6808" s="1"/>
      <c r="F6808" s="1"/>
    </row>
    <row r="6809" spans="5:6">
      <c r="E6809" s="1"/>
      <c r="F6809" s="1"/>
    </row>
    <row r="6810" spans="5:6">
      <c r="E6810" s="1"/>
      <c r="F6810" s="1"/>
    </row>
    <row r="6811" spans="5:6">
      <c r="E6811" s="1"/>
      <c r="F6811" s="1"/>
    </row>
    <row r="6812" spans="5:6">
      <c r="E6812" s="1"/>
      <c r="F6812" s="1"/>
    </row>
    <row r="6813" spans="5:6">
      <c r="E6813" s="1"/>
      <c r="F6813" s="1"/>
    </row>
    <row r="6814" spans="5:6">
      <c r="E6814" s="1"/>
      <c r="F6814" s="1"/>
    </row>
    <row r="6815" spans="5:6">
      <c r="E6815" s="1"/>
      <c r="F6815" s="1"/>
    </row>
    <row r="6816" spans="5:6">
      <c r="E6816" s="1"/>
      <c r="F6816" s="1"/>
    </row>
    <row r="6817" spans="5:6">
      <c r="E6817" s="1"/>
      <c r="F6817" s="1"/>
    </row>
    <row r="6818" spans="5:6">
      <c r="E6818" s="1"/>
      <c r="F6818" s="1"/>
    </row>
    <row r="6819" spans="5:6">
      <c r="E6819" s="1"/>
      <c r="F6819" s="1"/>
    </row>
    <row r="6820" spans="5:6">
      <c r="E6820" s="1"/>
      <c r="F6820" s="1"/>
    </row>
    <row r="6821" spans="5:6">
      <c r="E6821" s="1"/>
      <c r="F6821" s="1"/>
    </row>
    <row r="6822" spans="5:6">
      <c r="E6822" s="1"/>
      <c r="F6822" s="1"/>
    </row>
    <row r="6823" spans="5:6">
      <c r="E6823" s="1"/>
      <c r="F6823" s="1"/>
    </row>
    <row r="6824" spans="5:6">
      <c r="E6824" s="1"/>
      <c r="F6824" s="1"/>
    </row>
    <row r="6825" spans="5:6">
      <c r="E6825" s="1"/>
      <c r="F6825" s="1"/>
    </row>
    <row r="6826" spans="5:6">
      <c r="E6826" s="1"/>
      <c r="F6826" s="1"/>
    </row>
    <row r="6827" spans="5:6">
      <c r="E6827" s="1"/>
      <c r="F6827" s="1"/>
    </row>
    <row r="6828" spans="5:6">
      <c r="E6828" s="1"/>
      <c r="F6828" s="1"/>
    </row>
    <row r="6829" spans="5:6">
      <c r="E6829" s="1"/>
      <c r="F6829" s="1"/>
    </row>
    <row r="6830" spans="5:6">
      <c r="E6830" s="1"/>
      <c r="F6830" s="1"/>
    </row>
    <row r="6831" spans="5:6">
      <c r="E6831" s="1"/>
      <c r="F6831" s="1"/>
    </row>
    <row r="6832" spans="5:6">
      <c r="E6832" s="1"/>
      <c r="F6832" s="1"/>
    </row>
    <row r="6833" spans="5:6">
      <c r="E6833" s="1"/>
      <c r="F6833" s="1"/>
    </row>
    <row r="6834" spans="5:6">
      <c r="E6834" s="1"/>
      <c r="F6834" s="1"/>
    </row>
    <row r="6835" spans="5:6">
      <c r="E6835" s="1"/>
      <c r="F6835" s="1"/>
    </row>
    <row r="6836" spans="5:6">
      <c r="E6836" s="1"/>
      <c r="F6836" s="1"/>
    </row>
    <row r="6837" spans="5:6">
      <c r="E6837" s="1"/>
      <c r="F6837" s="1"/>
    </row>
    <row r="6838" spans="5:6">
      <c r="E6838" s="1"/>
      <c r="F6838" s="1"/>
    </row>
    <row r="6839" spans="5:6">
      <c r="E6839" s="1"/>
      <c r="F6839" s="1"/>
    </row>
    <row r="6840" spans="5:6">
      <c r="E6840" s="1"/>
      <c r="F6840" s="1"/>
    </row>
    <row r="6841" spans="5:6">
      <c r="E6841" s="1"/>
      <c r="F6841" s="1"/>
    </row>
    <row r="6842" spans="5:6">
      <c r="E6842" s="1"/>
      <c r="F6842" s="1"/>
    </row>
    <row r="6843" spans="5:6">
      <c r="E6843" s="1"/>
      <c r="F6843" s="1"/>
    </row>
    <row r="6844" spans="5:6">
      <c r="E6844" s="1"/>
      <c r="F6844" s="1"/>
    </row>
    <row r="6845" spans="5:6">
      <c r="E6845" s="1"/>
      <c r="F6845" s="1"/>
    </row>
    <row r="6846" spans="5:6">
      <c r="E6846" s="1"/>
      <c r="F6846" s="1"/>
    </row>
    <row r="6847" spans="5:6">
      <c r="E6847" s="1"/>
      <c r="F6847" s="1"/>
    </row>
    <row r="6848" spans="5:6">
      <c r="E6848" s="1"/>
      <c r="F6848" s="1"/>
    </row>
    <row r="6849" spans="5:6">
      <c r="E6849" s="1"/>
      <c r="F6849" s="1"/>
    </row>
    <row r="6850" spans="5:6">
      <c r="E6850" s="1"/>
      <c r="F6850" s="1"/>
    </row>
    <row r="6851" spans="5:6">
      <c r="E6851" s="1"/>
      <c r="F6851" s="1"/>
    </row>
    <row r="6852" spans="5:6">
      <c r="E6852" s="1"/>
      <c r="F6852" s="1"/>
    </row>
    <row r="6853" spans="5:6">
      <c r="E6853" s="1"/>
      <c r="F6853" s="1"/>
    </row>
    <row r="6854" spans="5:6">
      <c r="E6854" s="1"/>
      <c r="F6854" s="1"/>
    </row>
    <row r="6855" spans="5:6">
      <c r="E6855" s="1"/>
      <c r="F6855" s="1"/>
    </row>
    <row r="6856" spans="5:6">
      <c r="E6856" s="1"/>
      <c r="F6856" s="1"/>
    </row>
    <row r="6857" spans="5:6">
      <c r="E6857" s="1"/>
      <c r="F6857" s="1"/>
    </row>
    <row r="6858" spans="5:6">
      <c r="E6858" s="1"/>
      <c r="F6858" s="1"/>
    </row>
    <row r="6859" spans="5:6">
      <c r="E6859" s="1"/>
      <c r="F6859" s="1"/>
    </row>
    <row r="6860" spans="5:6">
      <c r="E6860" s="1"/>
      <c r="F6860" s="1"/>
    </row>
    <row r="6861" spans="5:6">
      <c r="E6861" s="1"/>
      <c r="F6861" s="1"/>
    </row>
    <row r="6862" spans="5:6">
      <c r="E6862" s="1"/>
      <c r="F6862" s="1"/>
    </row>
    <row r="6863" spans="5:6">
      <c r="E6863" s="1"/>
      <c r="F6863" s="1"/>
    </row>
    <row r="6864" spans="5:6">
      <c r="E6864" s="1"/>
      <c r="F6864" s="1"/>
    </row>
    <row r="6865" spans="5:6">
      <c r="E6865" s="1"/>
      <c r="F6865" s="1"/>
    </row>
    <row r="6866" spans="5:6">
      <c r="E6866" s="1"/>
      <c r="F6866" s="1"/>
    </row>
    <row r="6867" spans="5:6">
      <c r="E6867" s="1"/>
      <c r="F6867" s="1"/>
    </row>
    <row r="6868" spans="5:6">
      <c r="E6868" s="1"/>
      <c r="F6868" s="1"/>
    </row>
    <row r="6869" spans="5:6">
      <c r="E6869" s="1"/>
      <c r="F6869" s="1"/>
    </row>
    <row r="6870" spans="5:6">
      <c r="E6870" s="1"/>
      <c r="F6870" s="1"/>
    </row>
    <row r="6871" spans="5:6">
      <c r="E6871" s="1"/>
      <c r="F6871" s="1"/>
    </row>
    <row r="6872" spans="5:6">
      <c r="E6872" s="1"/>
      <c r="F6872" s="1"/>
    </row>
    <row r="6873" spans="5:6">
      <c r="E6873" s="1"/>
      <c r="F6873" s="1"/>
    </row>
    <row r="6874" spans="5:6">
      <c r="E6874" s="1"/>
      <c r="F6874" s="1"/>
    </row>
    <row r="6875" spans="5:6">
      <c r="E6875" s="1"/>
      <c r="F6875" s="1"/>
    </row>
    <row r="6876" spans="5:6">
      <c r="E6876" s="1"/>
      <c r="F6876" s="1"/>
    </row>
    <row r="6877" spans="5:6">
      <c r="E6877" s="1"/>
      <c r="F6877" s="1"/>
    </row>
    <row r="6878" spans="5:6">
      <c r="E6878" s="1"/>
      <c r="F6878" s="1"/>
    </row>
    <row r="6879" spans="5:6">
      <c r="E6879" s="1"/>
      <c r="F6879" s="1"/>
    </row>
    <row r="6880" spans="5:6">
      <c r="E6880" s="1"/>
      <c r="F6880" s="1"/>
    </row>
    <row r="6881" spans="5:6">
      <c r="E6881" s="1"/>
      <c r="F6881" s="1"/>
    </row>
    <row r="6882" spans="5:6">
      <c r="E6882" s="1"/>
      <c r="F6882" s="1"/>
    </row>
    <row r="6883" spans="5:6">
      <c r="E6883" s="1"/>
      <c r="F6883" s="1"/>
    </row>
    <row r="6884" spans="5:6">
      <c r="E6884" s="1"/>
      <c r="F6884" s="1"/>
    </row>
    <row r="6885" spans="5:6">
      <c r="E6885" s="1"/>
      <c r="F6885" s="1"/>
    </row>
    <row r="6886" spans="5:6">
      <c r="E6886" s="1"/>
      <c r="F6886" s="1"/>
    </row>
    <row r="6887" spans="5:6">
      <c r="E6887" s="1"/>
      <c r="F6887" s="1"/>
    </row>
    <row r="6888" spans="5:6">
      <c r="E6888" s="1"/>
      <c r="F6888" s="1"/>
    </row>
    <row r="6889" spans="5:6">
      <c r="E6889" s="1"/>
      <c r="F6889" s="1"/>
    </row>
    <row r="6890" spans="5:6">
      <c r="E6890" s="1"/>
      <c r="F6890" s="1"/>
    </row>
    <row r="6891" spans="5:6">
      <c r="E6891" s="1"/>
      <c r="F6891" s="1"/>
    </row>
    <row r="6892" spans="5:6">
      <c r="E6892" s="1"/>
      <c r="F6892" s="1"/>
    </row>
    <row r="6893" spans="5:6">
      <c r="E6893" s="1"/>
      <c r="F6893" s="1"/>
    </row>
    <row r="6894" spans="5:6">
      <c r="E6894" s="1"/>
      <c r="F6894" s="1"/>
    </row>
    <row r="6895" spans="5:6">
      <c r="E6895" s="1"/>
      <c r="F6895" s="1"/>
    </row>
    <row r="6896" spans="5:6">
      <c r="E6896" s="1"/>
      <c r="F6896" s="1"/>
    </row>
    <row r="6897" spans="5:6">
      <c r="E6897" s="1"/>
      <c r="F6897" s="1"/>
    </row>
    <row r="6898" spans="5:6">
      <c r="E6898" s="1"/>
      <c r="F6898" s="1"/>
    </row>
    <row r="6899" spans="5:6">
      <c r="E6899" s="1"/>
      <c r="F6899" s="1"/>
    </row>
    <row r="6900" spans="5:6">
      <c r="E6900" s="1"/>
      <c r="F6900" s="1"/>
    </row>
    <row r="6901" spans="5:6">
      <c r="E6901" s="1"/>
      <c r="F6901" s="1"/>
    </row>
    <row r="6902" spans="5:6">
      <c r="E6902" s="1"/>
      <c r="F6902" s="1"/>
    </row>
    <row r="6903" spans="5:6">
      <c r="E6903" s="1"/>
      <c r="F6903" s="1"/>
    </row>
    <row r="6904" spans="5:6">
      <c r="E6904" s="1"/>
      <c r="F6904" s="1"/>
    </row>
    <row r="6905" spans="5:6">
      <c r="E6905" s="1"/>
      <c r="F6905" s="1"/>
    </row>
    <row r="6906" spans="5:6">
      <c r="E6906" s="1"/>
      <c r="F6906" s="1"/>
    </row>
    <row r="6907" spans="5:6">
      <c r="E6907" s="1"/>
      <c r="F6907" s="1"/>
    </row>
    <row r="6908" spans="5:6">
      <c r="E6908" s="1"/>
      <c r="F6908" s="1"/>
    </row>
    <row r="6909" spans="5:6">
      <c r="E6909" s="1"/>
      <c r="F6909" s="1"/>
    </row>
    <row r="6910" spans="5:6">
      <c r="E6910" s="1"/>
      <c r="F6910" s="1"/>
    </row>
    <row r="6911" spans="5:6">
      <c r="E6911" s="1"/>
      <c r="F6911" s="1"/>
    </row>
    <row r="6912" spans="5:6">
      <c r="E6912" s="1"/>
      <c r="F6912" s="1"/>
    </row>
    <row r="6913" spans="5:6">
      <c r="E6913" s="1"/>
      <c r="F6913" s="1"/>
    </row>
    <row r="6914" spans="5:6">
      <c r="E6914" s="1"/>
      <c r="F6914" s="1"/>
    </row>
    <row r="6915" spans="5:6">
      <c r="E6915" s="1"/>
      <c r="F6915" s="1"/>
    </row>
    <row r="6916" spans="5:6">
      <c r="E6916" s="1"/>
      <c r="F6916" s="1"/>
    </row>
    <row r="6917" spans="5:6">
      <c r="E6917" s="1"/>
      <c r="F6917" s="1"/>
    </row>
    <row r="6918" spans="5:6">
      <c r="E6918" s="1"/>
      <c r="F6918" s="1"/>
    </row>
    <row r="6919" spans="5:6">
      <c r="E6919" s="1"/>
      <c r="F6919" s="1"/>
    </row>
    <row r="6920" spans="5:6">
      <c r="E6920" s="1"/>
      <c r="F6920" s="1"/>
    </row>
    <row r="6921" spans="5:6">
      <c r="E6921" s="1"/>
      <c r="F6921" s="1"/>
    </row>
    <row r="6922" spans="5:6">
      <c r="E6922" s="1"/>
      <c r="F6922" s="1"/>
    </row>
    <row r="6923" spans="5:6">
      <c r="E6923" s="1"/>
      <c r="F6923" s="1"/>
    </row>
    <row r="6924" spans="5:6">
      <c r="E6924" s="1"/>
      <c r="F6924" s="1"/>
    </row>
    <row r="6925" spans="5:6">
      <c r="E6925" s="1"/>
      <c r="F6925" s="1"/>
    </row>
    <row r="6926" spans="5:6">
      <c r="E6926" s="1"/>
      <c r="F6926" s="1"/>
    </row>
    <row r="6927" spans="5:6">
      <c r="E6927" s="1"/>
      <c r="F6927" s="1"/>
    </row>
    <row r="6928" spans="5:6">
      <c r="E6928" s="1"/>
      <c r="F6928" s="1"/>
    </row>
    <row r="6929" spans="5:6">
      <c r="E6929" s="1"/>
      <c r="F6929" s="1"/>
    </row>
    <row r="6930" spans="5:6">
      <c r="E6930" s="1"/>
      <c r="F6930" s="1"/>
    </row>
    <row r="6931" spans="5:6">
      <c r="E6931" s="1"/>
      <c r="F6931" s="1"/>
    </row>
    <row r="6932" spans="5:6">
      <c r="E6932" s="1"/>
      <c r="F6932" s="1"/>
    </row>
    <row r="6933" spans="5:6">
      <c r="E6933" s="1"/>
      <c r="F6933" s="1"/>
    </row>
    <row r="6934" spans="5:6">
      <c r="E6934" s="1"/>
      <c r="F6934" s="1"/>
    </row>
    <row r="6935" spans="5:6">
      <c r="E6935" s="1"/>
      <c r="F6935" s="1"/>
    </row>
    <row r="6936" spans="5:6">
      <c r="E6936" s="1"/>
      <c r="F6936" s="1"/>
    </row>
    <row r="6937" spans="5:6">
      <c r="E6937" s="1"/>
      <c r="F6937" s="1"/>
    </row>
    <row r="6938" spans="5:6">
      <c r="E6938" s="1"/>
      <c r="F6938" s="1"/>
    </row>
    <row r="6939" spans="5:6">
      <c r="E6939" s="1"/>
      <c r="F6939" s="1"/>
    </row>
    <row r="6940" spans="5:6">
      <c r="E6940" s="1"/>
      <c r="F6940" s="1"/>
    </row>
    <row r="6941" spans="5:6">
      <c r="E6941" s="1"/>
      <c r="F6941" s="1"/>
    </row>
    <row r="6942" spans="5:6">
      <c r="E6942" s="1"/>
      <c r="F6942" s="1"/>
    </row>
    <row r="6943" spans="5:6">
      <c r="E6943" s="1"/>
      <c r="F6943" s="1"/>
    </row>
    <row r="6944" spans="5:6">
      <c r="E6944" s="1"/>
      <c r="F6944" s="1"/>
    </row>
    <row r="6945" spans="5:6">
      <c r="E6945" s="1"/>
      <c r="F6945" s="1"/>
    </row>
    <row r="6946" spans="5:6">
      <c r="E6946" s="1"/>
      <c r="F6946" s="1"/>
    </row>
    <row r="6947" spans="5:6">
      <c r="E6947" s="1"/>
      <c r="F6947" s="1"/>
    </row>
    <row r="6948" spans="5:6">
      <c r="E6948" s="1"/>
      <c r="F6948" s="1"/>
    </row>
    <row r="6949" spans="5:6">
      <c r="E6949" s="1"/>
      <c r="F6949" s="1"/>
    </row>
    <row r="6950" spans="5:6">
      <c r="E6950" s="1"/>
      <c r="F6950" s="1"/>
    </row>
    <row r="6951" spans="5:6">
      <c r="E6951" s="1"/>
      <c r="F6951" s="1"/>
    </row>
    <row r="6952" spans="5:6">
      <c r="E6952" s="1"/>
      <c r="F6952" s="1"/>
    </row>
    <row r="6953" spans="5:6">
      <c r="E6953" s="1"/>
      <c r="F6953" s="1"/>
    </row>
    <row r="6954" spans="5:6">
      <c r="E6954" s="1"/>
      <c r="F6954" s="1"/>
    </row>
    <row r="6955" spans="5:6">
      <c r="E6955" s="1"/>
      <c r="F6955" s="1"/>
    </row>
    <row r="6956" spans="5:6">
      <c r="E6956" s="1"/>
      <c r="F6956" s="1"/>
    </row>
    <row r="6957" spans="5:6">
      <c r="E6957" s="1"/>
      <c r="F6957" s="1"/>
    </row>
    <row r="6958" spans="5:6">
      <c r="E6958" s="1"/>
      <c r="F6958" s="1"/>
    </row>
    <row r="6959" spans="5:6">
      <c r="E6959" s="1"/>
      <c r="F6959" s="1"/>
    </row>
    <row r="6960" spans="5:6">
      <c r="E6960" s="1"/>
      <c r="F6960" s="1"/>
    </row>
    <row r="6961" spans="5:6">
      <c r="E6961" s="1"/>
      <c r="F6961" s="1"/>
    </row>
    <row r="6962" spans="5:6">
      <c r="E6962" s="1"/>
      <c r="F6962" s="1"/>
    </row>
    <row r="6963" spans="5:6">
      <c r="E6963" s="1"/>
      <c r="F6963" s="1"/>
    </row>
    <row r="6964" spans="5:6">
      <c r="E6964" s="1"/>
      <c r="F6964" s="1"/>
    </row>
    <row r="6965" spans="5:6">
      <c r="E6965" s="1"/>
      <c r="F6965" s="1"/>
    </row>
    <row r="6966" spans="5:6">
      <c r="E6966" s="1"/>
      <c r="F6966" s="1"/>
    </row>
    <row r="6967" spans="5:6">
      <c r="E6967" s="1"/>
      <c r="F6967" s="1"/>
    </row>
    <row r="6968" spans="5:6">
      <c r="E6968" s="1"/>
      <c r="F6968" s="1"/>
    </row>
    <row r="6969" spans="5:6">
      <c r="E6969" s="1"/>
      <c r="F6969" s="1"/>
    </row>
    <row r="6970" spans="5:6">
      <c r="E6970" s="1"/>
      <c r="F6970" s="1"/>
    </row>
    <row r="6971" spans="5:6">
      <c r="E6971" s="1"/>
      <c r="F6971" s="1"/>
    </row>
    <row r="6972" spans="5:6">
      <c r="E6972" s="1"/>
      <c r="F6972" s="1"/>
    </row>
    <row r="6973" spans="5:6">
      <c r="E6973" s="1"/>
      <c r="F6973" s="1"/>
    </row>
    <row r="6974" spans="5:6">
      <c r="E6974" s="1"/>
      <c r="F6974" s="1"/>
    </row>
    <row r="6975" spans="5:6">
      <c r="E6975" s="1"/>
      <c r="F6975" s="1"/>
    </row>
    <row r="6976" spans="5:6">
      <c r="E6976" s="1"/>
      <c r="F6976" s="1"/>
    </row>
    <row r="6977" spans="5:6">
      <c r="E6977" s="1"/>
      <c r="F6977" s="1"/>
    </row>
    <row r="6978" spans="5:6">
      <c r="E6978" s="1"/>
      <c r="F6978" s="1"/>
    </row>
    <row r="6979" spans="5:6">
      <c r="E6979" s="1"/>
      <c r="F6979" s="1"/>
    </row>
    <row r="6980" spans="5:6">
      <c r="E6980" s="1"/>
      <c r="F6980" s="1"/>
    </row>
    <row r="6981" spans="5:6">
      <c r="E6981" s="1"/>
      <c r="F6981" s="1"/>
    </row>
    <row r="6982" spans="5:6">
      <c r="E6982" s="1"/>
      <c r="F6982" s="1"/>
    </row>
    <row r="6983" spans="5:6">
      <c r="E6983" s="1"/>
      <c r="F6983" s="1"/>
    </row>
    <row r="6984" spans="5:6">
      <c r="E6984" s="1"/>
      <c r="F6984" s="1"/>
    </row>
    <row r="6985" spans="5:6">
      <c r="E6985" s="1"/>
      <c r="F6985" s="1"/>
    </row>
    <row r="6986" spans="5:6">
      <c r="E6986" s="1"/>
      <c r="F6986" s="1"/>
    </row>
    <row r="6987" spans="5:6">
      <c r="E6987" s="1"/>
      <c r="F6987" s="1"/>
    </row>
    <row r="6988" spans="5:6">
      <c r="E6988" s="1"/>
      <c r="F6988" s="1"/>
    </row>
    <row r="6989" spans="5:6">
      <c r="E6989" s="1"/>
      <c r="F6989" s="1"/>
    </row>
    <row r="6990" spans="5:6">
      <c r="E6990" s="1"/>
      <c r="F6990" s="1"/>
    </row>
    <row r="6991" spans="5:6">
      <c r="E6991" s="1"/>
      <c r="F6991" s="1"/>
    </row>
    <row r="6992" spans="5:6">
      <c r="E6992" s="1"/>
      <c r="F6992" s="1"/>
    </row>
    <row r="6993" spans="5:6">
      <c r="E6993" s="1"/>
      <c r="F6993" s="1"/>
    </row>
    <row r="6994" spans="5:6">
      <c r="E6994" s="1"/>
      <c r="F6994" s="1"/>
    </row>
    <row r="6995" spans="5:6">
      <c r="E6995" s="1"/>
      <c r="F6995" s="1"/>
    </row>
    <row r="6996" spans="5:6">
      <c r="E6996" s="1"/>
      <c r="F6996" s="1"/>
    </row>
    <row r="6997" spans="5:6">
      <c r="E6997" s="1"/>
      <c r="F6997" s="1"/>
    </row>
    <row r="6998" spans="5:6">
      <c r="E6998" s="1"/>
      <c r="F6998" s="1"/>
    </row>
    <row r="6999" spans="5:6">
      <c r="E6999" s="1"/>
      <c r="F6999" s="1"/>
    </row>
    <row r="7000" spans="5:6">
      <c r="E7000" s="1"/>
      <c r="F7000" s="1"/>
    </row>
    <row r="7001" spans="5:6">
      <c r="E7001" s="1"/>
      <c r="F7001" s="1"/>
    </row>
    <row r="7002" spans="5:6">
      <c r="E7002" s="1"/>
      <c r="F7002" s="1"/>
    </row>
    <row r="7003" spans="5:6">
      <c r="E7003" s="1"/>
      <c r="F7003" s="1"/>
    </row>
    <row r="7004" spans="5:6">
      <c r="E7004" s="1"/>
      <c r="F7004" s="1"/>
    </row>
    <row r="7005" spans="5:6">
      <c r="E7005" s="1"/>
      <c r="F7005" s="1"/>
    </row>
    <row r="7006" spans="5:6">
      <c r="E7006" s="1"/>
      <c r="F7006" s="1"/>
    </row>
    <row r="7007" spans="5:6">
      <c r="E7007" s="1"/>
      <c r="F7007" s="1"/>
    </row>
    <row r="7008" spans="5:6">
      <c r="E7008" s="1"/>
      <c r="F7008" s="1"/>
    </row>
    <row r="7009" spans="5:6">
      <c r="E7009" s="1"/>
      <c r="F7009" s="1"/>
    </row>
    <row r="7010" spans="5:6">
      <c r="E7010" s="1"/>
      <c r="F7010" s="1"/>
    </row>
    <row r="7011" spans="5:6">
      <c r="E7011" s="1"/>
      <c r="F7011" s="1"/>
    </row>
    <row r="7012" spans="5:6">
      <c r="E7012" s="1"/>
      <c r="F7012" s="1"/>
    </row>
    <row r="7013" spans="5:6">
      <c r="E7013" s="1"/>
      <c r="F7013" s="1"/>
    </row>
    <row r="7014" spans="5:6">
      <c r="E7014" s="1"/>
      <c r="F7014" s="1"/>
    </row>
    <row r="7015" spans="5:6">
      <c r="E7015" s="1"/>
      <c r="F7015" s="1"/>
    </row>
    <row r="7016" spans="5:6">
      <c r="E7016" s="1"/>
      <c r="F7016" s="1"/>
    </row>
    <row r="7017" spans="5:6">
      <c r="E7017" s="1"/>
      <c r="F7017" s="1"/>
    </row>
    <row r="7018" spans="5:6">
      <c r="E7018" s="1"/>
      <c r="F7018" s="1"/>
    </row>
    <row r="7019" spans="5:6">
      <c r="E7019" s="1"/>
      <c r="F7019" s="1"/>
    </row>
    <row r="7020" spans="5:6">
      <c r="E7020" s="1"/>
      <c r="F7020" s="1"/>
    </row>
    <row r="7021" spans="5:6">
      <c r="E7021" s="1"/>
      <c r="F7021" s="1"/>
    </row>
    <row r="7022" spans="5:6">
      <c r="E7022" s="1"/>
      <c r="F7022" s="1"/>
    </row>
    <row r="7023" spans="5:6">
      <c r="E7023" s="1"/>
      <c r="F7023" s="1"/>
    </row>
    <row r="7024" spans="5:6">
      <c r="E7024" s="1"/>
      <c r="F7024" s="1"/>
    </row>
    <row r="7025" spans="5:6">
      <c r="E7025" s="1"/>
      <c r="F7025" s="1"/>
    </row>
    <row r="7026" spans="5:6">
      <c r="E7026" s="1"/>
      <c r="F7026" s="1"/>
    </row>
    <row r="7027" spans="5:6">
      <c r="E7027" s="1"/>
      <c r="F7027" s="1"/>
    </row>
    <row r="7028" spans="5:6">
      <c r="E7028" s="1"/>
      <c r="F7028" s="1"/>
    </row>
    <row r="7029" spans="5:6">
      <c r="E7029" s="1"/>
      <c r="F7029" s="1"/>
    </row>
    <row r="7030" spans="5:6">
      <c r="E7030" s="1"/>
      <c r="F7030" s="1"/>
    </row>
    <row r="7031" spans="5:6">
      <c r="E7031" s="1"/>
      <c r="F7031" s="1"/>
    </row>
    <row r="7032" spans="5:6">
      <c r="E7032" s="1"/>
      <c r="F7032" s="1"/>
    </row>
    <row r="7033" spans="5:6">
      <c r="E7033" s="1"/>
      <c r="F7033" s="1"/>
    </row>
    <row r="7034" spans="5:6">
      <c r="E7034" s="1"/>
      <c r="F7034" s="1"/>
    </row>
    <row r="7035" spans="5:6">
      <c r="E7035" s="1"/>
      <c r="F7035" s="1"/>
    </row>
    <row r="7036" spans="5:6">
      <c r="E7036" s="1"/>
      <c r="F7036" s="1"/>
    </row>
    <row r="7037" spans="5:6">
      <c r="E7037" s="1"/>
      <c r="F7037" s="1"/>
    </row>
    <row r="7038" spans="5:6">
      <c r="E7038" s="1"/>
      <c r="F7038" s="1"/>
    </row>
    <row r="7039" spans="5:6">
      <c r="E7039" s="1"/>
      <c r="F7039" s="1"/>
    </row>
    <row r="7040" spans="5:6">
      <c r="E7040" s="1"/>
      <c r="F7040" s="1"/>
    </row>
    <row r="7041" spans="5:6">
      <c r="E7041" s="1"/>
      <c r="F7041" s="1"/>
    </row>
    <row r="7042" spans="5:6">
      <c r="E7042" s="1"/>
      <c r="F7042" s="1"/>
    </row>
    <row r="7043" spans="5:6">
      <c r="E7043" s="1"/>
      <c r="F7043" s="1"/>
    </row>
    <row r="7044" spans="5:6">
      <c r="E7044" s="1"/>
      <c r="F7044" s="1"/>
    </row>
    <row r="7045" spans="5:6">
      <c r="E7045" s="1"/>
      <c r="F7045" s="1"/>
    </row>
    <row r="7046" spans="5:6">
      <c r="E7046" s="1"/>
      <c r="F7046" s="1"/>
    </row>
    <row r="7047" spans="5:6">
      <c r="E7047" s="1"/>
      <c r="F7047" s="1"/>
    </row>
    <row r="7048" spans="5:6">
      <c r="E7048" s="1"/>
      <c r="F7048" s="1"/>
    </row>
    <row r="7049" spans="5:6">
      <c r="E7049" s="1"/>
      <c r="F7049" s="1"/>
    </row>
    <row r="7050" spans="5:6">
      <c r="E7050" s="1"/>
      <c r="F7050" s="1"/>
    </row>
    <row r="7051" spans="5:6">
      <c r="E7051" s="1"/>
      <c r="F7051" s="1"/>
    </row>
    <row r="7052" spans="5:6">
      <c r="E7052" s="1"/>
      <c r="F7052" s="1"/>
    </row>
    <row r="7053" spans="5:6">
      <c r="E7053" s="1"/>
      <c r="F7053" s="1"/>
    </row>
    <row r="7054" spans="5:6">
      <c r="E7054" s="1"/>
      <c r="F7054" s="1"/>
    </row>
    <row r="7055" spans="5:6">
      <c r="E7055" s="1"/>
      <c r="F7055" s="1"/>
    </row>
    <row r="7056" spans="5:6">
      <c r="E7056" s="1"/>
      <c r="F7056" s="1"/>
    </row>
    <row r="7057" spans="5:6">
      <c r="E7057" s="1"/>
      <c r="F7057" s="1"/>
    </row>
    <row r="7058" spans="5:6">
      <c r="E7058" s="1"/>
      <c r="F7058" s="1"/>
    </row>
    <row r="7059" spans="5:6">
      <c r="E7059" s="1"/>
      <c r="F7059" s="1"/>
    </row>
    <row r="7060" spans="5:6">
      <c r="E7060" s="1"/>
      <c r="F7060" s="1"/>
    </row>
    <row r="7061" spans="5:6">
      <c r="E7061" s="1"/>
      <c r="F7061" s="1"/>
    </row>
    <row r="7062" spans="5:6">
      <c r="E7062" s="1"/>
      <c r="F7062" s="1"/>
    </row>
    <row r="7063" spans="5:6">
      <c r="E7063" s="1"/>
      <c r="F7063" s="1"/>
    </row>
    <row r="7064" spans="5:6">
      <c r="E7064" s="1"/>
      <c r="F7064" s="1"/>
    </row>
    <row r="7065" spans="5:6">
      <c r="E7065" s="1"/>
      <c r="F7065" s="1"/>
    </row>
    <row r="7066" spans="5:6">
      <c r="E7066" s="1"/>
      <c r="F7066" s="1"/>
    </row>
    <row r="7067" spans="5:6">
      <c r="E7067" s="1"/>
      <c r="F7067" s="1"/>
    </row>
    <row r="7068" spans="5:6">
      <c r="E7068" s="1"/>
      <c r="F7068" s="1"/>
    </row>
    <row r="7069" spans="5:6">
      <c r="E7069" s="1"/>
      <c r="F7069" s="1"/>
    </row>
    <row r="7070" spans="5:6">
      <c r="E7070" s="1"/>
      <c r="F7070" s="1"/>
    </row>
    <row r="7071" spans="5:6">
      <c r="E7071" s="1"/>
      <c r="F7071" s="1"/>
    </row>
    <row r="7072" spans="5:6">
      <c r="E7072" s="1"/>
      <c r="F7072" s="1"/>
    </row>
    <row r="7073" spans="5:6">
      <c r="E7073" s="1"/>
      <c r="F7073" s="1"/>
    </row>
    <row r="7074" spans="5:6">
      <c r="E7074" s="1"/>
      <c r="F7074" s="1"/>
    </row>
    <row r="7075" spans="5:6">
      <c r="E7075" s="1"/>
      <c r="F7075" s="1"/>
    </row>
    <row r="7076" spans="5:6">
      <c r="E7076" s="1"/>
      <c r="F7076" s="1"/>
    </row>
    <row r="7077" spans="5:6">
      <c r="E7077" s="1"/>
      <c r="F7077" s="1"/>
    </row>
    <row r="7078" spans="5:6">
      <c r="E7078" s="1"/>
      <c r="F7078" s="1"/>
    </row>
    <row r="7079" spans="5:6">
      <c r="E7079" s="1"/>
      <c r="F7079" s="1"/>
    </row>
    <row r="7080" spans="5:6">
      <c r="E7080" s="1"/>
      <c r="F7080" s="1"/>
    </row>
    <row r="7081" spans="5:6">
      <c r="E7081" s="1"/>
      <c r="F7081" s="1"/>
    </row>
    <row r="7082" spans="5:6">
      <c r="E7082" s="1"/>
      <c r="F7082" s="1"/>
    </row>
    <row r="7083" spans="5:6">
      <c r="E7083" s="1"/>
      <c r="F7083" s="1"/>
    </row>
    <row r="7084" spans="5:6">
      <c r="E7084" s="1"/>
      <c r="F7084" s="1"/>
    </row>
    <row r="7085" spans="5:6">
      <c r="E7085" s="1"/>
      <c r="F7085" s="1"/>
    </row>
    <row r="7086" spans="5:6">
      <c r="E7086" s="1"/>
      <c r="F7086" s="1"/>
    </row>
    <row r="7087" spans="5:6">
      <c r="E7087" s="1"/>
      <c r="F7087" s="1"/>
    </row>
    <row r="7088" spans="5:6">
      <c r="E7088" s="1"/>
      <c r="F7088" s="1"/>
    </row>
    <row r="7089" spans="5:6">
      <c r="E7089" s="1"/>
      <c r="F7089" s="1"/>
    </row>
    <row r="7090" spans="5:6">
      <c r="E7090" s="1"/>
      <c r="F7090" s="1"/>
    </row>
    <row r="7091" spans="5:6">
      <c r="E7091" s="1"/>
      <c r="F7091" s="1"/>
    </row>
    <row r="7092" spans="5:6">
      <c r="E7092" s="1"/>
      <c r="F7092" s="1"/>
    </row>
    <row r="7093" spans="5:6">
      <c r="E7093" s="1"/>
      <c r="F7093" s="1"/>
    </row>
    <row r="7094" spans="5:6">
      <c r="E7094" s="1"/>
      <c r="F7094" s="1"/>
    </row>
    <row r="7095" spans="5:6">
      <c r="E7095" s="1"/>
      <c r="F7095" s="1"/>
    </row>
    <row r="7096" spans="5:6">
      <c r="E7096" s="1"/>
      <c r="F7096" s="1"/>
    </row>
    <row r="7097" spans="5:6">
      <c r="E7097" s="1"/>
      <c r="F7097" s="1"/>
    </row>
    <row r="7098" spans="5:6">
      <c r="E7098" s="1"/>
      <c r="F7098" s="1"/>
    </row>
    <row r="7099" spans="5:6">
      <c r="E7099" s="1"/>
      <c r="F7099" s="1"/>
    </row>
    <row r="7100" spans="5:6">
      <c r="E7100" s="1"/>
      <c r="F7100" s="1"/>
    </row>
    <row r="7101" spans="5:6">
      <c r="E7101" s="1"/>
      <c r="F7101" s="1"/>
    </row>
    <row r="7102" spans="5:6">
      <c r="E7102" s="1"/>
      <c r="F7102" s="1"/>
    </row>
    <row r="7103" spans="5:6">
      <c r="E7103" s="1"/>
      <c r="F7103" s="1"/>
    </row>
    <row r="7104" spans="5:6">
      <c r="E7104" s="1"/>
      <c r="F7104" s="1"/>
    </row>
    <row r="7105" spans="5:6">
      <c r="E7105" s="1"/>
      <c r="F7105" s="1"/>
    </row>
    <row r="7106" spans="5:6">
      <c r="E7106" s="1"/>
      <c r="F7106" s="1"/>
    </row>
    <row r="7107" spans="5:6">
      <c r="E7107" s="1"/>
      <c r="F7107" s="1"/>
    </row>
    <row r="7108" spans="5:6">
      <c r="E7108" s="1"/>
      <c r="F7108" s="1"/>
    </row>
    <row r="7109" spans="5:6">
      <c r="E7109" s="1"/>
      <c r="F7109" s="1"/>
    </row>
    <row r="7110" spans="5:6">
      <c r="E7110" s="1"/>
      <c r="F7110" s="1"/>
    </row>
    <row r="7111" spans="5:6">
      <c r="E7111" s="1"/>
      <c r="F7111" s="1"/>
    </row>
    <row r="7112" spans="5:6">
      <c r="E7112" s="1"/>
      <c r="F7112" s="1"/>
    </row>
    <row r="7113" spans="5:6">
      <c r="E7113" s="1"/>
      <c r="F7113" s="1"/>
    </row>
    <row r="7114" spans="5:6">
      <c r="E7114" s="1"/>
      <c r="F7114" s="1"/>
    </row>
    <row r="7115" spans="5:6">
      <c r="E7115" s="1"/>
      <c r="F7115" s="1"/>
    </row>
    <row r="7116" spans="5:6">
      <c r="E7116" s="1"/>
      <c r="F7116" s="1"/>
    </row>
    <row r="7117" spans="5:6">
      <c r="E7117" s="1"/>
      <c r="F7117" s="1"/>
    </row>
    <row r="7118" spans="5:6">
      <c r="E7118" s="1"/>
      <c r="F7118" s="1"/>
    </row>
    <row r="7119" spans="5:6">
      <c r="E7119" s="1"/>
      <c r="F7119" s="1"/>
    </row>
    <row r="7120" spans="5:6">
      <c r="E7120" s="1"/>
      <c r="F7120" s="1"/>
    </row>
    <row r="7121" spans="5:6">
      <c r="E7121" s="1"/>
      <c r="F7121" s="1"/>
    </row>
    <row r="7122" spans="5:6">
      <c r="E7122" s="1"/>
      <c r="F7122" s="1"/>
    </row>
    <row r="7123" spans="5:6">
      <c r="E7123" s="1"/>
      <c r="F7123" s="1"/>
    </row>
    <row r="7124" spans="5:6">
      <c r="E7124" s="1"/>
      <c r="F7124" s="1"/>
    </row>
    <row r="7125" spans="5:6">
      <c r="E7125" s="1"/>
      <c r="F7125" s="1"/>
    </row>
    <row r="7126" spans="5:6">
      <c r="E7126" s="1"/>
      <c r="F7126" s="1"/>
    </row>
    <row r="7127" spans="5:6">
      <c r="E7127" s="1"/>
      <c r="F7127" s="1"/>
    </row>
    <row r="7128" spans="5:6">
      <c r="E7128" s="1"/>
      <c r="F7128" s="1"/>
    </row>
    <row r="7129" spans="5:6">
      <c r="E7129" s="1"/>
      <c r="F7129" s="1"/>
    </row>
    <row r="7130" spans="5:6">
      <c r="E7130" s="1"/>
      <c r="F7130" s="1"/>
    </row>
    <row r="7131" spans="5:6">
      <c r="E7131" s="1"/>
      <c r="F7131" s="1"/>
    </row>
    <row r="7132" spans="5:6">
      <c r="E7132" s="1"/>
      <c r="F7132" s="1"/>
    </row>
    <row r="7133" spans="5:6">
      <c r="E7133" s="1"/>
      <c r="F7133" s="1"/>
    </row>
    <row r="7134" spans="5:6">
      <c r="E7134" s="1"/>
      <c r="F7134" s="1"/>
    </row>
    <row r="7135" spans="5:6">
      <c r="E7135" s="1"/>
      <c r="F7135" s="1"/>
    </row>
    <row r="7136" spans="5:6">
      <c r="E7136" s="1"/>
      <c r="F7136" s="1"/>
    </row>
    <row r="7137" spans="5:6">
      <c r="E7137" s="1"/>
      <c r="F7137" s="1"/>
    </row>
    <row r="7138" spans="5:6">
      <c r="E7138" s="1"/>
      <c r="F7138" s="1"/>
    </row>
    <row r="7139" spans="5:6">
      <c r="E7139" s="1"/>
      <c r="F7139" s="1"/>
    </row>
    <row r="7140" spans="5:6">
      <c r="E7140" s="1"/>
      <c r="F7140" s="1"/>
    </row>
    <row r="7141" spans="5:6">
      <c r="E7141" s="1"/>
      <c r="F7141" s="1"/>
    </row>
    <row r="7142" spans="5:6">
      <c r="E7142" s="1"/>
      <c r="F7142" s="1"/>
    </row>
    <row r="7143" spans="5:6">
      <c r="E7143" s="1"/>
      <c r="F7143" s="1"/>
    </row>
    <row r="7144" spans="5:6">
      <c r="E7144" s="1"/>
      <c r="F7144" s="1"/>
    </row>
    <row r="7145" spans="5:6">
      <c r="E7145" s="1"/>
      <c r="F7145" s="1"/>
    </row>
    <row r="7146" spans="5:6">
      <c r="E7146" s="1"/>
      <c r="F7146" s="1"/>
    </row>
    <row r="7147" spans="5:6">
      <c r="E7147" s="1"/>
      <c r="F7147" s="1"/>
    </row>
    <row r="7148" spans="5:6">
      <c r="E7148" s="1"/>
      <c r="F7148" s="1"/>
    </row>
    <row r="7149" spans="5:6">
      <c r="E7149" s="1"/>
      <c r="F7149" s="1"/>
    </row>
    <row r="7150" spans="5:6">
      <c r="E7150" s="1"/>
      <c r="F7150" s="1"/>
    </row>
    <row r="7151" spans="5:6">
      <c r="E7151" s="1"/>
      <c r="F7151" s="1"/>
    </row>
    <row r="7152" spans="5:6">
      <c r="E7152" s="1"/>
      <c r="F7152" s="1"/>
    </row>
    <row r="7153" spans="5:6">
      <c r="E7153" s="1"/>
      <c r="F7153" s="1"/>
    </row>
    <row r="7154" spans="5:6">
      <c r="E7154" s="1"/>
      <c r="F7154" s="1"/>
    </row>
    <row r="7155" spans="5:6">
      <c r="E7155" s="1"/>
      <c r="F7155" s="1"/>
    </row>
    <row r="7156" spans="5:6">
      <c r="E7156" s="1"/>
      <c r="F7156" s="1"/>
    </row>
    <row r="7157" spans="5:6">
      <c r="E7157" s="1"/>
      <c r="F7157" s="1"/>
    </row>
    <row r="7158" spans="5:6">
      <c r="E7158" s="1"/>
      <c r="F7158" s="1"/>
    </row>
    <row r="7159" spans="5:6">
      <c r="E7159" s="1"/>
      <c r="F7159" s="1"/>
    </row>
    <row r="7160" spans="5:6">
      <c r="E7160" s="1"/>
      <c r="F7160" s="1"/>
    </row>
    <row r="7161" spans="5:6">
      <c r="E7161" s="1"/>
      <c r="F7161" s="1"/>
    </row>
    <row r="7162" spans="5:6">
      <c r="E7162" s="1"/>
      <c r="F7162" s="1"/>
    </row>
    <row r="7163" spans="5:6">
      <c r="E7163" s="1"/>
      <c r="F7163" s="1"/>
    </row>
    <row r="7164" spans="5:6">
      <c r="E7164" s="1"/>
      <c r="F7164" s="1"/>
    </row>
    <row r="7165" spans="5:6">
      <c r="E7165" s="1"/>
      <c r="F7165" s="1"/>
    </row>
    <row r="7166" spans="5:6">
      <c r="E7166" s="1"/>
      <c r="F7166" s="1"/>
    </row>
    <row r="7167" spans="5:6">
      <c r="E7167" s="1"/>
      <c r="F7167" s="1"/>
    </row>
    <row r="7168" spans="5:6">
      <c r="E7168" s="1"/>
      <c r="F7168" s="1"/>
    </row>
    <row r="7169" spans="5:6">
      <c r="E7169" s="1"/>
      <c r="F7169" s="1"/>
    </row>
    <row r="7170" spans="5:6">
      <c r="E7170" s="1"/>
      <c r="F7170" s="1"/>
    </row>
    <row r="7171" spans="5:6">
      <c r="E7171" s="1"/>
      <c r="F7171" s="1"/>
    </row>
    <row r="7172" spans="5:6">
      <c r="E7172" s="1"/>
      <c r="F7172" s="1"/>
    </row>
    <row r="7173" spans="5:6">
      <c r="E7173" s="1"/>
      <c r="F7173" s="1"/>
    </row>
    <row r="7174" spans="5:6">
      <c r="E7174" s="1"/>
      <c r="F7174" s="1"/>
    </row>
    <row r="7175" spans="5:6">
      <c r="E7175" s="1"/>
      <c r="F7175" s="1"/>
    </row>
    <row r="7176" spans="5:6">
      <c r="E7176" s="1"/>
      <c r="F7176" s="1"/>
    </row>
    <row r="7177" spans="5:6">
      <c r="E7177" s="1"/>
      <c r="F7177" s="1"/>
    </row>
    <row r="7178" spans="5:6">
      <c r="E7178" s="1"/>
      <c r="F7178" s="1"/>
    </row>
    <row r="7179" spans="5:6">
      <c r="E7179" s="1"/>
      <c r="F7179" s="1"/>
    </row>
    <row r="7180" spans="5:6">
      <c r="E7180" s="1"/>
      <c r="F7180" s="1"/>
    </row>
    <row r="7181" spans="5:6">
      <c r="E7181" s="1"/>
      <c r="F7181" s="1"/>
    </row>
    <row r="7182" spans="5:6">
      <c r="E7182" s="1"/>
      <c r="F7182" s="1"/>
    </row>
    <row r="7183" spans="5:6">
      <c r="E7183" s="1"/>
      <c r="F7183" s="1"/>
    </row>
    <row r="7184" spans="5:6">
      <c r="E7184" s="1"/>
      <c r="F7184" s="1"/>
    </row>
    <row r="7185" spans="5:6">
      <c r="E7185" s="1"/>
      <c r="F7185" s="1"/>
    </row>
    <row r="7186" spans="5:6">
      <c r="E7186" s="1"/>
      <c r="F7186" s="1"/>
    </row>
    <row r="7187" spans="5:6">
      <c r="E7187" s="1"/>
      <c r="F7187" s="1"/>
    </row>
    <row r="7188" spans="5:6">
      <c r="E7188" s="1"/>
      <c r="F7188" s="1"/>
    </row>
    <row r="7189" spans="5:6">
      <c r="E7189" s="1"/>
      <c r="F7189" s="1"/>
    </row>
    <row r="7190" spans="5:6">
      <c r="E7190" s="1"/>
      <c r="F7190" s="1"/>
    </row>
    <row r="7191" spans="5:6">
      <c r="E7191" s="1"/>
      <c r="F7191" s="1"/>
    </row>
    <row r="7192" spans="5:6">
      <c r="E7192" s="1"/>
      <c r="F7192" s="1"/>
    </row>
    <row r="7193" spans="5:6">
      <c r="E7193" s="1"/>
      <c r="F7193" s="1"/>
    </row>
    <row r="7194" spans="5:6">
      <c r="E7194" s="1"/>
      <c r="F7194" s="1"/>
    </row>
    <row r="7195" spans="5:6">
      <c r="E7195" s="1"/>
      <c r="F7195" s="1"/>
    </row>
    <row r="7196" spans="5:6">
      <c r="E7196" s="1"/>
      <c r="F7196" s="1"/>
    </row>
    <row r="7197" spans="5:6">
      <c r="E7197" s="1"/>
      <c r="F7197" s="1"/>
    </row>
    <row r="7198" spans="5:6">
      <c r="E7198" s="1"/>
      <c r="F7198" s="1"/>
    </row>
    <row r="7199" spans="5:6">
      <c r="E7199" s="1"/>
      <c r="F7199" s="1"/>
    </row>
    <row r="7200" spans="5:6">
      <c r="E7200" s="1"/>
      <c r="F7200" s="1"/>
    </row>
    <row r="7201" spans="5:6">
      <c r="E7201" s="1"/>
      <c r="F7201" s="1"/>
    </row>
    <row r="7202" spans="5:6">
      <c r="E7202" s="1"/>
      <c r="F7202" s="1"/>
    </row>
    <row r="7203" spans="5:6">
      <c r="E7203" s="1"/>
      <c r="F7203" s="1"/>
    </row>
    <row r="7204" spans="5:6">
      <c r="E7204" s="1"/>
      <c r="F7204" s="1"/>
    </row>
    <row r="7205" spans="5:6">
      <c r="E7205" s="1"/>
      <c r="F7205" s="1"/>
    </row>
    <row r="7206" spans="5:6">
      <c r="E7206" s="1"/>
      <c r="F7206" s="1"/>
    </row>
    <row r="7207" spans="5:6">
      <c r="E7207" s="1"/>
      <c r="F7207" s="1"/>
    </row>
    <row r="7208" spans="5:6">
      <c r="E7208" s="1"/>
      <c r="F7208" s="1"/>
    </row>
    <row r="7209" spans="5:6">
      <c r="E7209" s="1"/>
      <c r="F7209" s="1"/>
    </row>
    <row r="7210" spans="5:6">
      <c r="E7210" s="1"/>
      <c r="F7210" s="1"/>
    </row>
    <row r="7211" spans="5:6">
      <c r="E7211" s="1"/>
      <c r="F7211" s="1"/>
    </row>
    <row r="7212" spans="5:6">
      <c r="E7212" s="1"/>
      <c r="F7212" s="1"/>
    </row>
    <row r="7213" spans="5:6">
      <c r="E7213" s="1"/>
      <c r="F7213" s="1"/>
    </row>
    <row r="7214" spans="5:6">
      <c r="E7214" s="1"/>
      <c r="F7214" s="1"/>
    </row>
    <row r="7215" spans="5:6">
      <c r="E7215" s="1"/>
      <c r="F7215" s="1"/>
    </row>
    <row r="7216" spans="5:6">
      <c r="E7216" s="1"/>
      <c r="F7216" s="1"/>
    </row>
    <row r="7217" spans="5:6">
      <c r="E7217" s="1"/>
      <c r="F7217" s="1"/>
    </row>
    <row r="7218" spans="5:6">
      <c r="E7218" s="1"/>
      <c r="F7218" s="1"/>
    </row>
    <row r="7219" spans="5:6">
      <c r="E7219" s="1"/>
      <c r="F7219" s="1"/>
    </row>
    <row r="7220" spans="5:6">
      <c r="E7220" s="1"/>
      <c r="F7220" s="1"/>
    </row>
    <row r="7221" spans="5:6">
      <c r="E7221" s="1"/>
      <c r="F7221" s="1"/>
    </row>
    <row r="7222" spans="5:6">
      <c r="E7222" s="1"/>
      <c r="F7222" s="1"/>
    </row>
    <row r="7223" spans="5:6">
      <c r="E7223" s="1"/>
      <c r="F7223" s="1"/>
    </row>
    <row r="7224" spans="5:6">
      <c r="E7224" s="1"/>
      <c r="F7224" s="1"/>
    </row>
    <row r="7225" spans="5:6">
      <c r="E7225" s="1"/>
      <c r="F7225" s="1"/>
    </row>
    <row r="7226" spans="5:6">
      <c r="E7226" s="1"/>
      <c r="F7226" s="1"/>
    </row>
    <row r="7227" spans="5:6">
      <c r="E7227" s="1"/>
      <c r="F7227" s="1"/>
    </row>
    <row r="7228" spans="5:6">
      <c r="E7228" s="1"/>
      <c r="F7228" s="1"/>
    </row>
    <row r="7229" spans="5:6">
      <c r="E7229" s="1"/>
      <c r="F7229" s="1"/>
    </row>
    <row r="7230" spans="5:6">
      <c r="E7230" s="1"/>
      <c r="F7230" s="1"/>
    </row>
    <row r="7231" spans="5:6">
      <c r="E7231" s="1"/>
      <c r="F7231" s="1"/>
    </row>
    <row r="7232" spans="5:6">
      <c r="E7232" s="1"/>
      <c r="F7232" s="1"/>
    </row>
    <row r="7233" spans="5:6">
      <c r="E7233" s="1"/>
      <c r="F7233" s="1"/>
    </row>
    <row r="7234" spans="5:6">
      <c r="E7234" s="1"/>
      <c r="F7234" s="1"/>
    </row>
    <row r="7235" spans="5:6">
      <c r="E7235" s="1"/>
      <c r="F7235" s="1"/>
    </row>
    <row r="7236" spans="5:6">
      <c r="E7236" s="1"/>
      <c r="F7236" s="1"/>
    </row>
    <row r="7237" spans="5:6">
      <c r="E7237" s="1"/>
      <c r="F7237" s="1"/>
    </row>
    <row r="7238" spans="5:6">
      <c r="E7238" s="1"/>
      <c r="F7238" s="1"/>
    </row>
    <row r="7239" spans="5:6">
      <c r="E7239" s="1"/>
      <c r="F7239" s="1"/>
    </row>
    <row r="7240" spans="5:6">
      <c r="E7240" s="1"/>
      <c r="F7240" s="1"/>
    </row>
    <row r="7241" spans="5:6">
      <c r="E7241" s="1"/>
      <c r="F7241" s="1"/>
    </row>
    <row r="7242" spans="5:6">
      <c r="E7242" s="1"/>
      <c r="F7242" s="1"/>
    </row>
    <row r="7243" spans="5:6">
      <c r="E7243" s="1"/>
      <c r="F7243" s="1"/>
    </row>
    <row r="7244" spans="5:6">
      <c r="E7244" s="1"/>
      <c r="F7244" s="1"/>
    </row>
    <row r="7245" spans="5:6">
      <c r="E7245" s="1"/>
      <c r="F7245" s="1"/>
    </row>
    <row r="7246" spans="5:6">
      <c r="E7246" s="1"/>
      <c r="F7246" s="1"/>
    </row>
    <row r="7247" spans="5:6">
      <c r="E7247" s="1"/>
      <c r="F7247" s="1"/>
    </row>
    <row r="7248" spans="5:6">
      <c r="E7248" s="1"/>
      <c r="F7248" s="1"/>
    </row>
    <row r="7249" spans="5:6">
      <c r="E7249" s="1"/>
      <c r="F7249" s="1"/>
    </row>
    <row r="7250" spans="5:6">
      <c r="E7250" s="1"/>
      <c r="F7250" s="1"/>
    </row>
    <row r="7251" spans="5:6">
      <c r="E7251" s="1"/>
      <c r="F7251" s="1"/>
    </row>
    <row r="7252" spans="5:6">
      <c r="E7252" s="1"/>
      <c r="F7252" s="1"/>
    </row>
    <row r="7253" spans="5:6">
      <c r="E7253" s="1"/>
      <c r="F7253" s="1"/>
    </row>
    <row r="7254" spans="5:6">
      <c r="E7254" s="1"/>
      <c r="F7254" s="1"/>
    </row>
    <row r="7255" spans="5:6">
      <c r="E7255" s="1"/>
      <c r="F7255" s="1"/>
    </row>
    <row r="7256" spans="5:6">
      <c r="E7256" s="1"/>
      <c r="F7256" s="1"/>
    </row>
    <row r="7257" spans="5:6">
      <c r="E7257" s="1"/>
      <c r="F7257" s="1"/>
    </row>
    <row r="7258" spans="5:6">
      <c r="E7258" s="1"/>
      <c r="F7258" s="1"/>
    </row>
    <row r="7259" spans="5:6">
      <c r="E7259" s="1"/>
      <c r="F7259" s="1"/>
    </row>
    <row r="7260" spans="5:6">
      <c r="E7260" s="1"/>
      <c r="F7260" s="1"/>
    </row>
    <row r="7261" spans="5:6">
      <c r="E7261" s="1"/>
      <c r="F7261" s="1"/>
    </row>
    <row r="7262" spans="5:6">
      <c r="E7262" s="1"/>
      <c r="F7262" s="1"/>
    </row>
    <row r="7263" spans="5:6">
      <c r="E7263" s="1"/>
      <c r="F7263" s="1"/>
    </row>
    <row r="7264" spans="5:6">
      <c r="E7264" s="1"/>
      <c r="F7264" s="1"/>
    </row>
    <row r="7265" spans="5:6">
      <c r="E7265" s="1"/>
      <c r="F7265" s="1"/>
    </row>
    <row r="7266" spans="5:6">
      <c r="E7266" s="1"/>
      <c r="F7266" s="1"/>
    </row>
    <row r="7267" spans="5:6">
      <c r="E7267" s="1"/>
      <c r="F7267" s="1"/>
    </row>
    <row r="7268" spans="5:6">
      <c r="E7268" s="1"/>
      <c r="F7268" s="1"/>
    </row>
    <row r="7269" spans="5:6">
      <c r="E7269" s="1"/>
      <c r="F7269" s="1"/>
    </row>
    <row r="7270" spans="5:6">
      <c r="E7270" s="1"/>
      <c r="F7270" s="1"/>
    </row>
    <row r="7271" spans="5:6">
      <c r="E7271" s="1"/>
      <c r="F7271" s="1"/>
    </row>
    <row r="7272" spans="5:6">
      <c r="E7272" s="1"/>
      <c r="F7272" s="1"/>
    </row>
    <row r="7273" spans="5:6">
      <c r="E7273" s="1"/>
      <c r="F7273" s="1"/>
    </row>
    <row r="7274" spans="5:6">
      <c r="E7274" s="1"/>
      <c r="F7274" s="1"/>
    </row>
    <row r="7275" spans="5:6">
      <c r="E7275" s="1"/>
      <c r="F7275" s="1"/>
    </row>
    <row r="7276" spans="5:6">
      <c r="E7276" s="1"/>
      <c r="F7276" s="1"/>
    </row>
    <row r="7277" spans="5:6">
      <c r="E7277" s="1"/>
      <c r="F7277" s="1"/>
    </row>
    <row r="7278" spans="5:6">
      <c r="E7278" s="1"/>
      <c r="F7278" s="1"/>
    </row>
    <row r="7279" spans="5:6">
      <c r="E7279" s="1"/>
      <c r="F7279" s="1"/>
    </row>
    <row r="7280" spans="5:6">
      <c r="E7280" s="1"/>
      <c r="F7280" s="1"/>
    </row>
    <row r="7281" spans="5:6">
      <c r="E7281" s="1"/>
      <c r="F7281" s="1"/>
    </row>
    <row r="7282" spans="5:6">
      <c r="E7282" s="1"/>
      <c r="F7282" s="1"/>
    </row>
    <row r="7283" spans="5:6">
      <c r="E7283" s="1"/>
      <c r="F7283" s="1"/>
    </row>
    <row r="7284" spans="5:6">
      <c r="E7284" s="1"/>
      <c r="F7284" s="1"/>
    </row>
    <row r="7285" spans="5:6">
      <c r="E7285" s="1"/>
      <c r="F7285" s="1"/>
    </row>
    <row r="7286" spans="5:6">
      <c r="E7286" s="1"/>
      <c r="F7286" s="1"/>
    </row>
    <row r="7287" spans="5:6">
      <c r="E7287" s="1"/>
      <c r="F7287" s="1"/>
    </row>
    <row r="7288" spans="5:6">
      <c r="E7288" s="1"/>
      <c r="F7288" s="1"/>
    </row>
    <row r="7289" spans="5:6">
      <c r="E7289" s="1"/>
      <c r="F7289" s="1"/>
    </row>
    <row r="7290" spans="5:6">
      <c r="E7290" s="1"/>
      <c r="F7290" s="1"/>
    </row>
    <row r="7291" spans="5:6">
      <c r="E7291" s="1"/>
      <c r="F7291" s="1"/>
    </row>
    <row r="7292" spans="5:6">
      <c r="E7292" s="1"/>
      <c r="F7292" s="1"/>
    </row>
    <row r="7293" spans="5:6">
      <c r="E7293" s="1"/>
      <c r="F7293" s="1"/>
    </row>
    <row r="7294" spans="5:6">
      <c r="E7294" s="1"/>
      <c r="F7294" s="1"/>
    </row>
    <row r="7295" spans="5:6">
      <c r="E7295" s="1"/>
      <c r="F7295" s="1"/>
    </row>
    <row r="7296" spans="5:6">
      <c r="E7296" s="1"/>
      <c r="F7296" s="1"/>
    </row>
    <row r="7297" spans="5:6">
      <c r="E7297" s="1"/>
      <c r="F7297" s="1"/>
    </row>
    <row r="7298" spans="5:6">
      <c r="E7298" s="1"/>
      <c r="F7298" s="1"/>
    </row>
    <row r="7299" spans="5:6">
      <c r="E7299" s="1"/>
      <c r="F7299" s="1"/>
    </row>
    <row r="7300" spans="5:6">
      <c r="E7300" s="1"/>
      <c r="F7300" s="1"/>
    </row>
    <row r="7301" spans="5:6">
      <c r="E7301" s="1"/>
      <c r="F7301" s="1"/>
    </row>
    <row r="7302" spans="5:6">
      <c r="E7302" s="1"/>
      <c r="F7302" s="1"/>
    </row>
    <row r="7303" spans="5:6">
      <c r="E7303" s="1"/>
      <c r="F7303" s="1"/>
    </row>
    <row r="7304" spans="5:6">
      <c r="E7304" s="1"/>
      <c r="F7304" s="1"/>
    </row>
    <row r="7305" spans="5:6">
      <c r="E7305" s="1"/>
      <c r="F7305" s="1"/>
    </row>
    <row r="7306" spans="5:6">
      <c r="E7306" s="1"/>
      <c r="F7306" s="1"/>
    </row>
    <row r="7307" spans="5:6">
      <c r="E7307" s="1"/>
      <c r="F7307" s="1"/>
    </row>
    <row r="7308" spans="5:6">
      <c r="E7308" s="1"/>
      <c r="F7308" s="1"/>
    </row>
    <row r="7309" spans="5:6">
      <c r="E7309" s="1"/>
      <c r="F7309" s="1"/>
    </row>
    <row r="7310" spans="5:6">
      <c r="E7310" s="1"/>
      <c r="F7310" s="1"/>
    </row>
    <row r="7311" spans="5:6">
      <c r="E7311" s="1"/>
      <c r="F7311" s="1"/>
    </row>
    <row r="7312" spans="5:6">
      <c r="E7312" s="1"/>
      <c r="F7312" s="1"/>
    </row>
    <row r="7313" spans="5:6">
      <c r="E7313" s="1"/>
      <c r="F7313" s="1"/>
    </row>
    <row r="7314" spans="5:6">
      <c r="E7314" s="1"/>
      <c r="F7314" s="1"/>
    </row>
    <row r="7315" spans="5:6">
      <c r="E7315" s="1"/>
      <c r="F7315" s="1"/>
    </row>
    <row r="7316" spans="5:6">
      <c r="E7316" s="1"/>
      <c r="F7316" s="1"/>
    </row>
    <row r="7317" spans="5:6">
      <c r="E7317" s="1"/>
      <c r="F7317" s="1"/>
    </row>
    <row r="7318" spans="5:6">
      <c r="E7318" s="1"/>
      <c r="F7318" s="1"/>
    </row>
    <row r="7319" spans="5:6">
      <c r="E7319" s="1"/>
      <c r="F7319" s="1"/>
    </row>
    <row r="7320" spans="5:6">
      <c r="E7320" s="1"/>
      <c r="F7320" s="1"/>
    </row>
    <row r="7321" spans="5:6">
      <c r="E7321" s="1"/>
      <c r="F7321" s="1"/>
    </row>
    <row r="7322" spans="5:6">
      <c r="E7322" s="1"/>
      <c r="F7322" s="1"/>
    </row>
    <row r="7323" spans="5:6">
      <c r="E7323" s="1"/>
      <c r="F7323" s="1"/>
    </row>
    <row r="7324" spans="5:6">
      <c r="E7324" s="1"/>
      <c r="F7324" s="1"/>
    </row>
    <row r="7325" spans="5:6">
      <c r="E7325" s="1"/>
      <c r="F7325" s="1"/>
    </row>
    <row r="7326" spans="5:6">
      <c r="E7326" s="1"/>
      <c r="F7326" s="1"/>
    </row>
    <row r="7327" spans="5:6">
      <c r="E7327" s="1"/>
      <c r="F7327" s="1"/>
    </row>
    <row r="7328" spans="5:6">
      <c r="E7328" s="1"/>
      <c r="F7328" s="1"/>
    </row>
    <row r="7329" spans="5:6">
      <c r="E7329" s="1"/>
      <c r="F7329" s="1"/>
    </row>
    <row r="7330" spans="5:6">
      <c r="E7330" s="1"/>
      <c r="F7330" s="1"/>
    </row>
    <row r="7331" spans="5:6">
      <c r="E7331" s="1"/>
      <c r="F7331" s="1"/>
    </row>
    <row r="7332" spans="5:6">
      <c r="E7332" s="1"/>
      <c r="F7332" s="1"/>
    </row>
    <row r="7333" spans="5:6">
      <c r="E7333" s="1"/>
      <c r="F7333" s="1"/>
    </row>
    <row r="7334" spans="5:6">
      <c r="E7334" s="1"/>
      <c r="F7334" s="1"/>
    </row>
    <row r="7335" spans="5:6">
      <c r="E7335" s="1"/>
      <c r="F7335" s="1"/>
    </row>
    <row r="7336" spans="5:6">
      <c r="E7336" s="1"/>
      <c r="F7336" s="1"/>
    </row>
    <row r="7337" spans="5:6">
      <c r="E7337" s="1"/>
      <c r="F7337" s="1"/>
    </row>
    <row r="7338" spans="5:6">
      <c r="E7338" s="1"/>
      <c r="F7338" s="1"/>
    </row>
    <row r="7339" spans="5:6">
      <c r="E7339" s="1"/>
      <c r="F7339" s="1"/>
    </row>
    <row r="7340" spans="5:6">
      <c r="E7340" s="1"/>
      <c r="F7340" s="1"/>
    </row>
    <row r="7341" spans="5:6">
      <c r="E7341" s="1"/>
      <c r="F7341" s="1"/>
    </row>
    <row r="7342" spans="5:6">
      <c r="E7342" s="1"/>
      <c r="F7342" s="1"/>
    </row>
    <row r="7343" spans="5:6">
      <c r="E7343" s="1"/>
      <c r="F7343" s="1"/>
    </row>
    <row r="7344" spans="5:6">
      <c r="E7344" s="1"/>
      <c r="F7344" s="1"/>
    </row>
    <row r="7345" spans="5:6">
      <c r="E7345" s="1"/>
      <c r="F7345" s="1"/>
    </row>
    <row r="7346" spans="5:6">
      <c r="E7346" s="1"/>
      <c r="F7346" s="1"/>
    </row>
    <row r="7347" spans="5:6">
      <c r="E7347" s="1"/>
      <c r="F7347" s="1"/>
    </row>
    <row r="7348" spans="5:6">
      <c r="E7348" s="1"/>
      <c r="F7348" s="1"/>
    </row>
    <row r="7349" spans="5:6">
      <c r="E7349" s="1"/>
      <c r="F7349" s="1"/>
    </row>
    <row r="7350" spans="5:6">
      <c r="E7350" s="1"/>
      <c r="F7350" s="1"/>
    </row>
    <row r="7351" spans="5:6">
      <c r="E7351" s="1"/>
      <c r="F7351" s="1"/>
    </row>
    <row r="7352" spans="5:6">
      <c r="E7352" s="1"/>
      <c r="F7352" s="1"/>
    </row>
    <row r="7353" spans="5:6">
      <c r="E7353" s="1"/>
      <c r="F7353" s="1"/>
    </row>
    <row r="7354" spans="5:6">
      <c r="E7354" s="1"/>
      <c r="F7354" s="1"/>
    </row>
    <row r="7355" spans="5:6">
      <c r="E7355" s="1"/>
      <c r="F7355" s="1"/>
    </row>
    <row r="7356" spans="5:6">
      <c r="E7356" s="1"/>
      <c r="F7356" s="1"/>
    </row>
    <row r="7357" spans="5:6">
      <c r="E7357" s="1"/>
      <c r="F7357" s="1"/>
    </row>
    <row r="7358" spans="5:6">
      <c r="E7358" s="1"/>
      <c r="F7358" s="1"/>
    </row>
    <row r="7359" spans="5:6">
      <c r="E7359" s="1"/>
      <c r="F7359" s="1"/>
    </row>
    <row r="7360" spans="5:6">
      <c r="E7360" s="1"/>
      <c r="F7360" s="1"/>
    </row>
    <row r="7361" spans="5:6">
      <c r="E7361" s="1"/>
      <c r="F7361" s="1"/>
    </row>
    <row r="7362" spans="5:6">
      <c r="E7362" s="1"/>
      <c r="F7362" s="1"/>
    </row>
    <row r="7363" spans="5:6">
      <c r="E7363" s="1"/>
      <c r="F7363" s="1"/>
    </row>
    <row r="7364" spans="5:6">
      <c r="E7364" s="1"/>
      <c r="F7364" s="1"/>
    </row>
    <row r="7365" spans="5:6">
      <c r="E7365" s="1"/>
      <c r="F7365" s="1"/>
    </row>
    <row r="7366" spans="5:6">
      <c r="E7366" s="1"/>
      <c r="F7366" s="1"/>
    </row>
    <row r="7367" spans="5:6">
      <c r="E7367" s="1"/>
      <c r="F7367" s="1"/>
    </row>
    <row r="7368" spans="5:6">
      <c r="E7368" s="1"/>
      <c r="F7368" s="1"/>
    </row>
    <row r="7369" spans="5:6">
      <c r="E7369" s="1"/>
      <c r="F7369" s="1"/>
    </row>
    <row r="7370" spans="5:6">
      <c r="E7370" s="1"/>
      <c r="F7370" s="1"/>
    </row>
    <row r="7371" spans="5:6">
      <c r="E7371" s="1"/>
      <c r="F7371" s="1"/>
    </row>
    <row r="7372" spans="5:6">
      <c r="E7372" s="1"/>
      <c r="F7372" s="1"/>
    </row>
    <row r="7373" spans="5:6">
      <c r="E7373" s="1"/>
      <c r="F7373" s="1"/>
    </row>
    <row r="7374" spans="5:6">
      <c r="E7374" s="1"/>
      <c r="F7374" s="1"/>
    </row>
    <row r="7375" spans="5:6">
      <c r="E7375" s="1"/>
      <c r="F7375" s="1"/>
    </row>
    <row r="7376" spans="5:6">
      <c r="E7376" s="1"/>
      <c r="F7376" s="1"/>
    </row>
    <row r="7377" spans="5:6">
      <c r="E7377" s="1"/>
      <c r="F7377" s="1"/>
    </row>
    <row r="7378" spans="5:6">
      <c r="E7378" s="1"/>
      <c r="F7378" s="1"/>
    </row>
    <row r="7379" spans="5:6">
      <c r="E7379" s="1"/>
      <c r="F7379" s="1"/>
    </row>
    <row r="7380" spans="5:6">
      <c r="E7380" s="1"/>
      <c r="F7380" s="1"/>
    </row>
    <row r="7381" spans="5:6">
      <c r="E7381" s="1"/>
      <c r="F7381" s="1"/>
    </row>
    <row r="7382" spans="5:6">
      <c r="E7382" s="1"/>
      <c r="F7382" s="1"/>
    </row>
    <row r="7383" spans="5:6">
      <c r="E7383" s="1"/>
      <c r="F7383" s="1"/>
    </row>
    <row r="7384" spans="5:6">
      <c r="E7384" s="1"/>
      <c r="F7384" s="1"/>
    </row>
    <row r="7385" spans="5:6">
      <c r="E7385" s="1"/>
      <c r="F7385" s="1"/>
    </row>
    <row r="7386" spans="5:6">
      <c r="E7386" s="1"/>
      <c r="F7386" s="1"/>
    </row>
    <row r="7387" spans="5:6">
      <c r="E7387" s="1"/>
      <c r="F7387" s="1"/>
    </row>
    <row r="7388" spans="5:6">
      <c r="E7388" s="1"/>
      <c r="F7388" s="1"/>
    </row>
    <row r="7389" spans="5:6">
      <c r="E7389" s="1"/>
      <c r="F7389" s="1"/>
    </row>
    <row r="7390" spans="5:6">
      <c r="E7390" s="1"/>
      <c r="F7390" s="1"/>
    </row>
    <row r="7391" spans="5:6">
      <c r="E7391" s="1"/>
      <c r="F7391" s="1"/>
    </row>
    <row r="7392" spans="5:6">
      <c r="E7392" s="1"/>
      <c r="F7392" s="1"/>
    </row>
    <row r="7393" spans="5:6">
      <c r="E7393" s="1"/>
      <c r="F7393" s="1"/>
    </row>
    <row r="7394" spans="5:6">
      <c r="E7394" s="1"/>
      <c r="F7394" s="1"/>
    </row>
    <row r="7395" spans="5:6">
      <c r="E7395" s="1"/>
      <c r="F7395" s="1"/>
    </row>
    <row r="7396" spans="5:6">
      <c r="E7396" s="1"/>
      <c r="F7396" s="1"/>
    </row>
    <row r="7397" spans="5:6">
      <c r="E7397" s="1"/>
      <c r="F7397" s="1"/>
    </row>
    <row r="7398" spans="5:6">
      <c r="E7398" s="1"/>
      <c r="F7398" s="1"/>
    </row>
    <row r="7399" spans="5:6">
      <c r="E7399" s="1"/>
      <c r="F7399" s="1"/>
    </row>
    <row r="7400" spans="5:6">
      <c r="E7400" s="1"/>
      <c r="F7400" s="1"/>
    </row>
    <row r="7401" spans="5:6">
      <c r="E7401" s="1"/>
      <c r="F7401" s="1"/>
    </row>
    <row r="7402" spans="5:6">
      <c r="E7402" s="1"/>
      <c r="F7402" s="1"/>
    </row>
    <row r="7403" spans="5:6">
      <c r="E7403" s="1"/>
      <c r="F7403" s="1"/>
    </row>
    <row r="7404" spans="5:6">
      <c r="E7404" s="1"/>
      <c r="F7404" s="1"/>
    </row>
    <row r="7405" spans="5:6">
      <c r="E7405" s="1"/>
      <c r="F7405" s="1"/>
    </row>
    <row r="7406" spans="5:6">
      <c r="E7406" s="1"/>
      <c r="F7406" s="1"/>
    </row>
    <row r="7407" spans="5:6">
      <c r="E7407" s="1"/>
      <c r="F7407" s="1"/>
    </row>
    <row r="7408" spans="5:6">
      <c r="E7408" s="1"/>
      <c r="F7408" s="1"/>
    </row>
    <row r="7409" spans="5:6">
      <c r="E7409" s="1"/>
      <c r="F7409" s="1"/>
    </row>
    <row r="7410" spans="5:6">
      <c r="E7410" s="1"/>
      <c r="F7410" s="1"/>
    </row>
    <row r="7411" spans="5:6">
      <c r="E7411" s="1"/>
      <c r="F7411" s="1"/>
    </row>
    <row r="7412" spans="5:6">
      <c r="E7412" s="1"/>
      <c r="F7412" s="1"/>
    </row>
    <row r="7413" spans="5:6">
      <c r="E7413" s="1"/>
      <c r="F7413" s="1"/>
    </row>
    <row r="7414" spans="5:6">
      <c r="E7414" s="1"/>
      <c r="F7414" s="1"/>
    </row>
    <row r="7415" spans="5:6">
      <c r="E7415" s="1"/>
      <c r="F7415" s="1"/>
    </row>
    <row r="7416" spans="5:6">
      <c r="E7416" s="1"/>
      <c r="F7416" s="1"/>
    </row>
    <row r="7417" spans="5:6">
      <c r="E7417" s="1"/>
      <c r="F7417" s="1"/>
    </row>
    <row r="7418" spans="5:6">
      <c r="E7418" s="1"/>
      <c r="F7418" s="1"/>
    </row>
    <row r="7419" spans="5:6">
      <c r="E7419" s="1"/>
      <c r="F7419" s="1"/>
    </row>
    <row r="7420" spans="5:6">
      <c r="E7420" s="1"/>
      <c r="F7420" s="1"/>
    </row>
    <row r="7421" spans="5:6">
      <c r="E7421" s="1"/>
      <c r="F7421" s="1"/>
    </row>
    <row r="7422" spans="5:6">
      <c r="E7422" s="1"/>
      <c r="F7422" s="1"/>
    </row>
    <row r="7423" spans="5:6">
      <c r="E7423" s="1"/>
      <c r="F7423" s="1"/>
    </row>
    <row r="7424" spans="5:6">
      <c r="E7424" s="1"/>
      <c r="F7424" s="1"/>
    </row>
    <row r="7425" spans="5:6">
      <c r="E7425" s="1"/>
      <c r="F7425" s="1"/>
    </row>
    <row r="7426" spans="5:6">
      <c r="E7426" s="1"/>
      <c r="F7426" s="1"/>
    </row>
    <row r="7427" spans="5:6">
      <c r="E7427" s="1"/>
      <c r="F7427" s="1"/>
    </row>
    <row r="7428" spans="5:6">
      <c r="E7428" s="1"/>
      <c r="F7428" s="1"/>
    </row>
    <row r="7429" spans="5:6">
      <c r="E7429" s="1"/>
      <c r="F7429" s="1"/>
    </row>
    <row r="7430" spans="5:6">
      <c r="E7430" s="1"/>
      <c r="F7430" s="1"/>
    </row>
    <row r="7431" spans="5:6">
      <c r="E7431" s="1"/>
      <c r="F7431" s="1"/>
    </row>
    <row r="7432" spans="5:6">
      <c r="E7432" s="1"/>
      <c r="F7432" s="1"/>
    </row>
    <row r="7433" spans="5:6">
      <c r="E7433" s="1"/>
      <c r="F7433" s="1"/>
    </row>
    <row r="7434" spans="5:6">
      <c r="E7434" s="1"/>
      <c r="F7434" s="1"/>
    </row>
    <row r="7435" spans="5:6">
      <c r="E7435" s="1"/>
      <c r="F7435" s="1"/>
    </row>
    <row r="7436" spans="5:6">
      <c r="E7436" s="1"/>
      <c r="F7436" s="1"/>
    </row>
    <row r="7437" spans="5:6">
      <c r="E7437" s="1"/>
      <c r="F7437" s="1"/>
    </row>
    <row r="7438" spans="5:6">
      <c r="E7438" s="1"/>
      <c r="F7438" s="1"/>
    </row>
    <row r="7439" spans="5:6">
      <c r="E7439" s="1"/>
      <c r="F7439" s="1"/>
    </row>
    <row r="7440" spans="5:6">
      <c r="E7440" s="1"/>
      <c r="F7440" s="1"/>
    </row>
    <row r="7441" spans="5:6">
      <c r="E7441" s="1"/>
      <c r="F7441" s="1"/>
    </row>
    <row r="7442" spans="5:6">
      <c r="E7442" s="1"/>
      <c r="F7442" s="1"/>
    </row>
    <row r="7443" spans="5:6">
      <c r="E7443" s="1"/>
      <c r="F7443" s="1"/>
    </row>
    <row r="7444" spans="5:6">
      <c r="E7444" s="1"/>
      <c r="F7444" s="1"/>
    </row>
    <row r="7445" spans="5:6">
      <c r="E7445" s="1"/>
      <c r="F7445" s="1"/>
    </row>
    <row r="7446" spans="5:6">
      <c r="E7446" s="1"/>
      <c r="F7446" s="1"/>
    </row>
    <row r="7447" spans="5:6">
      <c r="E7447" s="1"/>
      <c r="F7447" s="1"/>
    </row>
    <row r="7448" spans="5:6">
      <c r="E7448" s="1"/>
      <c r="F7448" s="1"/>
    </row>
    <row r="7449" spans="5:6">
      <c r="E7449" s="1"/>
      <c r="F7449" s="1"/>
    </row>
    <row r="7450" spans="5:6">
      <c r="E7450" s="1"/>
      <c r="F7450" s="1"/>
    </row>
    <row r="7451" spans="5:6">
      <c r="E7451" s="1"/>
      <c r="F7451" s="1"/>
    </row>
    <row r="7452" spans="5:6">
      <c r="E7452" s="1"/>
      <c r="F7452" s="1"/>
    </row>
    <row r="7453" spans="5:6">
      <c r="E7453" s="1"/>
      <c r="F7453" s="1"/>
    </row>
    <row r="7454" spans="5:6">
      <c r="E7454" s="1"/>
      <c r="F7454" s="1"/>
    </row>
    <row r="7455" spans="5:6">
      <c r="E7455" s="1"/>
      <c r="F7455" s="1"/>
    </row>
    <row r="7456" spans="5:6">
      <c r="E7456" s="1"/>
      <c r="F7456" s="1"/>
    </row>
    <row r="7457" spans="5:6">
      <c r="E7457" s="1"/>
      <c r="F7457" s="1"/>
    </row>
    <row r="7458" spans="5:6">
      <c r="E7458" s="1"/>
      <c r="F7458" s="1"/>
    </row>
    <row r="7459" spans="5:6">
      <c r="E7459" s="1"/>
      <c r="F7459" s="1"/>
    </row>
    <row r="7460" spans="5:6">
      <c r="E7460" s="1"/>
      <c r="F7460" s="1"/>
    </row>
    <row r="7461" spans="5:6">
      <c r="E7461" s="1"/>
      <c r="F7461" s="1"/>
    </row>
    <row r="7462" spans="5:6">
      <c r="E7462" s="1"/>
      <c r="F7462" s="1"/>
    </row>
    <row r="7463" spans="5:6">
      <c r="E7463" s="1"/>
      <c r="F7463" s="1"/>
    </row>
    <row r="7464" spans="5:6">
      <c r="E7464" s="1"/>
      <c r="F7464" s="1"/>
    </row>
    <row r="7465" spans="5:6">
      <c r="E7465" s="1"/>
      <c r="F7465" s="1"/>
    </row>
    <row r="7466" spans="5:6">
      <c r="E7466" s="1"/>
      <c r="F7466" s="1"/>
    </row>
    <row r="7467" spans="5:6">
      <c r="E7467" s="1"/>
      <c r="F7467" s="1"/>
    </row>
    <row r="7468" spans="5:6">
      <c r="E7468" s="1"/>
      <c r="F7468" s="1"/>
    </row>
    <row r="7469" spans="5:6">
      <c r="E7469" s="1"/>
      <c r="F7469" s="1"/>
    </row>
    <row r="7470" spans="5:6">
      <c r="E7470" s="1"/>
      <c r="F7470" s="1"/>
    </row>
    <row r="7471" spans="5:6">
      <c r="E7471" s="1"/>
      <c r="F7471" s="1"/>
    </row>
    <row r="7472" spans="5:6">
      <c r="E7472" s="1"/>
      <c r="F7472" s="1"/>
    </row>
    <row r="7473" spans="5:6">
      <c r="E7473" s="1"/>
      <c r="F7473" s="1"/>
    </row>
    <row r="7474" spans="5:6">
      <c r="E7474" s="1"/>
      <c r="F7474" s="1"/>
    </row>
    <row r="7475" spans="5:6">
      <c r="E7475" s="1"/>
      <c r="F7475" s="1"/>
    </row>
    <row r="7476" spans="5:6">
      <c r="E7476" s="1"/>
      <c r="F7476" s="1"/>
    </row>
    <row r="7477" spans="5:6">
      <c r="E7477" s="1"/>
      <c r="F7477" s="1"/>
    </row>
    <row r="7478" spans="5:6">
      <c r="E7478" s="1"/>
      <c r="F7478" s="1"/>
    </row>
    <row r="7479" spans="5:6">
      <c r="E7479" s="1"/>
      <c r="F7479" s="1"/>
    </row>
    <row r="7480" spans="5:6">
      <c r="E7480" s="1"/>
      <c r="F7480" s="1"/>
    </row>
    <row r="7481" spans="5:6">
      <c r="E7481" s="1"/>
      <c r="F7481" s="1"/>
    </row>
    <row r="7482" spans="5:6">
      <c r="E7482" s="1"/>
      <c r="F7482" s="1"/>
    </row>
    <row r="7483" spans="5:6">
      <c r="E7483" s="1"/>
      <c r="F7483" s="1"/>
    </row>
    <row r="7484" spans="5:6">
      <c r="E7484" s="1"/>
      <c r="F7484" s="1"/>
    </row>
    <row r="7485" spans="5:6">
      <c r="E7485" s="1"/>
      <c r="F7485" s="1"/>
    </row>
    <row r="7486" spans="5:6">
      <c r="E7486" s="1"/>
      <c r="F7486" s="1"/>
    </row>
    <row r="7487" spans="5:6">
      <c r="E7487" s="1"/>
      <c r="F7487" s="1"/>
    </row>
    <row r="7488" spans="5:6">
      <c r="E7488" s="1"/>
      <c r="F7488" s="1"/>
    </row>
    <row r="7489" spans="5:6">
      <c r="E7489" s="1"/>
      <c r="F7489" s="1"/>
    </row>
    <row r="7490" spans="5:6">
      <c r="E7490" s="1"/>
      <c r="F7490" s="1"/>
    </row>
    <row r="7491" spans="5:6">
      <c r="E7491" s="1"/>
      <c r="F7491" s="1"/>
    </row>
    <row r="7492" spans="5:6">
      <c r="E7492" s="1"/>
      <c r="F7492" s="1"/>
    </row>
    <row r="7493" spans="5:6">
      <c r="E7493" s="1"/>
      <c r="F7493" s="1"/>
    </row>
    <row r="7494" spans="5:6">
      <c r="E7494" s="1"/>
      <c r="F7494" s="1"/>
    </row>
    <row r="7495" spans="5:6">
      <c r="E7495" s="1"/>
      <c r="F7495" s="1"/>
    </row>
    <row r="7496" spans="5:6">
      <c r="E7496" s="1"/>
      <c r="F7496" s="1"/>
    </row>
    <row r="7497" spans="5:6">
      <c r="E7497" s="1"/>
      <c r="F7497" s="1"/>
    </row>
    <row r="7498" spans="5:6">
      <c r="E7498" s="1"/>
      <c r="F7498" s="1"/>
    </row>
    <row r="7499" spans="5:6">
      <c r="E7499" s="1"/>
      <c r="F7499" s="1"/>
    </row>
    <row r="7500" spans="5:6">
      <c r="E7500" s="1"/>
      <c r="F7500" s="1"/>
    </row>
    <row r="7501" spans="5:6">
      <c r="E7501" s="1"/>
      <c r="F7501" s="1"/>
    </row>
    <row r="7502" spans="5:6">
      <c r="E7502" s="1"/>
      <c r="F7502" s="1"/>
    </row>
    <row r="7503" spans="5:6">
      <c r="E7503" s="1"/>
      <c r="F7503" s="1"/>
    </row>
    <row r="7504" spans="5:6">
      <c r="E7504" s="1"/>
      <c r="F7504" s="1"/>
    </row>
    <row r="7505" spans="5:6">
      <c r="E7505" s="1"/>
      <c r="F7505" s="1"/>
    </row>
    <row r="7506" spans="5:6">
      <c r="E7506" s="1"/>
      <c r="F7506" s="1"/>
    </row>
    <row r="7507" spans="5:6">
      <c r="E7507" s="1"/>
      <c r="F7507" s="1"/>
    </row>
    <row r="7508" spans="5:6">
      <c r="E7508" s="1"/>
      <c r="F7508" s="1"/>
    </row>
    <row r="7509" spans="5:6">
      <c r="E7509" s="1"/>
      <c r="F7509" s="1"/>
    </row>
    <row r="7510" spans="5:6">
      <c r="E7510" s="1"/>
      <c r="F7510" s="1"/>
    </row>
    <row r="7511" spans="5:6">
      <c r="E7511" s="1"/>
      <c r="F7511" s="1"/>
    </row>
    <row r="7512" spans="5:6">
      <c r="E7512" s="1"/>
      <c r="F7512" s="1"/>
    </row>
    <row r="7513" spans="5:6">
      <c r="E7513" s="1"/>
      <c r="F7513" s="1"/>
    </row>
    <row r="7514" spans="5:6">
      <c r="E7514" s="1"/>
      <c r="F7514" s="1"/>
    </row>
    <row r="7515" spans="5:6">
      <c r="E7515" s="1"/>
      <c r="F7515" s="1"/>
    </row>
    <row r="7516" spans="5:6">
      <c r="E7516" s="1"/>
      <c r="F7516" s="1"/>
    </row>
    <row r="7517" spans="5:6">
      <c r="E7517" s="1"/>
      <c r="F7517" s="1"/>
    </row>
    <row r="7518" spans="5:6">
      <c r="E7518" s="1"/>
      <c r="F7518" s="1"/>
    </row>
    <row r="7519" spans="5:6">
      <c r="E7519" s="1"/>
      <c r="F7519" s="1"/>
    </row>
    <row r="7520" spans="5:6">
      <c r="E7520" s="1"/>
      <c r="F7520" s="1"/>
    </row>
    <row r="7521" spans="5:6">
      <c r="E7521" s="1"/>
      <c r="F7521" s="1"/>
    </row>
    <row r="7522" spans="5:6">
      <c r="E7522" s="1"/>
      <c r="F7522" s="1"/>
    </row>
    <row r="7523" spans="5:6">
      <c r="E7523" s="1"/>
      <c r="F7523" s="1"/>
    </row>
    <row r="7524" spans="5:6">
      <c r="E7524" s="1"/>
      <c r="F7524" s="1"/>
    </row>
    <row r="7525" spans="5:6">
      <c r="E7525" s="1"/>
      <c r="F7525" s="1"/>
    </row>
    <row r="7526" spans="5:6">
      <c r="E7526" s="1"/>
      <c r="F7526" s="1"/>
    </row>
    <row r="7527" spans="5:6">
      <c r="E7527" s="1"/>
      <c r="F7527" s="1"/>
    </row>
    <row r="7528" spans="5:6">
      <c r="E7528" s="1"/>
      <c r="F7528" s="1"/>
    </row>
    <row r="7529" spans="5:6">
      <c r="E7529" s="1"/>
      <c r="F7529" s="1"/>
    </row>
    <row r="7530" spans="5:6">
      <c r="E7530" s="1"/>
      <c r="F7530" s="1"/>
    </row>
    <row r="7531" spans="5:6">
      <c r="E7531" s="1"/>
      <c r="F7531" s="1"/>
    </row>
    <row r="7532" spans="5:6">
      <c r="E7532" s="1"/>
      <c r="F7532" s="1"/>
    </row>
    <row r="7533" spans="5:6">
      <c r="E7533" s="1"/>
      <c r="F7533" s="1"/>
    </row>
    <row r="7534" spans="5:6">
      <c r="E7534" s="1"/>
      <c r="F7534" s="1"/>
    </row>
    <row r="7535" spans="5:6">
      <c r="E7535" s="1"/>
      <c r="F7535" s="1"/>
    </row>
    <row r="7536" spans="5:6">
      <c r="E7536" s="1"/>
      <c r="F7536" s="1"/>
    </row>
    <row r="7537" spans="5:6">
      <c r="E7537" s="1"/>
      <c r="F7537" s="1"/>
    </row>
    <row r="7538" spans="5:6">
      <c r="E7538" s="1"/>
      <c r="F7538" s="1"/>
    </row>
    <row r="7539" spans="5:6">
      <c r="E7539" s="1"/>
      <c r="F7539" s="1"/>
    </row>
    <row r="7540" spans="5:6">
      <c r="E7540" s="1"/>
      <c r="F7540" s="1"/>
    </row>
    <row r="7541" spans="5:6">
      <c r="E7541" s="1"/>
      <c r="F7541" s="1"/>
    </row>
    <row r="7542" spans="5:6">
      <c r="E7542" s="1"/>
      <c r="F7542" s="1"/>
    </row>
    <row r="7543" spans="5:6">
      <c r="E7543" s="1"/>
      <c r="F7543" s="1"/>
    </row>
    <row r="7544" spans="5:6">
      <c r="E7544" s="1"/>
      <c r="F7544" s="1"/>
    </row>
    <row r="7545" spans="5:6">
      <c r="E7545" s="1"/>
      <c r="F7545" s="1"/>
    </row>
    <row r="7546" spans="5:6">
      <c r="E7546" s="1"/>
      <c r="F7546" s="1"/>
    </row>
    <row r="7547" spans="5:6">
      <c r="E7547" s="1"/>
      <c r="F7547" s="1"/>
    </row>
    <row r="7548" spans="5:6">
      <c r="E7548" s="1"/>
      <c r="F7548" s="1"/>
    </row>
    <row r="7549" spans="5:6">
      <c r="E7549" s="1"/>
      <c r="F7549" s="1"/>
    </row>
    <row r="7550" spans="5:6">
      <c r="E7550" s="1"/>
      <c r="F7550" s="1"/>
    </row>
    <row r="7551" spans="5:6">
      <c r="E7551" s="1"/>
      <c r="F7551" s="1"/>
    </row>
    <row r="7552" spans="5:6">
      <c r="E7552" s="1"/>
      <c r="F7552" s="1"/>
    </row>
    <row r="7553" spans="5:6">
      <c r="E7553" s="1"/>
      <c r="F7553" s="1"/>
    </row>
    <row r="7554" spans="5:6">
      <c r="E7554" s="1"/>
      <c r="F7554" s="1"/>
    </row>
    <row r="7555" spans="5:6">
      <c r="E7555" s="1"/>
      <c r="F7555" s="1"/>
    </row>
    <row r="7556" spans="5:6">
      <c r="E7556" s="1"/>
      <c r="F7556" s="1"/>
    </row>
    <row r="7557" spans="5:6">
      <c r="E7557" s="1"/>
      <c r="F7557" s="1"/>
    </row>
    <row r="7558" spans="5:6">
      <c r="E7558" s="1"/>
      <c r="F7558" s="1"/>
    </row>
    <row r="7559" spans="5:6">
      <c r="E7559" s="1"/>
      <c r="F7559" s="1"/>
    </row>
    <row r="7560" spans="5:6">
      <c r="E7560" s="1"/>
      <c r="F7560" s="1"/>
    </row>
    <row r="7561" spans="5:6">
      <c r="E7561" s="1"/>
      <c r="F7561" s="1"/>
    </row>
    <row r="7562" spans="5:6">
      <c r="E7562" s="1"/>
      <c r="F7562" s="1"/>
    </row>
    <row r="7563" spans="5:6">
      <c r="E7563" s="1"/>
      <c r="F7563" s="1"/>
    </row>
    <row r="7564" spans="5:6">
      <c r="E7564" s="1"/>
      <c r="F7564" s="1"/>
    </row>
    <row r="7565" spans="5:6">
      <c r="E7565" s="1"/>
      <c r="F7565" s="1"/>
    </row>
    <row r="7566" spans="5:6">
      <c r="E7566" s="1"/>
      <c r="F7566" s="1"/>
    </row>
    <row r="7567" spans="5:6">
      <c r="E7567" s="1"/>
      <c r="F7567" s="1"/>
    </row>
    <row r="7568" spans="5:6">
      <c r="E7568" s="1"/>
      <c r="F7568" s="1"/>
    </row>
    <row r="7569" spans="5:6">
      <c r="E7569" s="1"/>
      <c r="F7569" s="1"/>
    </row>
    <row r="7570" spans="5:6">
      <c r="E7570" s="1"/>
      <c r="F7570" s="1"/>
    </row>
    <row r="7571" spans="5:6">
      <c r="E7571" s="1"/>
      <c r="F7571" s="1"/>
    </row>
    <row r="7572" spans="5:6">
      <c r="E7572" s="1"/>
      <c r="F7572" s="1"/>
    </row>
    <row r="7573" spans="5:6">
      <c r="E7573" s="1"/>
      <c r="F7573" s="1"/>
    </row>
    <row r="7574" spans="5:6">
      <c r="E7574" s="1"/>
      <c r="F7574" s="1"/>
    </row>
    <row r="7575" spans="5:6">
      <c r="E7575" s="1"/>
      <c r="F7575" s="1"/>
    </row>
    <row r="7576" spans="5:6">
      <c r="E7576" s="1"/>
      <c r="F7576" s="1"/>
    </row>
    <row r="7577" spans="5:6">
      <c r="E7577" s="1"/>
      <c r="F7577" s="1"/>
    </row>
    <row r="7578" spans="5:6">
      <c r="E7578" s="1"/>
      <c r="F7578" s="1"/>
    </row>
    <row r="7579" spans="5:6">
      <c r="E7579" s="1"/>
      <c r="F7579" s="1"/>
    </row>
    <row r="7580" spans="5:6">
      <c r="E7580" s="1"/>
      <c r="F7580" s="1"/>
    </row>
    <row r="7581" spans="5:6">
      <c r="E7581" s="1"/>
      <c r="F7581" s="1"/>
    </row>
    <row r="7582" spans="5:6">
      <c r="E7582" s="1"/>
      <c r="F7582" s="1"/>
    </row>
    <row r="7583" spans="5:6">
      <c r="E7583" s="1"/>
      <c r="F7583" s="1"/>
    </row>
    <row r="7584" spans="5:6">
      <c r="E7584" s="1"/>
      <c r="F7584" s="1"/>
    </row>
    <row r="7585" spans="5:6">
      <c r="E7585" s="1"/>
      <c r="F7585" s="1"/>
    </row>
    <row r="7586" spans="5:6">
      <c r="E7586" s="1"/>
      <c r="F7586" s="1"/>
    </row>
    <row r="7587" spans="5:6">
      <c r="E7587" s="1"/>
      <c r="F7587" s="1"/>
    </row>
    <row r="7588" spans="5:6">
      <c r="E7588" s="1"/>
      <c r="F7588" s="1"/>
    </row>
    <row r="7589" spans="5:6">
      <c r="E7589" s="1"/>
      <c r="F7589" s="1"/>
    </row>
    <row r="7590" spans="5:6">
      <c r="E7590" s="1"/>
      <c r="F7590" s="1"/>
    </row>
    <row r="7591" spans="5:6">
      <c r="E7591" s="1"/>
      <c r="F7591" s="1"/>
    </row>
    <row r="7592" spans="5:6">
      <c r="E7592" s="1"/>
      <c r="F7592" s="1"/>
    </row>
    <row r="7593" spans="5:6">
      <c r="E7593" s="1"/>
      <c r="F7593" s="1"/>
    </row>
    <row r="7594" spans="5:6">
      <c r="E7594" s="1"/>
      <c r="F7594" s="1"/>
    </row>
    <row r="7595" spans="5:6">
      <c r="E7595" s="1"/>
      <c r="F7595" s="1"/>
    </row>
    <row r="7596" spans="5:6">
      <c r="E7596" s="1"/>
      <c r="F7596" s="1"/>
    </row>
    <row r="7597" spans="5:6">
      <c r="E7597" s="1"/>
      <c r="F7597" s="1"/>
    </row>
    <row r="7598" spans="5:6">
      <c r="E7598" s="1"/>
      <c r="F7598" s="1"/>
    </row>
    <row r="7599" spans="5:6">
      <c r="E7599" s="1"/>
      <c r="F7599" s="1"/>
    </row>
    <row r="7600" spans="5:6">
      <c r="E7600" s="1"/>
      <c r="F7600" s="1"/>
    </row>
    <row r="7601" spans="5:6">
      <c r="E7601" s="1"/>
      <c r="F7601" s="1"/>
    </row>
    <row r="7602" spans="5:6">
      <c r="E7602" s="1"/>
      <c r="F7602" s="1"/>
    </row>
    <row r="7603" spans="5:6">
      <c r="E7603" s="1"/>
      <c r="F7603" s="1"/>
    </row>
    <row r="7604" spans="5:6">
      <c r="E7604" s="1"/>
      <c r="F7604" s="1"/>
    </row>
    <row r="7605" spans="5:6">
      <c r="E7605" s="1"/>
      <c r="F7605" s="1"/>
    </row>
    <row r="7606" spans="5:6">
      <c r="E7606" s="1"/>
      <c r="F7606" s="1"/>
    </row>
    <row r="7607" spans="5:6">
      <c r="E7607" s="1"/>
      <c r="F7607" s="1"/>
    </row>
    <row r="7608" spans="5:6">
      <c r="E7608" s="1"/>
      <c r="F7608" s="1"/>
    </row>
    <row r="7609" spans="5:6">
      <c r="E7609" s="1"/>
      <c r="F7609" s="1"/>
    </row>
    <row r="7610" spans="5:6">
      <c r="E7610" s="1"/>
      <c r="F7610" s="1"/>
    </row>
    <row r="7611" spans="5:6">
      <c r="E7611" s="1"/>
      <c r="F7611" s="1"/>
    </row>
    <row r="7612" spans="5:6">
      <c r="E7612" s="1"/>
      <c r="F7612" s="1"/>
    </row>
    <row r="7613" spans="5:6">
      <c r="E7613" s="1"/>
      <c r="F7613" s="1"/>
    </row>
    <row r="7614" spans="5:6">
      <c r="E7614" s="1"/>
      <c r="F7614" s="1"/>
    </row>
    <row r="7615" spans="5:6">
      <c r="E7615" s="1"/>
      <c r="F7615" s="1"/>
    </row>
    <row r="7616" spans="5:6">
      <c r="E7616" s="1"/>
      <c r="F7616" s="1"/>
    </row>
    <row r="7617" spans="5:6">
      <c r="E7617" s="1"/>
      <c r="F7617" s="1"/>
    </row>
    <row r="7618" spans="5:6">
      <c r="E7618" s="1"/>
      <c r="F7618" s="1"/>
    </row>
    <row r="7619" spans="5:6">
      <c r="E7619" s="1"/>
      <c r="F7619" s="1"/>
    </row>
    <row r="7620" spans="5:6">
      <c r="E7620" s="1"/>
      <c r="F7620" s="1"/>
    </row>
    <row r="7621" spans="5:6">
      <c r="E7621" s="1"/>
      <c r="F7621" s="1"/>
    </row>
    <row r="7622" spans="5:6">
      <c r="E7622" s="1"/>
      <c r="F7622" s="1"/>
    </row>
    <row r="7623" spans="5:6">
      <c r="E7623" s="1"/>
      <c r="F7623" s="1"/>
    </row>
    <row r="7624" spans="5:6">
      <c r="E7624" s="1"/>
      <c r="F7624" s="1"/>
    </row>
    <row r="7625" spans="5:6">
      <c r="E7625" s="1"/>
      <c r="F7625" s="1"/>
    </row>
    <row r="7626" spans="5:6">
      <c r="E7626" s="1"/>
      <c r="F7626" s="1"/>
    </row>
    <row r="7627" spans="5:6">
      <c r="E7627" s="1"/>
      <c r="F7627" s="1"/>
    </row>
    <row r="7628" spans="5:6">
      <c r="E7628" s="1"/>
      <c r="F7628" s="1"/>
    </row>
    <row r="7629" spans="5:6">
      <c r="E7629" s="1"/>
      <c r="F7629" s="1"/>
    </row>
    <row r="7630" spans="5:6">
      <c r="E7630" s="1"/>
      <c r="F7630" s="1"/>
    </row>
    <row r="7631" spans="5:6">
      <c r="E7631" s="1"/>
      <c r="F7631" s="1"/>
    </row>
    <row r="7632" spans="5:6">
      <c r="E7632" s="1"/>
      <c r="F7632" s="1"/>
    </row>
    <row r="7633" spans="5:6">
      <c r="E7633" s="1"/>
      <c r="F7633" s="1"/>
    </row>
    <row r="7634" spans="5:6">
      <c r="E7634" s="1"/>
      <c r="F7634" s="1"/>
    </row>
    <row r="7635" spans="5:6">
      <c r="E7635" s="1"/>
      <c r="F7635" s="1"/>
    </row>
    <row r="7636" spans="5:6">
      <c r="E7636" s="1"/>
      <c r="F7636" s="1"/>
    </row>
    <row r="7637" spans="5:6">
      <c r="E7637" s="1"/>
      <c r="F7637" s="1"/>
    </row>
    <row r="7638" spans="5:6">
      <c r="E7638" s="1"/>
      <c r="F7638" s="1"/>
    </row>
    <row r="7639" spans="5:6">
      <c r="E7639" s="1"/>
      <c r="F7639" s="1"/>
    </row>
    <row r="7640" spans="5:6">
      <c r="E7640" s="1"/>
      <c r="F7640" s="1"/>
    </row>
    <row r="7641" spans="5:6">
      <c r="E7641" s="1"/>
      <c r="F7641" s="1"/>
    </row>
    <row r="7642" spans="5:6">
      <c r="E7642" s="1"/>
      <c r="F7642" s="1"/>
    </row>
    <row r="7643" spans="5:6">
      <c r="E7643" s="1"/>
      <c r="F7643" s="1"/>
    </row>
    <row r="7644" spans="5:6">
      <c r="E7644" s="1"/>
      <c r="F7644" s="1"/>
    </row>
    <row r="7645" spans="5:6">
      <c r="E7645" s="1"/>
      <c r="F7645" s="1"/>
    </row>
    <row r="7646" spans="5:6">
      <c r="E7646" s="1"/>
      <c r="F7646" s="1"/>
    </row>
    <row r="7647" spans="5:6">
      <c r="E7647" s="1"/>
      <c r="F7647" s="1"/>
    </row>
    <row r="7648" spans="5:6">
      <c r="E7648" s="1"/>
      <c r="F7648" s="1"/>
    </row>
    <row r="7649" spans="5:6">
      <c r="E7649" s="1"/>
      <c r="F7649" s="1"/>
    </row>
    <row r="7650" spans="5:6">
      <c r="E7650" s="1"/>
      <c r="F7650" s="1"/>
    </row>
    <row r="7651" spans="5:6">
      <c r="E7651" s="1"/>
      <c r="F7651" s="1"/>
    </row>
    <row r="7652" spans="5:6">
      <c r="E7652" s="1"/>
      <c r="F7652" s="1"/>
    </row>
    <row r="7653" spans="5:6">
      <c r="E7653" s="1"/>
      <c r="F7653" s="1"/>
    </row>
    <row r="7654" spans="5:6">
      <c r="E7654" s="1"/>
      <c r="F7654" s="1"/>
    </row>
    <row r="7655" spans="5:6">
      <c r="E7655" s="1"/>
      <c r="F7655" s="1"/>
    </row>
    <row r="7656" spans="5:6">
      <c r="E7656" s="1"/>
      <c r="F7656" s="1"/>
    </row>
    <row r="7657" spans="5:6">
      <c r="E7657" s="1"/>
      <c r="F7657" s="1"/>
    </row>
    <row r="7658" spans="5:6">
      <c r="E7658" s="1"/>
      <c r="F7658" s="1"/>
    </row>
    <row r="7659" spans="5:6">
      <c r="E7659" s="1"/>
      <c r="F7659" s="1"/>
    </row>
    <row r="7660" spans="5:6">
      <c r="E7660" s="1"/>
      <c r="F7660" s="1"/>
    </row>
    <row r="7661" spans="5:6">
      <c r="E7661" s="1"/>
      <c r="F7661" s="1"/>
    </row>
    <row r="7662" spans="5:6">
      <c r="E7662" s="1"/>
      <c r="F7662" s="1"/>
    </row>
    <row r="7663" spans="5:6">
      <c r="E7663" s="1"/>
      <c r="F7663" s="1"/>
    </row>
    <row r="7664" spans="5:6">
      <c r="E7664" s="1"/>
      <c r="F7664" s="1"/>
    </row>
    <row r="7665" spans="5:6">
      <c r="E7665" s="1"/>
      <c r="F7665" s="1"/>
    </row>
    <row r="7666" spans="5:6">
      <c r="E7666" s="1"/>
      <c r="F7666" s="1"/>
    </row>
    <row r="7667" spans="5:6">
      <c r="E7667" s="1"/>
      <c r="F7667" s="1"/>
    </row>
    <row r="7668" spans="5:6">
      <c r="E7668" s="1"/>
      <c r="F7668" s="1"/>
    </row>
    <row r="7669" spans="5:6">
      <c r="E7669" s="1"/>
      <c r="F7669" s="1"/>
    </row>
    <row r="7670" spans="5:6">
      <c r="E7670" s="1"/>
      <c r="F7670" s="1"/>
    </row>
    <row r="7671" spans="5:6">
      <c r="E7671" s="1"/>
      <c r="F7671" s="1"/>
    </row>
    <row r="7672" spans="5:6">
      <c r="E7672" s="1"/>
      <c r="F7672" s="1"/>
    </row>
    <row r="7673" spans="5:6">
      <c r="E7673" s="1"/>
      <c r="F7673" s="1"/>
    </row>
    <row r="7674" spans="5:6">
      <c r="E7674" s="1"/>
      <c r="F7674" s="1"/>
    </row>
    <row r="7675" spans="5:6">
      <c r="E7675" s="1"/>
      <c r="F7675" s="1"/>
    </row>
    <row r="7676" spans="5:6">
      <c r="E7676" s="1"/>
      <c r="F7676" s="1"/>
    </row>
    <row r="7677" spans="5:6">
      <c r="E7677" s="1"/>
      <c r="F7677" s="1"/>
    </row>
    <row r="7678" spans="5:6">
      <c r="E7678" s="1"/>
      <c r="F7678" s="1"/>
    </row>
    <row r="7679" spans="5:6">
      <c r="E7679" s="1"/>
      <c r="F7679" s="1"/>
    </row>
    <row r="7680" spans="5:6">
      <c r="E7680" s="1"/>
      <c r="F7680" s="1"/>
    </row>
    <row r="7681" spans="5:6">
      <c r="E7681" s="1"/>
      <c r="F7681" s="1"/>
    </row>
    <row r="7682" spans="5:6">
      <c r="E7682" s="1"/>
      <c r="F7682" s="1"/>
    </row>
    <row r="7683" spans="5:6">
      <c r="E7683" s="1"/>
      <c r="F7683" s="1"/>
    </row>
    <row r="7684" spans="5:6">
      <c r="E7684" s="1"/>
      <c r="F7684" s="1"/>
    </row>
    <row r="7685" spans="5:6">
      <c r="E7685" s="1"/>
      <c r="F7685" s="1"/>
    </row>
    <row r="7686" spans="5:6">
      <c r="E7686" s="1"/>
      <c r="F7686" s="1"/>
    </row>
    <row r="7687" spans="5:6">
      <c r="E7687" s="1"/>
      <c r="F7687" s="1"/>
    </row>
    <row r="7688" spans="5:6">
      <c r="E7688" s="1"/>
      <c r="F7688" s="1"/>
    </row>
    <row r="7689" spans="5:6">
      <c r="E7689" s="1"/>
      <c r="F7689" s="1"/>
    </row>
    <row r="7690" spans="5:6">
      <c r="E7690" s="1"/>
      <c r="F7690" s="1"/>
    </row>
    <row r="7691" spans="5:6">
      <c r="E7691" s="1"/>
      <c r="F7691" s="1"/>
    </row>
    <row r="7692" spans="5:6">
      <c r="E7692" s="1"/>
      <c r="F7692" s="1"/>
    </row>
    <row r="7693" spans="5:6">
      <c r="E7693" s="1"/>
      <c r="F7693" s="1"/>
    </row>
    <row r="7694" spans="5:6">
      <c r="E7694" s="1"/>
      <c r="F7694" s="1"/>
    </row>
    <row r="7695" spans="5:6">
      <c r="E7695" s="1"/>
      <c r="F7695" s="1"/>
    </row>
    <row r="7696" spans="5:6">
      <c r="E7696" s="1"/>
      <c r="F7696" s="1"/>
    </row>
    <row r="7697" spans="5:6">
      <c r="E7697" s="1"/>
      <c r="F7697" s="1"/>
    </row>
    <row r="7698" spans="5:6">
      <c r="E7698" s="1"/>
      <c r="F7698" s="1"/>
    </row>
    <row r="7699" spans="5:6">
      <c r="E7699" s="1"/>
      <c r="F7699" s="1"/>
    </row>
    <row r="7700" spans="5:6">
      <c r="E7700" s="1"/>
      <c r="F7700" s="1"/>
    </row>
    <row r="7701" spans="5:6">
      <c r="E7701" s="1"/>
      <c r="F7701" s="1"/>
    </row>
    <row r="7702" spans="5:6">
      <c r="E7702" s="1"/>
      <c r="F7702" s="1"/>
    </row>
    <row r="7703" spans="5:6">
      <c r="E7703" s="1"/>
      <c r="F7703" s="1"/>
    </row>
    <row r="7704" spans="5:6">
      <c r="E7704" s="1"/>
      <c r="F7704" s="1"/>
    </row>
    <row r="7705" spans="5:6">
      <c r="E7705" s="1"/>
      <c r="F7705" s="1"/>
    </row>
    <row r="7706" spans="5:6">
      <c r="E7706" s="1"/>
      <c r="F7706" s="1"/>
    </row>
    <row r="7707" spans="5:6">
      <c r="E7707" s="1"/>
      <c r="F7707" s="1"/>
    </row>
    <row r="7708" spans="5:6">
      <c r="E7708" s="1"/>
      <c r="F7708" s="1"/>
    </row>
    <row r="7709" spans="5:6">
      <c r="E7709" s="1"/>
      <c r="F7709" s="1"/>
    </row>
    <row r="7710" spans="5:6">
      <c r="E7710" s="1"/>
      <c r="F7710" s="1"/>
    </row>
    <row r="7711" spans="5:6">
      <c r="E7711" s="1"/>
      <c r="F7711" s="1"/>
    </row>
    <row r="7712" spans="5:6">
      <c r="E7712" s="1"/>
      <c r="F7712" s="1"/>
    </row>
    <row r="7713" spans="5:6">
      <c r="E7713" s="1"/>
      <c r="F7713" s="1"/>
    </row>
    <row r="7714" spans="5:6">
      <c r="E7714" s="1"/>
      <c r="F7714" s="1"/>
    </row>
    <row r="7715" spans="5:6">
      <c r="E7715" s="1"/>
      <c r="F7715" s="1"/>
    </row>
    <row r="7716" spans="5:6">
      <c r="E7716" s="1"/>
      <c r="F7716" s="1"/>
    </row>
    <row r="7717" spans="5:6">
      <c r="E7717" s="1"/>
      <c r="F7717" s="1"/>
    </row>
    <row r="7718" spans="5:6">
      <c r="E7718" s="1"/>
      <c r="F7718" s="1"/>
    </row>
    <row r="7719" spans="5:6">
      <c r="E7719" s="1"/>
      <c r="F7719" s="1"/>
    </row>
    <row r="7720" spans="5:6">
      <c r="E7720" s="1"/>
      <c r="F7720" s="1"/>
    </row>
    <row r="7721" spans="5:6">
      <c r="E7721" s="1"/>
      <c r="F7721" s="1"/>
    </row>
    <row r="7722" spans="5:6">
      <c r="E7722" s="1"/>
      <c r="F7722" s="1"/>
    </row>
    <row r="7723" spans="5:6">
      <c r="E7723" s="1"/>
      <c r="F7723" s="1"/>
    </row>
    <row r="7724" spans="5:6">
      <c r="E7724" s="1"/>
      <c r="F7724" s="1"/>
    </row>
    <row r="7725" spans="5:6">
      <c r="E7725" s="1"/>
      <c r="F7725" s="1"/>
    </row>
    <row r="7726" spans="5:6">
      <c r="E7726" s="1"/>
      <c r="F7726" s="1"/>
    </row>
    <row r="7727" spans="5:6">
      <c r="E7727" s="1"/>
      <c r="F7727" s="1"/>
    </row>
    <row r="7728" spans="5:6">
      <c r="E7728" s="1"/>
      <c r="F7728" s="1"/>
    </row>
    <row r="7729" spans="5:6">
      <c r="E7729" s="1"/>
      <c r="F7729" s="1"/>
    </row>
    <row r="7730" spans="5:6">
      <c r="E7730" s="1"/>
      <c r="F7730" s="1"/>
    </row>
    <row r="7731" spans="5:6">
      <c r="E7731" s="1"/>
      <c r="F7731" s="1"/>
    </row>
    <row r="7732" spans="5:6">
      <c r="E7732" s="1"/>
      <c r="F7732" s="1"/>
    </row>
    <row r="7733" spans="5:6">
      <c r="E7733" s="1"/>
      <c r="F7733" s="1"/>
    </row>
    <row r="7734" spans="5:6">
      <c r="E7734" s="1"/>
      <c r="F7734" s="1"/>
    </row>
    <row r="7735" spans="5:6">
      <c r="E7735" s="1"/>
      <c r="F7735" s="1"/>
    </row>
    <row r="7736" spans="5:6">
      <c r="E7736" s="1"/>
      <c r="F7736" s="1"/>
    </row>
    <row r="7737" spans="5:6">
      <c r="E7737" s="1"/>
      <c r="F7737" s="1"/>
    </row>
    <row r="7738" spans="5:6">
      <c r="E7738" s="1"/>
      <c r="F7738" s="1"/>
    </row>
    <row r="7739" spans="5:6">
      <c r="E7739" s="1"/>
      <c r="F7739" s="1"/>
    </row>
    <row r="7740" spans="5:6">
      <c r="E7740" s="1"/>
      <c r="F7740" s="1"/>
    </row>
    <row r="7741" spans="5:6">
      <c r="E7741" s="1"/>
      <c r="F7741" s="1"/>
    </row>
    <row r="7742" spans="5:6">
      <c r="E7742" s="1"/>
      <c r="F7742" s="1"/>
    </row>
    <row r="7743" spans="5:6">
      <c r="E7743" s="1"/>
      <c r="F7743" s="1"/>
    </row>
    <row r="7744" spans="5:6">
      <c r="E7744" s="1"/>
      <c r="F7744" s="1"/>
    </row>
    <row r="7745" spans="5:6">
      <c r="E7745" s="1"/>
      <c r="F7745" s="1"/>
    </row>
    <row r="7746" spans="5:6">
      <c r="E7746" s="1"/>
      <c r="F7746" s="1"/>
    </row>
    <row r="7747" spans="5:6">
      <c r="E7747" s="1"/>
      <c r="F7747" s="1"/>
    </row>
    <row r="7748" spans="5:6">
      <c r="E7748" s="1"/>
      <c r="F7748" s="1"/>
    </row>
    <row r="7749" spans="5:6">
      <c r="E7749" s="1"/>
      <c r="F7749" s="1"/>
    </row>
    <row r="7750" spans="5:6">
      <c r="E7750" s="1"/>
      <c r="F7750" s="1"/>
    </row>
    <row r="7751" spans="5:6">
      <c r="E7751" s="1"/>
      <c r="F7751" s="1"/>
    </row>
    <row r="7752" spans="5:6">
      <c r="E7752" s="1"/>
      <c r="F7752" s="1"/>
    </row>
    <row r="7753" spans="5:6">
      <c r="E7753" s="1"/>
      <c r="F7753" s="1"/>
    </row>
    <row r="7754" spans="5:6">
      <c r="E7754" s="1"/>
      <c r="F7754" s="1"/>
    </row>
    <row r="7755" spans="5:6">
      <c r="E7755" s="1"/>
      <c r="F7755" s="1"/>
    </row>
    <row r="7756" spans="5:6">
      <c r="E7756" s="1"/>
      <c r="F7756" s="1"/>
    </row>
    <row r="7757" spans="5:6">
      <c r="E7757" s="1"/>
      <c r="F7757" s="1"/>
    </row>
    <row r="7758" spans="5:6">
      <c r="E7758" s="1"/>
      <c r="F7758" s="1"/>
    </row>
    <row r="7759" spans="5:6">
      <c r="E7759" s="1"/>
      <c r="F7759" s="1"/>
    </row>
    <row r="7760" spans="5:6">
      <c r="E7760" s="1"/>
      <c r="F7760" s="1"/>
    </row>
    <row r="7761" spans="5:6">
      <c r="E7761" s="1"/>
      <c r="F7761" s="1"/>
    </row>
    <row r="7762" spans="5:6">
      <c r="E7762" s="1"/>
      <c r="F7762" s="1"/>
    </row>
    <row r="7763" spans="5:6">
      <c r="E7763" s="1"/>
      <c r="F7763" s="1"/>
    </row>
    <row r="7764" spans="5:6">
      <c r="E7764" s="1"/>
      <c r="F7764" s="1"/>
    </row>
    <row r="7765" spans="5:6">
      <c r="E7765" s="1"/>
      <c r="F7765" s="1"/>
    </row>
    <row r="7766" spans="5:6">
      <c r="E7766" s="1"/>
      <c r="F7766" s="1"/>
    </row>
    <row r="7767" spans="5:6">
      <c r="E7767" s="1"/>
      <c r="F7767" s="1"/>
    </row>
    <row r="7768" spans="5:6">
      <c r="E7768" s="1"/>
      <c r="F7768" s="1"/>
    </row>
    <row r="7769" spans="5:6">
      <c r="E7769" s="1"/>
      <c r="F7769" s="1"/>
    </row>
    <row r="7770" spans="5:6">
      <c r="E7770" s="1"/>
      <c r="F7770" s="1"/>
    </row>
    <row r="7771" spans="5:6">
      <c r="E7771" s="1"/>
      <c r="F7771" s="1"/>
    </row>
    <row r="7772" spans="5:6">
      <c r="E7772" s="1"/>
      <c r="F7772" s="1"/>
    </row>
    <row r="7773" spans="5:6">
      <c r="E7773" s="1"/>
      <c r="F7773" s="1"/>
    </row>
    <row r="7774" spans="5:6">
      <c r="E7774" s="1"/>
      <c r="F7774" s="1"/>
    </row>
    <row r="7775" spans="5:6">
      <c r="E7775" s="1"/>
      <c r="F7775" s="1"/>
    </row>
    <row r="7776" spans="5:6">
      <c r="E7776" s="1"/>
      <c r="F7776" s="1"/>
    </row>
    <row r="7777" spans="5:6">
      <c r="E7777" s="1"/>
      <c r="F7777" s="1"/>
    </row>
    <row r="7778" spans="5:6">
      <c r="E7778" s="1"/>
      <c r="F7778" s="1"/>
    </row>
    <row r="7779" spans="5:6">
      <c r="E7779" s="1"/>
      <c r="F7779" s="1"/>
    </row>
    <row r="7780" spans="5:6">
      <c r="E7780" s="1"/>
      <c r="F7780" s="1"/>
    </row>
    <row r="7781" spans="5:6">
      <c r="E7781" s="1"/>
      <c r="F7781" s="1"/>
    </row>
    <row r="7782" spans="5:6">
      <c r="E7782" s="1"/>
      <c r="F7782" s="1"/>
    </row>
    <row r="7783" spans="5:6">
      <c r="E7783" s="1"/>
      <c r="F7783" s="1"/>
    </row>
    <row r="7784" spans="5:6">
      <c r="E7784" s="1"/>
      <c r="F7784" s="1"/>
    </row>
    <row r="7785" spans="5:6">
      <c r="E7785" s="1"/>
      <c r="F7785" s="1"/>
    </row>
    <row r="7786" spans="5:6">
      <c r="E7786" s="1"/>
      <c r="F7786" s="1"/>
    </row>
    <row r="7787" spans="5:6">
      <c r="E7787" s="1"/>
      <c r="F7787" s="1"/>
    </row>
    <row r="7788" spans="5:6">
      <c r="E7788" s="1"/>
      <c r="F7788" s="1"/>
    </row>
    <row r="7789" spans="5:6">
      <c r="E7789" s="1"/>
      <c r="F7789" s="1"/>
    </row>
    <row r="7790" spans="5:6">
      <c r="E7790" s="1"/>
      <c r="F7790" s="1"/>
    </row>
    <row r="7791" spans="5:6">
      <c r="E7791" s="1"/>
      <c r="F7791" s="1"/>
    </row>
    <row r="7792" spans="5:6">
      <c r="E7792" s="1"/>
      <c r="F7792" s="1"/>
    </row>
    <row r="7793" spans="5:6">
      <c r="E7793" s="1"/>
      <c r="F7793" s="1"/>
    </row>
    <row r="7794" spans="5:6">
      <c r="E7794" s="1"/>
      <c r="F7794" s="1"/>
    </row>
    <row r="7795" spans="5:6">
      <c r="E7795" s="1"/>
      <c r="F7795" s="1"/>
    </row>
    <row r="7796" spans="5:6">
      <c r="E7796" s="1"/>
      <c r="F7796" s="1"/>
    </row>
    <row r="7797" spans="5:6">
      <c r="E7797" s="1"/>
      <c r="F7797" s="1"/>
    </row>
    <row r="7798" spans="5:6">
      <c r="E7798" s="1"/>
      <c r="F7798" s="1"/>
    </row>
    <row r="7799" spans="5:6">
      <c r="E7799" s="1"/>
      <c r="F7799" s="1"/>
    </row>
    <row r="7800" spans="5:6">
      <c r="E7800" s="1"/>
      <c r="F7800" s="1"/>
    </row>
    <row r="7801" spans="5:6">
      <c r="E7801" s="1"/>
      <c r="F7801" s="1"/>
    </row>
    <row r="7802" spans="5:6">
      <c r="E7802" s="1"/>
      <c r="F7802" s="1"/>
    </row>
    <row r="7803" spans="5:6">
      <c r="E7803" s="1"/>
      <c r="F7803" s="1"/>
    </row>
    <row r="7804" spans="5:6">
      <c r="E7804" s="1"/>
      <c r="F7804" s="1"/>
    </row>
    <row r="7805" spans="5:6">
      <c r="E7805" s="1"/>
      <c r="F7805" s="1"/>
    </row>
    <row r="7806" spans="5:6">
      <c r="E7806" s="1"/>
      <c r="F7806" s="1"/>
    </row>
    <row r="7807" spans="5:6">
      <c r="E7807" s="1"/>
      <c r="F7807" s="1"/>
    </row>
    <row r="7808" spans="5:6">
      <c r="E7808" s="1"/>
      <c r="F7808" s="1"/>
    </row>
    <row r="7809" spans="5:6">
      <c r="E7809" s="1"/>
      <c r="F7809" s="1"/>
    </row>
    <row r="7810" spans="5:6">
      <c r="E7810" s="1"/>
      <c r="F7810" s="1"/>
    </row>
    <row r="7811" spans="5:6">
      <c r="E7811" s="1"/>
      <c r="F7811" s="1"/>
    </row>
    <row r="7812" spans="5:6">
      <c r="E7812" s="1"/>
      <c r="F7812" s="1"/>
    </row>
    <row r="7813" spans="5:6">
      <c r="E7813" s="1"/>
      <c r="F7813" s="1"/>
    </row>
    <row r="7814" spans="5:6">
      <c r="E7814" s="1"/>
      <c r="F7814" s="1"/>
    </row>
    <row r="7815" spans="5:6">
      <c r="E7815" s="1"/>
      <c r="F7815" s="1"/>
    </row>
    <row r="7816" spans="5:6">
      <c r="E7816" s="1"/>
      <c r="F7816" s="1"/>
    </row>
    <row r="7817" spans="5:6">
      <c r="E7817" s="1"/>
      <c r="F7817" s="1"/>
    </row>
    <row r="7818" spans="5:6">
      <c r="E7818" s="1"/>
      <c r="F7818" s="1"/>
    </row>
    <row r="7819" spans="5:6">
      <c r="E7819" s="1"/>
      <c r="F7819" s="1"/>
    </row>
    <row r="7820" spans="5:6">
      <c r="E7820" s="1"/>
      <c r="F7820" s="1"/>
    </row>
    <row r="7821" spans="5:6">
      <c r="E7821" s="1"/>
      <c r="F7821" s="1"/>
    </row>
    <row r="7822" spans="5:6">
      <c r="E7822" s="1"/>
      <c r="F7822" s="1"/>
    </row>
    <row r="7823" spans="5:6">
      <c r="E7823" s="1"/>
      <c r="F7823" s="1"/>
    </row>
    <row r="7824" spans="5:6">
      <c r="E7824" s="1"/>
      <c r="F7824" s="1"/>
    </row>
    <row r="7825" spans="5:6">
      <c r="E7825" s="1"/>
      <c r="F7825" s="1"/>
    </row>
    <row r="7826" spans="5:6">
      <c r="E7826" s="1"/>
      <c r="F7826" s="1"/>
    </row>
    <row r="7827" spans="5:6">
      <c r="E7827" s="1"/>
      <c r="F7827" s="1"/>
    </row>
    <row r="7828" spans="5:6">
      <c r="E7828" s="1"/>
      <c r="F7828" s="1"/>
    </row>
    <row r="7829" spans="5:6">
      <c r="E7829" s="1"/>
      <c r="F7829" s="1"/>
    </row>
    <row r="7830" spans="5:6">
      <c r="E7830" s="1"/>
      <c r="F7830" s="1"/>
    </row>
    <row r="7831" spans="5:6">
      <c r="E7831" s="1"/>
      <c r="F7831" s="1"/>
    </row>
    <row r="7832" spans="5:6">
      <c r="E7832" s="1"/>
      <c r="F7832" s="1"/>
    </row>
    <row r="7833" spans="5:6">
      <c r="E7833" s="1"/>
      <c r="F7833" s="1"/>
    </row>
    <row r="7834" spans="5:6">
      <c r="E7834" s="1"/>
      <c r="F7834" s="1"/>
    </row>
    <row r="7835" spans="5:6">
      <c r="E7835" s="1"/>
      <c r="F7835" s="1"/>
    </row>
    <row r="7836" spans="5:6">
      <c r="E7836" s="1"/>
      <c r="F7836" s="1"/>
    </row>
    <row r="7837" spans="5:6">
      <c r="E7837" s="1"/>
      <c r="F7837" s="1"/>
    </row>
    <row r="7838" spans="5:6">
      <c r="E7838" s="1"/>
      <c r="F7838" s="1"/>
    </row>
    <row r="7839" spans="5:6">
      <c r="E7839" s="1"/>
      <c r="F7839" s="1"/>
    </row>
    <row r="7840" spans="5:6">
      <c r="E7840" s="1"/>
      <c r="F7840" s="1"/>
    </row>
    <row r="7841" spans="5:6">
      <c r="E7841" s="1"/>
      <c r="F7841" s="1"/>
    </row>
    <row r="7842" spans="5:6">
      <c r="E7842" s="1"/>
      <c r="F7842" s="1"/>
    </row>
    <row r="7843" spans="5:6">
      <c r="E7843" s="1"/>
      <c r="F7843" s="1"/>
    </row>
    <row r="7844" spans="5:6">
      <c r="E7844" s="1"/>
      <c r="F7844" s="1"/>
    </row>
    <row r="7845" spans="5:6">
      <c r="E7845" s="1"/>
      <c r="F7845" s="1"/>
    </row>
    <row r="7846" spans="5:6">
      <c r="E7846" s="1"/>
      <c r="F7846" s="1"/>
    </row>
    <row r="7847" spans="5:6">
      <c r="E7847" s="1"/>
      <c r="F7847" s="1"/>
    </row>
    <row r="7848" spans="5:6">
      <c r="E7848" s="1"/>
      <c r="F7848" s="1"/>
    </row>
    <row r="7849" spans="5:6">
      <c r="E7849" s="1"/>
      <c r="F7849" s="1"/>
    </row>
    <row r="7850" spans="5:6">
      <c r="E7850" s="1"/>
      <c r="F7850" s="1"/>
    </row>
    <row r="7851" spans="5:6">
      <c r="E7851" s="1"/>
      <c r="F7851" s="1"/>
    </row>
    <row r="7852" spans="5:6">
      <c r="E7852" s="1"/>
      <c r="F7852" s="1"/>
    </row>
    <row r="7853" spans="5:6">
      <c r="E7853" s="1"/>
      <c r="F7853" s="1"/>
    </row>
    <row r="7854" spans="5:6">
      <c r="E7854" s="1"/>
      <c r="F7854" s="1"/>
    </row>
    <row r="7855" spans="5:6">
      <c r="E7855" s="1"/>
      <c r="F7855" s="1"/>
    </row>
    <row r="7856" spans="5:6">
      <c r="E7856" s="1"/>
      <c r="F7856" s="1"/>
    </row>
    <row r="7857" spans="5:6">
      <c r="E7857" s="1"/>
      <c r="F7857" s="1"/>
    </row>
    <row r="7858" spans="5:6">
      <c r="E7858" s="1"/>
      <c r="F7858" s="1"/>
    </row>
    <row r="7859" spans="5:6">
      <c r="E7859" s="1"/>
      <c r="F7859" s="1"/>
    </row>
    <row r="7860" spans="5:6">
      <c r="E7860" s="1"/>
      <c r="F7860" s="1"/>
    </row>
    <row r="7861" spans="5:6">
      <c r="E7861" s="1"/>
      <c r="F7861" s="1"/>
    </row>
    <row r="7862" spans="5:6">
      <c r="E7862" s="1"/>
      <c r="F7862" s="1"/>
    </row>
    <row r="7863" spans="5:6">
      <c r="E7863" s="1"/>
      <c r="F7863" s="1"/>
    </row>
    <row r="7864" spans="5:6">
      <c r="E7864" s="1"/>
      <c r="F7864" s="1"/>
    </row>
    <row r="7865" spans="5:6">
      <c r="E7865" s="1"/>
      <c r="F7865" s="1"/>
    </row>
    <row r="7866" spans="5:6">
      <c r="E7866" s="1"/>
      <c r="F7866" s="1"/>
    </row>
    <row r="7867" spans="5:6">
      <c r="E7867" s="1"/>
      <c r="F7867" s="1"/>
    </row>
    <row r="7868" spans="5:6">
      <c r="E7868" s="1"/>
      <c r="F7868" s="1"/>
    </row>
    <row r="7869" spans="5:6">
      <c r="E7869" s="1"/>
      <c r="F7869" s="1"/>
    </row>
    <row r="7870" spans="5:6">
      <c r="E7870" s="1"/>
      <c r="F7870" s="1"/>
    </row>
    <row r="7871" spans="5:6">
      <c r="E7871" s="1"/>
      <c r="F7871" s="1"/>
    </row>
    <row r="7872" spans="5:6">
      <c r="E7872" s="1"/>
      <c r="F7872" s="1"/>
    </row>
    <row r="7873" spans="5:6">
      <c r="E7873" s="1"/>
      <c r="F7873" s="1"/>
    </row>
    <row r="7874" spans="5:6">
      <c r="E7874" s="1"/>
      <c r="F7874" s="1"/>
    </row>
    <row r="7875" spans="5:6">
      <c r="E7875" s="1"/>
      <c r="F7875" s="1"/>
    </row>
    <row r="7876" spans="5:6">
      <c r="E7876" s="1"/>
      <c r="F7876" s="1"/>
    </row>
    <row r="7877" spans="5:6">
      <c r="E7877" s="1"/>
      <c r="F7877" s="1"/>
    </row>
    <row r="7878" spans="5:6">
      <c r="E7878" s="1"/>
      <c r="F7878" s="1"/>
    </row>
    <row r="7879" spans="5:6">
      <c r="E7879" s="1"/>
      <c r="F7879" s="1"/>
    </row>
    <row r="7880" spans="5:6">
      <c r="E7880" s="1"/>
      <c r="F7880" s="1"/>
    </row>
    <row r="7881" spans="5:6">
      <c r="E7881" s="1"/>
      <c r="F7881" s="1"/>
    </row>
    <row r="7882" spans="5:6">
      <c r="E7882" s="1"/>
      <c r="F7882" s="1"/>
    </row>
    <row r="7883" spans="5:6">
      <c r="E7883" s="1"/>
      <c r="F7883" s="1"/>
    </row>
    <row r="7884" spans="5:6">
      <c r="E7884" s="1"/>
      <c r="F7884" s="1"/>
    </row>
    <row r="7885" spans="5:6">
      <c r="E7885" s="1"/>
      <c r="F7885" s="1"/>
    </row>
    <row r="7886" spans="5:6">
      <c r="E7886" s="1"/>
      <c r="F7886" s="1"/>
    </row>
    <row r="7887" spans="5:6">
      <c r="E7887" s="1"/>
      <c r="F7887" s="1"/>
    </row>
    <row r="7888" spans="5:6">
      <c r="E7888" s="1"/>
      <c r="F7888" s="1"/>
    </row>
    <row r="7889" spans="5:6">
      <c r="E7889" s="1"/>
      <c r="F7889" s="1"/>
    </row>
    <row r="7890" spans="5:6">
      <c r="E7890" s="1"/>
      <c r="F7890" s="1"/>
    </row>
    <row r="7891" spans="5:6">
      <c r="E7891" s="1"/>
      <c r="F7891" s="1"/>
    </row>
    <row r="7892" spans="5:6">
      <c r="E7892" s="1"/>
      <c r="F7892" s="1"/>
    </row>
    <row r="7893" spans="5:6">
      <c r="E7893" s="1"/>
      <c r="F7893" s="1"/>
    </row>
    <row r="7894" spans="5:6">
      <c r="E7894" s="1"/>
      <c r="F7894" s="1"/>
    </row>
    <row r="7895" spans="5:6">
      <c r="E7895" s="1"/>
      <c r="F7895" s="1"/>
    </row>
    <row r="7896" spans="5:6">
      <c r="E7896" s="1"/>
      <c r="F7896" s="1"/>
    </row>
    <row r="7897" spans="5:6">
      <c r="E7897" s="1"/>
      <c r="F7897" s="1"/>
    </row>
    <row r="7898" spans="5:6">
      <c r="E7898" s="1"/>
      <c r="F7898" s="1"/>
    </row>
    <row r="7899" spans="5:6">
      <c r="E7899" s="1"/>
      <c r="F7899" s="1"/>
    </row>
    <row r="7900" spans="5:6">
      <c r="E7900" s="1"/>
      <c r="F7900" s="1"/>
    </row>
    <row r="7901" spans="5:6">
      <c r="E7901" s="1"/>
      <c r="F7901" s="1"/>
    </row>
    <row r="7902" spans="5:6">
      <c r="E7902" s="1"/>
      <c r="F7902" s="1"/>
    </row>
    <row r="7903" spans="5:6">
      <c r="E7903" s="1"/>
      <c r="F7903" s="1"/>
    </row>
    <row r="7904" spans="5:6">
      <c r="E7904" s="1"/>
      <c r="F7904" s="1"/>
    </row>
    <row r="7905" spans="5:6">
      <c r="E7905" s="1"/>
      <c r="F7905" s="1"/>
    </row>
    <row r="7906" spans="5:6">
      <c r="E7906" s="1"/>
      <c r="F7906" s="1"/>
    </row>
    <row r="7907" spans="5:6">
      <c r="E7907" s="1"/>
      <c r="F7907" s="1"/>
    </row>
    <row r="7908" spans="5:6">
      <c r="E7908" s="1"/>
      <c r="F7908" s="1"/>
    </row>
    <row r="7909" spans="5:6">
      <c r="E7909" s="1"/>
      <c r="F7909" s="1"/>
    </row>
    <row r="7910" spans="5:6">
      <c r="E7910" s="1"/>
      <c r="F7910" s="1"/>
    </row>
    <row r="7911" spans="5:6">
      <c r="E7911" s="1"/>
      <c r="F7911" s="1"/>
    </row>
    <row r="7912" spans="5:6">
      <c r="E7912" s="1"/>
      <c r="F7912" s="1"/>
    </row>
    <row r="7913" spans="5:6">
      <c r="E7913" s="1"/>
      <c r="F7913" s="1"/>
    </row>
    <row r="7914" spans="5:6">
      <c r="E7914" s="1"/>
      <c r="F7914" s="1"/>
    </row>
    <row r="7915" spans="5:6">
      <c r="E7915" s="1"/>
      <c r="F7915" s="1"/>
    </row>
    <row r="7916" spans="5:6">
      <c r="E7916" s="1"/>
      <c r="F7916" s="1"/>
    </row>
    <row r="7917" spans="5:6">
      <c r="E7917" s="1"/>
      <c r="F7917" s="1"/>
    </row>
    <row r="7918" spans="5:6">
      <c r="E7918" s="1"/>
      <c r="F7918" s="1"/>
    </row>
    <row r="7919" spans="5:6">
      <c r="E7919" s="1"/>
      <c r="F7919" s="1"/>
    </row>
    <row r="7920" spans="5:6">
      <c r="E7920" s="1"/>
      <c r="F7920" s="1"/>
    </row>
    <row r="7921" spans="5:6">
      <c r="E7921" s="1"/>
      <c r="F7921" s="1"/>
    </row>
    <row r="7922" spans="5:6">
      <c r="E7922" s="1"/>
      <c r="F7922" s="1"/>
    </row>
    <row r="7923" spans="5:6">
      <c r="E7923" s="1"/>
      <c r="F7923" s="1"/>
    </row>
    <row r="7924" spans="5:6">
      <c r="E7924" s="1"/>
      <c r="F7924" s="1"/>
    </row>
    <row r="7925" spans="5:6">
      <c r="E7925" s="1"/>
      <c r="F7925" s="1"/>
    </row>
    <row r="7926" spans="5:6">
      <c r="E7926" s="1"/>
      <c r="F7926" s="1"/>
    </row>
    <row r="7927" spans="5:6">
      <c r="E7927" s="1"/>
      <c r="F7927" s="1"/>
    </row>
    <row r="7928" spans="5:6">
      <c r="E7928" s="1"/>
      <c r="F7928" s="1"/>
    </row>
    <row r="7929" spans="5:6">
      <c r="E7929" s="1"/>
      <c r="F7929" s="1"/>
    </row>
    <row r="7930" spans="5:6">
      <c r="E7930" s="1"/>
      <c r="F7930" s="1"/>
    </row>
    <row r="7931" spans="5:6">
      <c r="E7931" s="1"/>
      <c r="F7931" s="1"/>
    </row>
    <row r="7932" spans="5:6">
      <c r="E7932" s="1"/>
      <c r="F7932" s="1"/>
    </row>
    <row r="7933" spans="5:6">
      <c r="E7933" s="1"/>
      <c r="F7933" s="1"/>
    </row>
    <row r="7934" spans="5:6">
      <c r="E7934" s="1"/>
      <c r="F7934" s="1"/>
    </row>
    <row r="7935" spans="5:6">
      <c r="E7935" s="1"/>
      <c r="F7935" s="1"/>
    </row>
    <row r="7936" spans="5:6">
      <c r="E7936" s="1"/>
      <c r="F7936" s="1"/>
    </row>
    <row r="7937" spans="5:6">
      <c r="E7937" s="1"/>
      <c r="F7937" s="1"/>
    </row>
    <row r="7938" spans="5:6">
      <c r="E7938" s="1"/>
      <c r="F7938" s="1"/>
    </row>
    <row r="7939" spans="5:6">
      <c r="E7939" s="1"/>
      <c r="F7939" s="1"/>
    </row>
    <row r="7940" spans="5:6">
      <c r="E7940" s="1"/>
      <c r="F7940" s="1"/>
    </row>
    <row r="7941" spans="5:6">
      <c r="E7941" s="1"/>
      <c r="F7941" s="1"/>
    </row>
    <row r="7942" spans="5:6">
      <c r="E7942" s="1"/>
      <c r="F7942" s="1"/>
    </row>
    <row r="7943" spans="5:6">
      <c r="E7943" s="1"/>
      <c r="F7943" s="1"/>
    </row>
    <row r="7944" spans="5:6">
      <c r="E7944" s="1"/>
      <c r="F7944" s="1"/>
    </row>
    <row r="7945" spans="5:6">
      <c r="E7945" s="1"/>
      <c r="F7945" s="1"/>
    </row>
    <row r="7946" spans="5:6">
      <c r="E7946" s="1"/>
      <c r="F7946" s="1"/>
    </row>
    <row r="7947" spans="5:6">
      <c r="E7947" s="1"/>
      <c r="F7947" s="1"/>
    </row>
    <row r="7948" spans="5:6">
      <c r="E7948" s="1"/>
      <c r="F7948" s="1"/>
    </row>
    <row r="7949" spans="5:6">
      <c r="E7949" s="1"/>
      <c r="F7949" s="1"/>
    </row>
    <row r="7950" spans="5:6">
      <c r="E7950" s="1"/>
      <c r="F7950" s="1"/>
    </row>
    <row r="7951" spans="5:6">
      <c r="E7951" s="1"/>
      <c r="F7951" s="1"/>
    </row>
    <row r="7952" spans="5:6">
      <c r="E7952" s="1"/>
      <c r="F7952" s="1"/>
    </row>
    <row r="7953" spans="5:6">
      <c r="E7953" s="1"/>
      <c r="F7953" s="1"/>
    </row>
    <row r="7954" spans="5:6">
      <c r="E7954" s="1"/>
      <c r="F7954" s="1"/>
    </row>
    <row r="7955" spans="5:6">
      <c r="E7955" s="1"/>
      <c r="F7955" s="1"/>
    </row>
    <row r="7956" spans="5:6">
      <c r="E7956" s="1"/>
      <c r="F7956" s="1"/>
    </row>
    <row r="7957" spans="5:6">
      <c r="E7957" s="1"/>
      <c r="F7957" s="1"/>
    </row>
    <row r="7958" spans="5:6">
      <c r="E7958" s="1"/>
      <c r="F7958" s="1"/>
    </row>
    <row r="7959" spans="5:6">
      <c r="E7959" s="1"/>
      <c r="F7959" s="1"/>
    </row>
    <row r="7960" spans="5:6">
      <c r="E7960" s="1"/>
      <c r="F7960" s="1"/>
    </row>
    <row r="7961" spans="5:6">
      <c r="E7961" s="1"/>
      <c r="F7961" s="1"/>
    </row>
    <row r="7962" spans="5:6">
      <c r="E7962" s="1"/>
      <c r="F7962" s="1"/>
    </row>
    <row r="7963" spans="5:6">
      <c r="E7963" s="1"/>
      <c r="F7963" s="1"/>
    </row>
    <row r="7964" spans="5:6">
      <c r="E7964" s="1"/>
      <c r="F7964" s="1"/>
    </row>
    <row r="7965" spans="5:6">
      <c r="E7965" s="1"/>
      <c r="F7965" s="1"/>
    </row>
    <row r="7966" spans="5:6">
      <c r="E7966" s="1"/>
      <c r="F7966" s="1"/>
    </row>
    <row r="7967" spans="5:6">
      <c r="E7967" s="1"/>
      <c r="F7967" s="1"/>
    </row>
    <row r="7968" spans="5:6">
      <c r="E7968" s="1"/>
      <c r="F7968" s="1"/>
    </row>
    <row r="7969" spans="5:6">
      <c r="E7969" s="1"/>
      <c r="F7969" s="1"/>
    </row>
    <row r="7970" spans="5:6">
      <c r="E7970" s="1"/>
      <c r="F7970" s="1"/>
    </row>
    <row r="7971" spans="5:6">
      <c r="E7971" s="1"/>
      <c r="F7971" s="1"/>
    </row>
    <row r="7972" spans="5:6">
      <c r="E7972" s="1"/>
      <c r="F7972" s="1"/>
    </row>
    <row r="7973" spans="5:6">
      <c r="E7973" s="1"/>
      <c r="F7973" s="1"/>
    </row>
    <row r="7974" spans="5:6">
      <c r="E7974" s="1"/>
      <c r="F7974" s="1"/>
    </row>
    <row r="7975" spans="5:6">
      <c r="E7975" s="1"/>
      <c r="F7975" s="1"/>
    </row>
    <row r="7976" spans="5:6">
      <c r="E7976" s="1"/>
      <c r="F7976" s="1"/>
    </row>
    <row r="7977" spans="5:6">
      <c r="E7977" s="1"/>
      <c r="F7977" s="1"/>
    </row>
    <row r="7978" spans="5:6">
      <c r="E7978" s="1"/>
      <c r="F7978" s="1"/>
    </row>
    <row r="7979" spans="5:6">
      <c r="E7979" s="1"/>
      <c r="F7979" s="1"/>
    </row>
    <row r="7980" spans="5:6">
      <c r="E7980" s="1"/>
      <c r="F7980" s="1"/>
    </row>
    <row r="7981" spans="5:6">
      <c r="E7981" s="1"/>
      <c r="F7981" s="1"/>
    </row>
    <row r="7982" spans="5:6">
      <c r="E7982" s="1"/>
      <c r="F7982" s="1"/>
    </row>
    <row r="7983" spans="5:6">
      <c r="E7983" s="1"/>
      <c r="F7983" s="1"/>
    </row>
    <row r="7984" spans="5:6">
      <c r="E7984" s="1"/>
      <c r="F7984" s="1"/>
    </row>
    <row r="7985" spans="5:6">
      <c r="E7985" s="1"/>
      <c r="F7985" s="1"/>
    </row>
    <row r="7986" spans="5:6">
      <c r="E7986" s="1"/>
      <c r="F7986" s="1"/>
    </row>
    <row r="7987" spans="5:6">
      <c r="E7987" s="1"/>
      <c r="F7987" s="1"/>
    </row>
    <row r="7988" spans="5:6">
      <c r="E7988" s="1"/>
      <c r="F7988" s="1"/>
    </row>
    <row r="7989" spans="5:6">
      <c r="E7989" s="1"/>
      <c r="F7989" s="1"/>
    </row>
    <row r="7990" spans="5:6">
      <c r="E7990" s="1"/>
      <c r="F7990" s="1"/>
    </row>
    <row r="7991" spans="5:6">
      <c r="E7991" s="1"/>
      <c r="F7991" s="1"/>
    </row>
    <row r="7992" spans="5:6">
      <c r="E7992" s="1"/>
      <c r="F7992" s="1"/>
    </row>
    <row r="7993" spans="5:6">
      <c r="E7993" s="1"/>
      <c r="F7993" s="1"/>
    </row>
    <row r="7994" spans="5:6">
      <c r="E7994" s="1"/>
      <c r="F7994" s="1"/>
    </row>
    <row r="7995" spans="5:6">
      <c r="E7995" s="1"/>
      <c r="F7995" s="1"/>
    </row>
    <row r="7996" spans="5:6">
      <c r="E7996" s="1"/>
      <c r="F7996" s="1"/>
    </row>
    <row r="7997" spans="5:6">
      <c r="E7997" s="1"/>
      <c r="F7997" s="1"/>
    </row>
    <row r="7998" spans="5:6">
      <c r="E7998" s="1"/>
      <c r="F7998" s="1"/>
    </row>
    <row r="7999" spans="5:6">
      <c r="E7999" s="1"/>
      <c r="F7999" s="1"/>
    </row>
    <row r="8000" spans="5:6">
      <c r="E8000" s="1"/>
      <c r="F8000" s="1"/>
    </row>
    <row r="8001" spans="5:6">
      <c r="E8001" s="1"/>
      <c r="F8001" s="1"/>
    </row>
    <row r="8002" spans="5:6">
      <c r="E8002" s="1"/>
      <c r="F8002" s="1"/>
    </row>
    <row r="8003" spans="5:6">
      <c r="E8003" s="1"/>
      <c r="F8003" s="1"/>
    </row>
    <row r="8004" spans="5:6">
      <c r="E8004" s="1"/>
      <c r="F8004" s="1"/>
    </row>
    <row r="8005" spans="5:6">
      <c r="E8005" s="1"/>
      <c r="F8005" s="1"/>
    </row>
    <row r="8006" spans="5:6">
      <c r="E8006" s="1"/>
      <c r="F8006" s="1"/>
    </row>
    <row r="8007" spans="5:6">
      <c r="E8007" s="1"/>
      <c r="F8007" s="1"/>
    </row>
    <row r="8008" spans="5:6">
      <c r="E8008" s="1"/>
      <c r="F8008" s="1"/>
    </row>
    <row r="8009" spans="5:6">
      <c r="E8009" s="1"/>
      <c r="F8009" s="1"/>
    </row>
    <row r="8010" spans="5:6">
      <c r="E8010" s="1"/>
      <c r="F8010" s="1"/>
    </row>
    <row r="8011" spans="5:6">
      <c r="E8011" s="1"/>
      <c r="F8011" s="1"/>
    </row>
    <row r="8012" spans="5:6">
      <c r="E8012" s="1"/>
      <c r="F8012" s="1"/>
    </row>
    <row r="8013" spans="5:6">
      <c r="E8013" s="1"/>
      <c r="F8013" s="1"/>
    </row>
    <row r="8014" spans="5:6">
      <c r="E8014" s="1"/>
      <c r="F8014" s="1"/>
    </row>
    <row r="8015" spans="5:6">
      <c r="E8015" s="1"/>
      <c r="F8015" s="1"/>
    </row>
    <row r="8016" spans="5:6">
      <c r="E8016" s="1"/>
      <c r="F8016" s="1"/>
    </row>
    <row r="8017" spans="5:6">
      <c r="E8017" s="1"/>
      <c r="F8017" s="1"/>
    </row>
    <row r="8018" spans="5:6">
      <c r="E8018" s="1"/>
      <c r="F8018" s="1"/>
    </row>
    <row r="8019" spans="5:6">
      <c r="E8019" s="1"/>
      <c r="F8019" s="1"/>
    </row>
    <row r="8020" spans="5:6">
      <c r="E8020" s="1"/>
      <c r="F8020" s="1"/>
    </row>
    <row r="8021" spans="5:6">
      <c r="E8021" s="1"/>
      <c r="F8021" s="1"/>
    </row>
    <row r="8022" spans="5:6">
      <c r="E8022" s="1"/>
      <c r="F8022" s="1"/>
    </row>
    <row r="8023" spans="5:6">
      <c r="E8023" s="1"/>
      <c r="F8023" s="1"/>
    </row>
    <row r="8024" spans="5:6">
      <c r="E8024" s="1"/>
      <c r="F8024" s="1"/>
    </row>
    <row r="8025" spans="5:6">
      <c r="E8025" s="1"/>
      <c r="F8025" s="1"/>
    </row>
    <row r="8026" spans="5:6">
      <c r="E8026" s="1"/>
      <c r="F8026" s="1"/>
    </row>
    <row r="8027" spans="5:6">
      <c r="E8027" s="1"/>
      <c r="F8027" s="1"/>
    </row>
    <row r="8028" spans="5:6">
      <c r="E8028" s="1"/>
      <c r="F8028" s="1"/>
    </row>
    <row r="8029" spans="5:6">
      <c r="E8029" s="1"/>
      <c r="F8029" s="1"/>
    </row>
    <row r="8030" spans="5:6">
      <c r="E8030" s="1"/>
      <c r="F8030" s="1"/>
    </row>
    <row r="8031" spans="5:6">
      <c r="E8031" s="1"/>
      <c r="F8031" s="1"/>
    </row>
    <row r="8032" spans="5:6">
      <c r="E8032" s="1"/>
      <c r="F8032" s="1"/>
    </row>
    <row r="8033" spans="5:6">
      <c r="E8033" s="1"/>
      <c r="F8033" s="1"/>
    </row>
    <row r="8034" spans="5:6">
      <c r="E8034" s="1"/>
      <c r="F8034" s="1"/>
    </row>
    <row r="8035" spans="5:6">
      <c r="E8035" s="1"/>
      <c r="F8035" s="1"/>
    </row>
    <row r="8036" spans="5:6">
      <c r="E8036" s="1"/>
      <c r="F8036" s="1"/>
    </row>
    <row r="8037" spans="5:6">
      <c r="E8037" s="1"/>
      <c r="F8037" s="1"/>
    </row>
    <row r="8038" spans="5:6">
      <c r="E8038" s="1"/>
      <c r="F8038" s="1"/>
    </row>
    <row r="8039" spans="5:6">
      <c r="E8039" s="1"/>
      <c r="F8039" s="1"/>
    </row>
    <row r="8040" spans="5:6">
      <c r="E8040" s="1"/>
      <c r="F8040" s="1"/>
    </row>
    <row r="8041" spans="5:6">
      <c r="E8041" s="1"/>
      <c r="F8041" s="1"/>
    </row>
    <row r="8042" spans="5:6">
      <c r="E8042" s="1"/>
      <c r="F8042" s="1"/>
    </row>
    <row r="8043" spans="5:6">
      <c r="E8043" s="1"/>
      <c r="F8043" s="1"/>
    </row>
    <row r="8044" spans="5:6">
      <c r="E8044" s="1"/>
      <c r="F8044" s="1"/>
    </row>
    <row r="8045" spans="5:6">
      <c r="E8045" s="1"/>
      <c r="F8045" s="1"/>
    </row>
    <row r="8046" spans="5:6">
      <c r="E8046" s="1"/>
      <c r="F8046" s="1"/>
    </row>
    <row r="8047" spans="5:6">
      <c r="E8047" s="1"/>
      <c r="F8047" s="1"/>
    </row>
    <row r="8048" spans="5:6">
      <c r="E8048" s="1"/>
      <c r="F8048" s="1"/>
    </row>
    <row r="8049" spans="5:6">
      <c r="E8049" s="1"/>
      <c r="F8049" s="1"/>
    </row>
    <row r="8050" spans="5:6">
      <c r="E8050" s="1"/>
      <c r="F8050" s="1"/>
    </row>
    <row r="8051" spans="5:6">
      <c r="E8051" s="1"/>
      <c r="F8051" s="1"/>
    </row>
    <row r="8052" spans="5:6">
      <c r="E8052" s="1"/>
      <c r="F8052" s="1"/>
    </row>
    <row r="8053" spans="5:6">
      <c r="E8053" s="1"/>
      <c r="F8053" s="1"/>
    </row>
    <row r="8054" spans="5:6">
      <c r="E8054" s="1"/>
      <c r="F8054" s="1"/>
    </row>
    <row r="8055" spans="5:6">
      <c r="E8055" s="1"/>
      <c r="F8055" s="1"/>
    </row>
    <row r="8056" spans="5:6">
      <c r="E8056" s="1"/>
      <c r="F8056" s="1"/>
    </row>
    <row r="8057" spans="5:6">
      <c r="E8057" s="1"/>
      <c r="F8057" s="1"/>
    </row>
    <row r="8058" spans="5:6">
      <c r="E8058" s="1"/>
      <c r="F8058" s="1"/>
    </row>
    <row r="8059" spans="5:6">
      <c r="E8059" s="1"/>
      <c r="F8059" s="1"/>
    </row>
    <row r="8060" spans="5:6">
      <c r="E8060" s="1"/>
      <c r="F8060" s="1"/>
    </row>
    <row r="8061" spans="5:6">
      <c r="E8061" s="1"/>
      <c r="F8061" s="1"/>
    </row>
    <row r="8062" spans="5:6">
      <c r="E8062" s="1"/>
      <c r="F8062" s="1"/>
    </row>
    <row r="8063" spans="5:6">
      <c r="E8063" s="1"/>
      <c r="F8063" s="1"/>
    </row>
    <row r="8064" spans="5:6">
      <c r="E8064" s="1"/>
      <c r="F8064" s="1"/>
    </row>
    <row r="8065" spans="5:6">
      <c r="E8065" s="1"/>
      <c r="F8065" s="1"/>
    </row>
    <row r="8066" spans="5:6">
      <c r="E8066" s="1"/>
      <c r="F8066" s="1"/>
    </row>
    <row r="8067" spans="5:6">
      <c r="E8067" s="1"/>
      <c r="F8067" s="1"/>
    </row>
    <row r="8068" spans="5:6">
      <c r="E8068" s="1"/>
      <c r="F8068" s="1"/>
    </row>
    <row r="8069" spans="5:6">
      <c r="E8069" s="1"/>
      <c r="F8069" s="1"/>
    </row>
    <row r="8070" spans="5:6">
      <c r="E8070" s="1"/>
      <c r="F8070" s="1"/>
    </row>
    <row r="8071" spans="5:6">
      <c r="E8071" s="1"/>
      <c r="F8071" s="1"/>
    </row>
    <row r="8072" spans="5:6">
      <c r="E8072" s="1"/>
      <c r="F8072" s="1"/>
    </row>
    <row r="8073" spans="5:6">
      <c r="E8073" s="1"/>
      <c r="F8073" s="1"/>
    </row>
    <row r="8074" spans="5:6">
      <c r="E8074" s="1"/>
      <c r="F8074" s="1"/>
    </row>
    <row r="8075" spans="5:6">
      <c r="E8075" s="1"/>
      <c r="F8075" s="1"/>
    </row>
    <row r="8076" spans="5:6">
      <c r="E8076" s="1"/>
      <c r="F8076" s="1"/>
    </row>
    <row r="8077" spans="5:6">
      <c r="E8077" s="1"/>
      <c r="F8077" s="1"/>
    </row>
    <row r="8078" spans="5:6">
      <c r="E8078" s="1"/>
      <c r="F8078" s="1"/>
    </row>
    <row r="8079" spans="5:6">
      <c r="E8079" s="1"/>
      <c r="F8079" s="1"/>
    </row>
    <row r="8080" spans="5:6">
      <c r="E8080" s="1"/>
      <c r="F8080" s="1"/>
    </row>
    <row r="8081" spans="5:6">
      <c r="E8081" s="1"/>
      <c r="F8081" s="1"/>
    </row>
    <row r="8082" spans="5:6">
      <c r="E8082" s="1"/>
      <c r="F8082" s="1"/>
    </row>
    <row r="8083" spans="5:6">
      <c r="E8083" s="1"/>
      <c r="F8083" s="1"/>
    </row>
    <row r="8084" spans="5:6">
      <c r="E8084" s="1"/>
      <c r="F8084" s="1"/>
    </row>
    <row r="8085" spans="5:6">
      <c r="E8085" s="1"/>
      <c r="F8085" s="1"/>
    </row>
    <row r="8086" spans="5:6">
      <c r="E8086" s="1"/>
      <c r="F8086" s="1"/>
    </row>
    <row r="8087" spans="5:6">
      <c r="E8087" s="1"/>
      <c r="F8087" s="1"/>
    </row>
    <row r="8088" spans="5:6">
      <c r="E8088" s="1"/>
      <c r="F8088" s="1"/>
    </row>
    <row r="8089" spans="5:6">
      <c r="E8089" s="1"/>
      <c r="F8089" s="1"/>
    </row>
    <row r="8090" spans="5:6">
      <c r="E8090" s="1"/>
      <c r="F8090" s="1"/>
    </row>
    <row r="8091" spans="5:6">
      <c r="E8091" s="1"/>
      <c r="F8091" s="1"/>
    </row>
    <row r="8092" spans="5:6">
      <c r="E8092" s="1"/>
      <c r="F8092" s="1"/>
    </row>
    <row r="8093" spans="5:6">
      <c r="E8093" s="1"/>
      <c r="F8093" s="1"/>
    </row>
    <row r="8094" spans="5:6">
      <c r="E8094" s="1"/>
      <c r="F8094" s="1"/>
    </row>
    <row r="8095" spans="5:6">
      <c r="E8095" s="1"/>
      <c r="F8095" s="1"/>
    </row>
    <row r="8096" spans="5:6">
      <c r="E8096" s="1"/>
      <c r="F8096" s="1"/>
    </row>
    <row r="8097" spans="5:6">
      <c r="E8097" s="1"/>
      <c r="F8097" s="1"/>
    </row>
    <row r="8098" spans="5:6">
      <c r="E8098" s="1"/>
      <c r="F8098" s="1"/>
    </row>
    <row r="8099" spans="5:6">
      <c r="E8099" s="1"/>
      <c r="F8099" s="1"/>
    </row>
    <row r="8100" spans="5:6">
      <c r="E8100" s="1"/>
      <c r="F8100" s="1"/>
    </row>
    <row r="8101" spans="5:6">
      <c r="E8101" s="1"/>
      <c r="F8101" s="1"/>
    </row>
    <row r="8102" spans="5:6">
      <c r="E8102" s="1"/>
      <c r="F8102" s="1"/>
    </row>
    <row r="8103" spans="5:6">
      <c r="E8103" s="1"/>
      <c r="F8103" s="1"/>
    </row>
    <row r="8104" spans="5:6">
      <c r="E8104" s="1"/>
      <c r="F8104" s="1"/>
    </row>
    <row r="8105" spans="5:6">
      <c r="E8105" s="1"/>
      <c r="F8105" s="1"/>
    </row>
    <row r="8106" spans="5:6">
      <c r="E8106" s="1"/>
      <c r="F8106" s="1"/>
    </row>
    <row r="8107" spans="5:6">
      <c r="E8107" s="1"/>
      <c r="F8107" s="1"/>
    </row>
    <row r="8108" spans="5:6">
      <c r="E8108" s="1"/>
      <c r="F8108" s="1"/>
    </row>
    <row r="8109" spans="5:6">
      <c r="E8109" s="1"/>
      <c r="F8109" s="1"/>
    </row>
    <row r="8110" spans="5:6">
      <c r="E8110" s="1"/>
      <c r="F8110" s="1"/>
    </row>
    <row r="8111" spans="5:6">
      <c r="E8111" s="1"/>
      <c r="F8111" s="1"/>
    </row>
    <row r="8112" spans="5:6">
      <c r="E8112" s="1"/>
      <c r="F8112" s="1"/>
    </row>
    <row r="8113" spans="5:6">
      <c r="E8113" s="1"/>
      <c r="F8113" s="1"/>
    </row>
    <row r="8114" spans="5:6">
      <c r="E8114" s="1"/>
      <c r="F8114" s="1"/>
    </row>
    <row r="8115" spans="5:6">
      <c r="E8115" s="1"/>
      <c r="F8115" s="1"/>
    </row>
    <row r="8116" spans="5:6">
      <c r="E8116" s="1"/>
      <c r="F8116" s="1"/>
    </row>
    <row r="8117" spans="5:6">
      <c r="E8117" s="1"/>
      <c r="F8117" s="1"/>
    </row>
    <row r="8118" spans="5:6">
      <c r="E8118" s="1"/>
      <c r="F8118" s="1"/>
    </row>
    <row r="8119" spans="5:6">
      <c r="E8119" s="1"/>
      <c r="F8119" s="1"/>
    </row>
    <row r="8120" spans="5:6">
      <c r="E8120" s="1"/>
      <c r="F8120" s="1"/>
    </row>
    <row r="8121" spans="5:6">
      <c r="E8121" s="1"/>
      <c r="F8121" s="1"/>
    </row>
    <row r="8122" spans="5:6">
      <c r="E8122" s="1"/>
      <c r="F8122" s="1"/>
    </row>
    <row r="8123" spans="5:6">
      <c r="E8123" s="1"/>
      <c r="F8123" s="1"/>
    </row>
    <row r="8124" spans="5:6">
      <c r="E8124" s="1"/>
      <c r="F8124" s="1"/>
    </row>
    <row r="8125" spans="5:6">
      <c r="E8125" s="1"/>
      <c r="F8125" s="1"/>
    </row>
    <row r="8126" spans="5:6">
      <c r="E8126" s="1"/>
      <c r="F8126" s="1"/>
    </row>
    <row r="8127" spans="5:6">
      <c r="E8127" s="1"/>
      <c r="F8127" s="1"/>
    </row>
    <row r="8128" spans="5:6">
      <c r="E8128" s="1"/>
      <c r="F8128" s="1"/>
    </row>
    <row r="8129" spans="5:6">
      <c r="E8129" s="1"/>
      <c r="F8129" s="1"/>
    </row>
    <row r="8130" spans="5:6">
      <c r="E8130" s="1"/>
      <c r="F8130" s="1"/>
    </row>
    <row r="8131" spans="5:6">
      <c r="E8131" s="1"/>
      <c r="F8131" s="1"/>
    </row>
    <row r="8132" spans="5:6">
      <c r="E8132" s="1"/>
      <c r="F8132" s="1"/>
    </row>
    <row r="8133" spans="5:6">
      <c r="E8133" s="1"/>
      <c r="F8133" s="1"/>
    </row>
    <row r="8134" spans="5:6">
      <c r="E8134" s="1"/>
      <c r="F8134" s="1"/>
    </row>
    <row r="8135" spans="5:6">
      <c r="E8135" s="1"/>
      <c r="F8135" s="1"/>
    </row>
    <row r="8136" spans="5:6">
      <c r="E8136" s="1"/>
      <c r="F8136" s="1"/>
    </row>
    <row r="8137" spans="5:6">
      <c r="E8137" s="1"/>
      <c r="F8137" s="1"/>
    </row>
    <row r="8138" spans="5:6">
      <c r="E8138" s="1"/>
      <c r="F8138" s="1"/>
    </row>
    <row r="8139" spans="5:6">
      <c r="E8139" s="1"/>
      <c r="F8139" s="1"/>
    </row>
    <row r="8140" spans="5:6">
      <c r="E8140" s="1"/>
      <c r="F8140" s="1"/>
    </row>
    <row r="8141" spans="5:6">
      <c r="E8141" s="1"/>
      <c r="F8141" s="1"/>
    </row>
    <row r="8142" spans="5:6">
      <c r="E8142" s="1"/>
      <c r="F8142" s="1"/>
    </row>
    <row r="8143" spans="5:6">
      <c r="E8143" s="1"/>
      <c r="F8143" s="1"/>
    </row>
    <row r="8144" spans="5:6">
      <c r="E8144" s="1"/>
      <c r="F8144" s="1"/>
    </row>
    <row r="8145" spans="5:6">
      <c r="E8145" s="1"/>
      <c r="F8145" s="1"/>
    </row>
    <row r="8146" spans="5:6">
      <c r="E8146" s="1"/>
      <c r="F8146" s="1"/>
    </row>
    <row r="8147" spans="5:6">
      <c r="E8147" s="1"/>
      <c r="F8147" s="1"/>
    </row>
    <row r="8148" spans="5:6">
      <c r="E8148" s="1"/>
      <c r="F8148" s="1"/>
    </row>
    <row r="8149" spans="5:6">
      <c r="E8149" s="1"/>
      <c r="F8149" s="1"/>
    </row>
    <row r="8150" spans="5:6">
      <c r="E8150" s="1"/>
      <c r="F8150" s="1"/>
    </row>
    <row r="8151" spans="5:6">
      <c r="E8151" s="1"/>
      <c r="F8151" s="1"/>
    </row>
    <row r="8152" spans="5:6">
      <c r="E8152" s="1"/>
      <c r="F8152" s="1"/>
    </row>
    <row r="8153" spans="5:6">
      <c r="E8153" s="1"/>
      <c r="F8153" s="1"/>
    </row>
    <row r="8154" spans="5:6">
      <c r="E8154" s="1"/>
      <c r="F8154" s="1"/>
    </row>
    <row r="8155" spans="5:6">
      <c r="E8155" s="1"/>
      <c r="F8155" s="1"/>
    </row>
    <row r="8156" spans="5:6">
      <c r="E8156" s="1"/>
      <c r="F8156" s="1"/>
    </row>
    <row r="8157" spans="5:6">
      <c r="E8157" s="1"/>
      <c r="F8157" s="1"/>
    </row>
    <row r="8158" spans="5:6">
      <c r="E8158" s="1"/>
      <c r="F8158" s="1"/>
    </row>
    <row r="8159" spans="5:6">
      <c r="E8159" s="1"/>
      <c r="F8159" s="1"/>
    </row>
    <row r="8160" spans="5:6">
      <c r="E8160" s="1"/>
      <c r="F8160" s="1"/>
    </row>
    <row r="8161" spans="5:6">
      <c r="E8161" s="1"/>
      <c r="F8161" s="1"/>
    </row>
    <row r="8162" spans="5:6">
      <c r="E8162" s="1"/>
      <c r="F8162" s="1"/>
    </row>
    <row r="8163" spans="5:6">
      <c r="E8163" s="1"/>
      <c r="F8163" s="1"/>
    </row>
    <row r="8164" spans="5:6">
      <c r="E8164" s="1"/>
      <c r="F8164" s="1"/>
    </row>
    <row r="8165" spans="5:6">
      <c r="E8165" s="1"/>
      <c r="F8165" s="1"/>
    </row>
    <row r="8166" spans="5:6">
      <c r="E8166" s="1"/>
      <c r="F8166" s="1"/>
    </row>
    <row r="8167" spans="5:6">
      <c r="E8167" s="1"/>
      <c r="F8167" s="1"/>
    </row>
    <row r="8168" spans="5:6">
      <c r="E8168" s="1"/>
      <c r="F8168" s="1"/>
    </row>
    <row r="8169" spans="5:6">
      <c r="E8169" s="1"/>
      <c r="F8169" s="1"/>
    </row>
    <row r="8170" spans="5:6">
      <c r="E8170" s="1"/>
      <c r="F8170" s="1"/>
    </row>
    <row r="8171" spans="5:6">
      <c r="E8171" s="1"/>
      <c r="F8171" s="1"/>
    </row>
    <row r="8172" spans="5:6">
      <c r="E8172" s="1"/>
      <c r="F8172" s="1"/>
    </row>
    <row r="8173" spans="5:6">
      <c r="E8173" s="1"/>
      <c r="F8173" s="1"/>
    </row>
    <row r="8174" spans="5:6">
      <c r="E8174" s="1"/>
      <c r="F8174" s="1"/>
    </row>
    <row r="8175" spans="5:6">
      <c r="E8175" s="1"/>
      <c r="F8175" s="1"/>
    </row>
    <row r="8176" spans="5:6">
      <c r="E8176" s="1"/>
      <c r="F8176" s="1"/>
    </row>
    <row r="8177" spans="5:6">
      <c r="E8177" s="1"/>
      <c r="F8177" s="1"/>
    </row>
    <row r="8178" spans="5:6">
      <c r="E8178" s="1"/>
      <c r="F8178" s="1"/>
    </row>
    <row r="8179" spans="5:6">
      <c r="E8179" s="1"/>
      <c r="F8179" s="1"/>
    </row>
    <row r="8180" spans="5:6">
      <c r="E8180" s="1"/>
      <c r="F8180" s="1"/>
    </row>
    <row r="8181" spans="5:6">
      <c r="E8181" s="1"/>
      <c r="F8181" s="1"/>
    </row>
    <row r="8182" spans="5:6">
      <c r="E8182" s="1"/>
      <c r="F8182" s="1"/>
    </row>
    <row r="8183" spans="5:6">
      <c r="E8183" s="1"/>
      <c r="F8183" s="1"/>
    </row>
    <row r="8184" spans="5:6">
      <c r="E8184" s="1"/>
      <c r="F8184" s="1"/>
    </row>
    <row r="8185" spans="5:6">
      <c r="E8185" s="1"/>
      <c r="F8185" s="1"/>
    </row>
    <row r="8186" spans="5:6">
      <c r="E8186" s="1"/>
      <c r="F8186" s="1"/>
    </row>
    <row r="8187" spans="5:6">
      <c r="E8187" s="1"/>
      <c r="F8187" s="1"/>
    </row>
    <row r="8188" spans="5:6">
      <c r="E8188" s="1"/>
      <c r="F8188" s="1"/>
    </row>
    <row r="8189" spans="5:6">
      <c r="E8189" s="1"/>
      <c r="F8189" s="1"/>
    </row>
    <row r="8190" spans="5:6">
      <c r="E8190" s="1"/>
      <c r="F8190" s="1"/>
    </row>
    <row r="8191" spans="5:6">
      <c r="E8191" s="1"/>
      <c r="F8191" s="1"/>
    </row>
    <row r="8192" spans="5:6">
      <c r="E8192" s="1"/>
      <c r="F8192" s="1"/>
    </row>
    <row r="8193" spans="5:6">
      <c r="E8193" s="1"/>
      <c r="F8193" s="1"/>
    </row>
    <row r="8194" spans="5:6">
      <c r="E8194" s="1"/>
      <c r="F8194" s="1"/>
    </row>
    <row r="8195" spans="5:6">
      <c r="E8195" s="1"/>
      <c r="F8195" s="1"/>
    </row>
    <row r="8196" spans="5:6">
      <c r="E8196" s="1"/>
      <c r="F8196" s="1"/>
    </row>
    <row r="8197" spans="5:6">
      <c r="E8197" s="1"/>
      <c r="F8197" s="1"/>
    </row>
    <row r="8198" spans="5:6">
      <c r="E8198" s="1"/>
      <c r="F8198" s="1"/>
    </row>
    <row r="8199" spans="5:6">
      <c r="E8199" s="1"/>
      <c r="F8199" s="1"/>
    </row>
    <row r="8200" spans="5:6">
      <c r="E8200" s="1"/>
      <c r="F8200" s="1"/>
    </row>
    <row r="8201" spans="5:6">
      <c r="E8201" s="1"/>
      <c r="F8201" s="1"/>
    </row>
    <row r="8202" spans="5:6">
      <c r="E8202" s="1"/>
      <c r="F8202" s="1"/>
    </row>
    <row r="8203" spans="5:6">
      <c r="E8203" s="1"/>
      <c r="F8203" s="1"/>
    </row>
    <row r="8204" spans="5:6">
      <c r="E8204" s="1"/>
      <c r="F8204" s="1"/>
    </row>
    <row r="8205" spans="5:6">
      <c r="E8205" s="1"/>
      <c r="F8205" s="1"/>
    </row>
    <row r="8206" spans="5:6">
      <c r="E8206" s="1"/>
      <c r="F8206" s="1"/>
    </row>
    <row r="8207" spans="5:6">
      <c r="E8207" s="1"/>
      <c r="F8207" s="1"/>
    </row>
    <row r="8208" spans="5:6">
      <c r="E8208" s="1"/>
      <c r="F8208" s="1"/>
    </row>
    <row r="8209" spans="5:6">
      <c r="E8209" s="1"/>
      <c r="F8209" s="1"/>
    </row>
    <row r="8210" spans="5:6">
      <c r="E8210" s="1"/>
      <c r="F8210" s="1"/>
    </row>
    <row r="8211" spans="5:6">
      <c r="E8211" s="1"/>
      <c r="F8211" s="1"/>
    </row>
    <row r="8212" spans="5:6">
      <c r="E8212" s="1"/>
      <c r="F8212" s="1"/>
    </row>
    <row r="8213" spans="5:6">
      <c r="E8213" s="1"/>
      <c r="F8213" s="1"/>
    </row>
    <row r="8214" spans="5:6">
      <c r="E8214" s="1"/>
      <c r="F8214" s="1"/>
    </row>
    <row r="8215" spans="5:6">
      <c r="E8215" s="1"/>
      <c r="F8215" s="1"/>
    </row>
    <row r="8216" spans="5:6">
      <c r="E8216" s="1"/>
      <c r="F8216" s="1"/>
    </row>
    <row r="8217" spans="5:6">
      <c r="E8217" s="1"/>
      <c r="F8217" s="1"/>
    </row>
    <row r="8218" spans="5:6">
      <c r="E8218" s="1"/>
      <c r="F8218" s="1"/>
    </row>
    <row r="8219" spans="5:6">
      <c r="E8219" s="1"/>
      <c r="F8219" s="1"/>
    </row>
    <row r="8220" spans="5:6">
      <c r="E8220" s="1"/>
      <c r="F8220" s="1"/>
    </row>
    <row r="8221" spans="5:6">
      <c r="E8221" s="1"/>
      <c r="F8221" s="1"/>
    </row>
    <row r="8222" spans="5:6">
      <c r="E8222" s="1"/>
      <c r="F8222" s="1"/>
    </row>
    <row r="8223" spans="5:6">
      <c r="E8223" s="1"/>
      <c r="F8223" s="1"/>
    </row>
    <row r="8224" spans="5:6">
      <c r="E8224" s="1"/>
      <c r="F8224" s="1"/>
    </row>
    <row r="8225" spans="5:6">
      <c r="E8225" s="1"/>
      <c r="F8225" s="1"/>
    </row>
    <row r="8226" spans="5:6">
      <c r="E8226" s="1"/>
      <c r="F8226" s="1"/>
    </row>
    <row r="8227" spans="5:6">
      <c r="E8227" s="1"/>
      <c r="F8227" s="1"/>
    </row>
    <row r="8228" spans="5:6">
      <c r="E8228" s="1"/>
      <c r="F8228" s="1"/>
    </row>
    <row r="8229" spans="5:6">
      <c r="E8229" s="1"/>
      <c r="F8229" s="1"/>
    </row>
    <row r="8230" spans="5:6">
      <c r="E8230" s="1"/>
      <c r="F8230" s="1"/>
    </row>
    <row r="8231" spans="5:6">
      <c r="E8231" s="1"/>
      <c r="F8231" s="1"/>
    </row>
    <row r="8232" spans="5:6">
      <c r="E8232" s="1"/>
      <c r="F8232" s="1"/>
    </row>
    <row r="8233" spans="5:6">
      <c r="E8233" s="1"/>
      <c r="F8233" s="1"/>
    </row>
    <row r="8234" spans="5:6">
      <c r="E8234" s="1"/>
      <c r="F8234" s="1"/>
    </row>
    <row r="8235" spans="5:6">
      <c r="E8235" s="1"/>
      <c r="F8235" s="1"/>
    </row>
    <row r="8236" spans="5:6">
      <c r="E8236" s="1"/>
      <c r="F8236" s="1"/>
    </row>
    <row r="8237" spans="5:6">
      <c r="E8237" s="1"/>
      <c r="F8237" s="1"/>
    </row>
    <row r="8238" spans="5:6">
      <c r="E8238" s="1"/>
      <c r="F8238" s="1"/>
    </row>
    <row r="8239" spans="5:6">
      <c r="E8239" s="1"/>
      <c r="F8239" s="1"/>
    </row>
    <row r="8240" spans="5:6">
      <c r="E8240" s="1"/>
      <c r="F8240" s="1"/>
    </row>
    <row r="8241" spans="5:6">
      <c r="E8241" s="1"/>
      <c r="F8241" s="1"/>
    </row>
    <row r="8242" spans="5:6">
      <c r="E8242" s="1"/>
      <c r="F8242" s="1"/>
    </row>
    <row r="8243" spans="5:6">
      <c r="E8243" s="1"/>
      <c r="F8243" s="1"/>
    </row>
    <row r="8244" spans="5:6">
      <c r="E8244" s="1"/>
      <c r="F8244" s="1"/>
    </row>
    <row r="8245" spans="5:6">
      <c r="E8245" s="1"/>
      <c r="F8245" s="1"/>
    </row>
    <row r="8246" spans="5:6">
      <c r="E8246" s="1"/>
      <c r="F8246" s="1"/>
    </row>
    <row r="8247" spans="5:6">
      <c r="E8247" s="1"/>
      <c r="F8247" s="1"/>
    </row>
    <row r="8248" spans="5:6">
      <c r="E8248" s="1"/>
      <c r="F8248" s="1"/>
    </row>
    <row r="8249" spans="5:6">
      <c r="E8249" s="1"/>
      <c r="F8249" s="1"/>
    </row>
    <row r="8250" spans="5:6">
      <c r="E8250" s="1"/>
      <c r="F8250" s="1"/>
    </row>
    <row r="8251" spans="5:6">
      <c r="E8251" s="1"/>
      <c r="F8251" s="1"/>
    </row>
    <row r="8252" spans="5:6">
      <c r="E8252" s="1"/>
      <c r="F8252" s="1"/>
    </row>
    <row r="8253" spans="5:6">
      <c r="E8253" s="1"/>
      <c r="F8253" s="1"/>
    </row>
    <row r="8254" spans="5:6">
      <c r="E8254" s="1"/>
      <c r="F8254" s="1"/>
    </row>
    <row r="8255" spans="5:6">
      <c r="E8255" s="1"/>
      <c r="F8255" s="1"/>
    </row>
    <row r="8256" spans="5:6">
      <c r="E8256" s="1"/>
      <c r="F8256" s="1"/>
    </row>
    <row r="8257" spans="5:6">
      <c r="E8257" s="1"/>
      <c r="F8257" s="1"/>
    </row>
    <row r="8258" spans="5:6">
      <c r="E8258" s="1"/>
      <c r="F8258" s="1"/>
    </row>
    <row r="8259" spans="5:6">
      <c r="E8259" s="1"/>
      <c r="F8259" s="1"/>
    </row>
    <row r="8260" spans="5:6">
      <c r="E8260" s="1"/>
      <c r="F8260" s="1"/>
    </row>
    <row r="8261" spans="5:6">
      <c r="E8261" s="1"/>
      <c r="F8261" s="1"/>
    </row>
    <row r="8262" spans="5:6">
      <c r="E8262" s="1"/>
      <c r="F8262" s="1"/>
    </row>
    <row r="8263" spans="5:6">
      <c r="E8263" s="1"/>
      <c r="F8263" s="1"/>
    </row>
    <row r="8264" spans="5:6">
      <c r="E8264" s="1"/>
      <c r="F8264" s="1"/>
    </row>
    <row r="8265" spans="5:6">
      <c r="E8265" s="1"/>
      <c r="F8265" s="1"/>
    </row>
    <row r="8266" spans="5:6">
      <c r="E8266" s="1"/>
      <c r="F8266" s="1"/>
    </row>
    <row r="8267" spans="5:6">
      <c r="E8267" s="1"/>
      <c r="F8267" s="1"/>
    </row>
    <row r="8268" spans="5:6">
      <c r="E8268" s="1"/>
      <c r="F8268" s="1"/>
    </row>
    <row r="8269" spans="5:6">
      <c r="E8269" s="1"/>
      <c r="F8269" s="1"/>
    </row>
    <row r="8270" spans="5:6">
      <c r="E8270" s="1"/>
      <c r="F8270" s="1"/>
    </row>
    <row r="8271" spans="5:6">
      <c r="E8271" s="1"/>
      <c r="F8271" s="1"/>
    </row>
    <row r="8272" spans="5:6">
      <c r="E8272" s="1"/>
      <c r="F8272" s="1"/>
    </row>
    <row r="8273" spans="5:6">
      <c r="E8273" s="1"/>
      <c r="F8273" s="1"/>
    </row>
    <row r="8274" spans="5:6">
      <c r="E8274" s="1"/>
      <c r="F8274" s="1"/>
    </row>
    <row r="8275" spans="5:6">
      <c r="E8275" s="1"/>
      <c r="F8275" s="1"/>
    </row>
    <row r="8276" spans="5:6">
      <c r="E8276" s="1"/>
      <c r="F8276" s="1"/>
    </row>
    <row r="8277" spans="5:6">
      <c r="E8277" s="1"/>
      <c r="F8277" s="1"/>
    </row>
    <row r="8278" spans="5:6">
      <c r="E8278" s="1"/>
      <c r="F8278" s="1"/>
    </row>
    <row r="8279" spans="5:6">
      <c r="E8279" s="1"/>
      <c r="F8279" s="1"/>
    </row>
    <row r="8280" spans="5:6">
      <c r="E8280" s="1"/>
      <c r="F8280" s="1"/>
    </row>
    <row r="8281" spans="5:6">
      <c r="E8281" s="1"/>
      <c r="F8281" s="1"/>
    </row>
    <row r="8282" spans="5:6">
      <c r="E8282" s="1"/>
      <c r="F8282" s="1"/>
    </row>
    <row r="8283" spans="5:6">
      <c r="E8283" s="1"/>
      <c r="F8283" s="1"/>
    </row>
    <row r="8284" spans="5:6">
      <c r="E8284" s="1"/>
      <c r="F8284" s="1"/>
    </row>
    <row r="8285" spans="5:6">
      <c r="E8285" s="1"/>
      <c r="F8285" s="1"/>
    </row>
    <row r="8286" spans="5:6">
      <c r="E8286" s="1"/>
      <c r="F8286" s="1"/>
    </row>
    <row r="8287" spans="5:6">
      <c r="E8287" s="1"/>
      <c r="F8287" s="1"/>
    </row>
    <row r="8288" spans="5:6">
      <c r="E8288" s="1"/>
      <c r="F8288" s="1"/>
    </row>
    <row r="8289" spans="5:6">
      <c r="E8289" s="1"/>
      <c r="F8289" s="1"/>
    </row>
    <row r="8290" spans="5:6">
      <c r="E8290" s="1"/>
      <c r="F8290" s="1"/>
    </row>
    <row r="8291" spans="5:6">
      <c r="E8291" s="1"/>
      <c r="F8291" s="1"/>
    </row>
    <row r="8292" spans="5:6">
      <c r="E8292" s="1"/>
      <c r="F8292" s="1"/>
    </row>
    <row r="8293" spans="5:6">
      <c r="E8293" s="1"/>
      <c r="F8293" s="1"/>
    </row>
    <row r="8294" spans="5:6">
      <c r="E8294" s="1"/>
      <c r="F8294" s="1"/>
    </row>
    <row r="8295" spans="5:6">
      <c r="E8295" s="1"/>
      <c r="F8295" s="1"/>
    </row>
    <row r="8296" spans="5:6">
      <c r="E8296" s="1"/>
      <c r="F8296" s="1"/>
    </row>
    <row r="8297" spans="5:6">
      <c r="E8297" s="1"/>
      <c r="F8297" s="1"/>
    </row>
    <row r="8298" spans="5:6">
      <c r="E8298" s="1"/>
      <c r="F8298" s="1"/>
    </row>
    <row r="8299" spans="5:6">
      <c r="E8299" s="1"/>
      <c r="F8299" s="1"/>
    </row>
    <row r="8300" spans="5:6">
      <c r="E8300" s="1"/>
      <c r="F8300" s="1"/>
    </row>
    <row r="8301" spans="5:6">
      <c r="E8301" s="1"/>
      <c r="F8301" s="1"/>
    </row>
    <row r="8302" spans="5:6">
      <c r="E8302" s="1"/>
      <c r="F8302" s="1"/>
    </row>
    <row r="8303" spans="5:6">
      <c r="E8303" s="1"/>
      <c r="F8303" s="1"/>
    </row>
    <row r="8304" spans="5:6">
      <c r="E8304" s="1"/>
      <c r="F8304" s="1"/>
    </row>
    <row r="8305" spans="5:6">
      <c r="E8305" s="1"/>
      <c r="F8305" s="1"/>
    </row>
    <row r="8306" spans="5:6">
      <c r="E8306" s="1"/>
      <c r="F8306" s="1"/>
    </row>
    <row r="8307" spans="5:6">
      <c r="E8307" s="1"/>
      <c r="F8307" s="1"/>
    </row>
    <row r="8308" spans="5:6">
      <c r="E8308" s="1"/>
      <c r="F8308" s="1"/>
    </row>
    <row r="8309" spans="5:6">
      <c r="E8309" s="1"/>
      <c r="F8309" s="1"/>
    </row>
    <row r="8310" spans="5:6">
      <c r="E8310" s="1"/>
      <c r="F8310" s="1"/>
    </row>
    <row r="8311" spans="5:6">
      <c r="E8311" s="1"/>
      <c r="F8311" s="1"/>
    </row>
    <row r="8312" spans="5:6">
      <c r="E8312" s="1"/>
      <c r="F8312" s="1"/>
    </row>
    <row r="8313" spans="5:6">
      <c r="E8313" s="1"/>
      <c r="F8313" s="1"/>
    </row>
    <row r="8314" spans="5:6">
      <c r="E8314" s="1"/>
      <c r="F8314" s="1"/>
    </row>
    <row r="8315" spans="5:6">
      <c r="E8315" s="1"/>
      <c r="F8315" s="1"/>
    </row>
    <row r="8316" spans="5:6">
      <c r="E8316" s="1"/>
      <c r="F8316" s="1"/>
    </row>
    <row r="8317" spans="5:6">
      <c r="E8317" s="1"/>
      <c r="F8317" s="1"/>
    </row>
    <row r="8318" spans="5:6">
      <c r="E8318" s="1"/>
      <c r="F8318" s="1"/>
    </row>
    <row r="8319" spans="5:6">
      <c r="E8319" s="1"/>
      <c r="F8319" s="1"/>
    </row>
    <row r="8320" spans="5:6">
      <c r="E8320" s="1"/>
      <c r="F8320" s="1"/>
    </row>
    <row r="8321" spans="5:6">
      <c r="E8321" s="1"/>
      <c r="F8321" s="1"/>
    </row>
    <row r="8322" spans="5:6">
      <c r="E8322" s="1"/>
      <c r="F8322" s="1"/>
    </row>
    <row r="8323" spans="5:6">
      <c r="E8323" s="1"/>
      <c r="F8323" s="1"/>
    </row>
    <row r="8324" spans="5:6">
      <c r="E8324" s="1"/>
      <c r="F8324" s="1"/>
    </row>
    <row r="8325" spans="5:6">
      <c r="E8325" s="1"/>
      <c r="F8325" s="1"/>
    </row>
    <row r="8326" spans="5:6">
      <c r="E8326" s="1"/>
      <c r="F8326" s="1"/>
    </row>
    <row r="8327" spans="5:6">
      <c r="E8327" s="1"/>
      <c r="F8327" s="1"/>
    </row>
    <row r="8328" spans="5:6">
      <c r="E8328" s="1"/>
      <c r="F8328" s="1"/>
    </row>
    <row r="8329" spans="5:6">
      <c r="E8329" s="1"/>
      <c r="F8329" s="1"/>
    </row>
    <row r="8330" spans="5:6">
      <c r="E8330" s="1"/>
      <c r="F8330" s="1"/>
    </row>
    <row r="8331" spans="5:6">
      <c r="E8331" s="1"/>
      <c r="F8331" s="1"/>
    </row>
    <row r="8332" spans="5:6">
      <c r="E8332" s="1"/>
      <c r="F8332" s="1"/>
    </row>
    <row r="8333" spans="5:6">
      <c r="E8333" s="1"/>
      <c r="F8333" s="1"/>
    </row>
    <row r="8334" spans="5:6">
      <c r="E8334" s="1"/>
      <c r="F8334" s="1"/>
    </row>
    <row r="8335" spans="5:6">
      <c r="E8335" s="1"/>
      <c r="F8335" s="1"/>
    </row>
    <row r="8336" spans="5:6">
      <c r="E8336" s="1"/>
      <c r="F8336" s="1"/>
    </row>
    <row r="8337" spans="5:6">
      <c r="E8337" s="1"/>
      <c r="F8337" s="1"/>
    </row>
    <row r="8338" spans="5:6">
      <c r="E8338" s="1"/>
      <c r="F8338" s="1"/>
    </row>
    <row r="8339" spans="5:6">
      <c r="E8339" s="1"/>
      <c r="F8339" s="1"/>
    </row>
    <row r="8340" spans="5:6">
      <c r="E8340" s="1"/>
      <c r="F8340" s="1"/>
    </row>
    <row r="8341" spans="5:6">
      <c r="E8341" s="1"/>
      <c r="F8341" s="1"/>
    </row>
    <row r="8342" spans="5:6">
      <c r="E8342" s="1"/>
      <c r="F8342" s="1"/>
    </row>
    <row r="8343" spans="5:6">
      <c r="E8343" s="1"/>
      <c r="F8343" s="1"/>
    </row>
    <row r="8344" spans="5:6">
      <c r="E8344" s="1"/>
      <c r="F8344" s="1"/>
    </row>
    <row r="8345" spans="5:6">
      <c r="E8345" s="1"/>
      <c r="F8345" s="1"/>
    </row>
    <row r="8346" spans="5:6">
      <c r="E8346" s="1"/>
      <c r="F8346" s="1"/>
    </row>
    <row r="8347" spans="5:6">
      <c r="E8347" s="1"/>
      <c r="F8347" s="1"/>
    </row>
    <row r="8348" spans="5:6">
      <c r="E8348" s="1"/>
      <c r="F8348" s="1"/>
    </row>
    <row r="8349" spans="5:6">
      <c r="E8349" s="1"/>
      <c r="F8349" s="1"/>
    </row>
    <row r="8350" spans="5:6">
      <c r="E8350" s="1"/>
      <c r="F8350" s="1"/>
    </row>
    <row r="8351" spans="5:6">
      <c r="E8351" s="1"/>
      <c r="F8351" s="1"/>
    </row>
    <row r="8352" spans="5:6">
      <c r="E8352" s="1"/>
      <c r="F8352" s="1"/>
    </row>
    <row r="8353" spans="5:6">
      <c r="E8353" s="1"/>
      <c r="F8353" s="1"/>
    </row>
    <row r="8354" spans="5:6">
      <c r="E8354" s="1"/>
      <c r="F8354" s="1"/>
    </row>
    <row r="8355" spans="5:6">
      <c r="E8355" s="1"/>
      <c r="F8355" s="1"/>
    </row>
    <row r="8356" spans="5:6">
      <c r="E8356" s="1"/>
      <c r="F8356" s="1"/>
    </row>
    <row r="8357" spans="5:6">
      <c r="E8357" s="1"/>
      <c r="F8357" s="1"/>
    </row>
    <row r="8358" spans="5:6">
      <c r="E8358" s="1"/>
      <c r="F8358" s="1"/>
    </row>
    <row r="8359" spans="5:6">
      <c r="E8359" s="1"/>
      <c r="F8359" s="1"/>
    </row>
    <row r="8360" spans="5:6">
      <c r="E8360" s="1"/>
      <c r="F8360" s="1"/>
    </row>
    <row r="8361" spans="5:6">
      <c r="E8361" s="1"/>
      <c r="F8361" s="1"/>
    </row>
    <row r="8362" spans="5:6">
      <c r="E8362" s="1"/>
      <c r="F8362" s="1"/>
    </row>
    <row r="8363" spans="5:6">
      <c r="E8363" s="1"/>
      <c r="F8363" s="1"/>
    </row>
    <row r="8364" spans="5:6">
      <c r="E8364" s="1"/>
      <c r="F8364" s="1"/>
    </row>
    <row r="8365" spans="5:6">
      <c r="E8365" s="1"/>
      <c r="F8365" s="1"/>
    </row>
    <row r="8366" spans="5:6">
      <c r="E8366" s="1"/>
      <c r="F8366" s="1"/>
    </row>
    <row r="8367" spans="5:6">
      <c r="E8367" s="1"/>
      <c r="F8367" s="1"/>
    </row>
    <row r="8368" spans="5:6">
      <c r="E8368" s="1"/>
      <c r="F8368" s="1"/>
    </row>
    <row r="8369" spans="5:6">
      <c r="E8369" s="1"/>
      <c r="F8369" s="1"/>
    </row>
    <row r="8370" spans="5:6">
      <c r="E8370" s="1"/>
      <c r="F8370" s="1"/>
    </row>
    <row r="8371" spans="5:6">
      <c r="E8371" s="1"/>
      <c r="F8371" s="1"/>
    </row>
    <row r="8372" spans="5:6">
      <c r="E8372" s="1"/>
      <c r="F8372" s="1"/>
    </row>
    <row r="8373" spans="5:6">
      <c r="E8373" s="1"/>
      <c r="F8373" s="1"/>
    </row>
    <row r="8374" spans="5:6">
      <c r="E8374" s="1"/>
      <c r="F8374" s="1"/>
    </row>
    <row r="8375" spans="5:6">
      <c r="E8375" s="1"/>
      <c r="F8375" s="1"/>
    </row>
    <row r="8376" spans="5:6">
      <c r="E8376" s="1"/>
      <c r="F8376" s="1"/>
    </row>
    <row r="8377" spans="5:6">
      <c r="E8377" s="1"/>
      <c r="F8377" s="1"/>
    </row>
    <row r="8378" spans="5:6">
      <c r="E8378" s="1"/>
      <c r="F8378" s="1"/>
    </row>
    <row r="8379" spans="5:6">
      <c r="E8379" s="1"/>
      <c r="F8379" s="1"/>
    </row>
    <row r="8380" spans="5:6">
      <c r="E8380" s="1"/>
      <c r="F8380" s="1"/>
    </row>
    <row r="8381" spans="5:6">
      <c r="E8381" s="1"/>
      <c r="F8381" s="1"/>
    </row>
    <row r="8382" spans="5:6">
      <c r="E8382" s="1"/>
      <c r="F8382" s="1"/>
    </row>
    <row r="8383" spans="5:6">
      <c r="E8383" s="1"/>
      <c r="F8383" s="1"/>
    </row>
    <row r="8384" spans="5:6">
      <c r="E8384" s="1"/>
      <c r="F8384" s="1"/>
    </row>
    <row r="8385" spans="5:6">
      <c r="E8385" s="1"/>
      <c r="F8385" s="1"/>
    </row>
    <row r="8386" spans="5:6">
      <c r="E8386" s="1"/>
      <c r="F8386" s="1"/>
    </row>
    <row r="8387" spans="5:6">
      <c r="E8387" s="1"/>
      <c r="F8387" s="1"/>
    </row>
    <row r="8388" spans="5:6">
      <c r="E8388" s="1"/>
      <c r="F8388" s="1"/>
    </row>
    <row r="8389" spans="5:6">
      <c r="E8389" s="1"/>
      <c r="F8389" s="1"/>
    </row>
    <row r="8390" spans="5:6">
      <c r="E8390" s="1"/>
      <c r="F8390" s="1"/>
    </row>
    <row r="8391" spans="5:6">
      <c r="E8391" s="1"/>
      <c r="F8391" s="1"/>
    </row>
    <row r="8392" spans="5:6">
      <c r="E8392" s="1"/>
      <c r="F8392" s="1"/>
    </row>
    <row r="8393" spans="5:6">
      <c r="E8393" s="1"/>
      <c r="F8393" s="1"/>
    </row>
    <row r="8394" spans="5:6">
      <c r="E8394" s="1"/>
      <c r="F8394" s="1"/>
    </row>
    <row r="8395" spans="5:6">
      <c r="E8395" s="1"/>
      <c r="F8395" s="1"/>
    </row>
    <row r="8396" spans="5:6">
      <c r="E8396" s="1"/>
      <c r="F8396" s="1"/>
    </row>
    <row r="8397" spans="5:6">
      <c r="E8397" s="1"/>
      <c r="F8397" s="1"/>
    </row>
    <row r="8398" spans="5:6">
      <c r="E8398" s="1"/>
      <c r="F8398" s="1"/>
    </row>
    <row r="8399" spans="5:6">
      <c r="E8399" s="1"/>
      <c r="F8399" s="1"/>
    </row>
    <row r="8400" spans="5:6">
      <c r="E8400" s="1"/>
      <c r="F8400" s="1"/>
    </row>
    <row r="8401" spans="5:6">
      <c r="E8401" s="1"/>
      <c r="F8401" s="1"/>
    </row>
    <row r="8402" spans="5:6">
      <c r="E8402" s="1"/>
      <c r="F8402" s="1"/>
    </row>
    <row r="8403" spans="5:6">
      <c r="E8403" s="1"/>
      <c r="F8403" s="1"/>
    </row>
    <row r="8404" spans="5:6">
      <c r="E8404" s="1"/>
      <c r="F8404" s="1"/>
    </row>
    <row r="8405" spans="5:6">
      <c r="E8405" s="1"/>
      <c r="F8405" s="1"/>
    </row>
    <row r="8406" spans="5:6">
      <c r="E8406" s="1"/>
      <c r="F8406" s="1"/>
    </row>
    <row r="8407" spans="5:6">
      <c r="E8407" s="1"/>
      <c r="F8407" s="1"/>
    </row>
    <row r="8408" spans="5:6">
      <c r="E8408" s="1"/>
      <c r="F8408" s="1"/>
    </row>
    <row r="8409" spans="5:6">
      <c r="E8409" s="1"/>
      <c r="F8409" s="1"/>
    </row>
    <row r="8410" spans="5:6">
      <c r="E8410" s="1"/>
      <c r="F8410" s="1"/>
    </row>
    <row r="8411" spans="5:6">
      <c r="E8411" s="1"/>
      <c r="F8411" s="1"/>
    </row>
    <row r="8412" spans="5:6">
      <c r="E8412" s="1"/>
      <c r="F8412" s="1"/>
    </row>
    <row r="8413" spans="5:6">
      <c r="E8413" s="1"/>
      <c r="F8413" s="1"/>
    </row>
    <row r="8414" spans="5:6">
      <c r="E8414" s="1"/>
      <c r="F8414" s="1"/>
    </row>
    <row r="8415" spans="5:6">
      <c r="E8415" s="1"/>
      <c r="F8415" s="1"/>
    </row>
    <row r="8416" spans="5:6">
      <c r="E8416" s="1"/>
      <c r="F8416" s="1"/>
    </row>
    <row r="8417" spans="5:6">
      <c r="E8417" s="1"/>
      <c r="F8417" s="1"/>
    </row>
    <row r="8418" spans="5:6">
      <c r="E8418" s="1"/>
      <c r="F8418" s="1"/>
    </row>
    <row r="8419" spans="5:6">
      <c r="E8419" s="1"/>
      <c r="F8419" s="1"/>
    </row>
    <row r="8420" spans="5:6">
      <c r="E8420" s="1"/>
      <c r="F8420" s="1"/>
    </row>
    <row r="8421" spans="5:6">
      <c r="E8421" s="1"/>
      <c r="F8421" s="1"/>
    </row>
    <row r="8422" spans="5:6">
      <c r="E8422" s="1"/>
      <c r="F8422" s="1"/>
    </row>
    <row r="8423" spans="5:6">
      <c r="E8423" s="1"/>
      <c r="F8423" s="1"/>
    </row>
    <row r="8424" spans="5:6">
      <c r="E8424" s="1"/>
      <c r="F8424" s="1"/>
    </row>
    <row r="8425" spans="5:6">
      <c r="E8425" s="1"/>
      <c r="F8425" s="1"/>
    </row>
    <row r="8426" spans="5:6">
      <c r="E8426" s="1"/>
      <c r="F8426" s="1"/>
    </row>
    <row r="8427" spans="5:6">
      <c r="E8427" s="1"/>
      <c r="F8427" s="1"/>
    </row>
    <row r="8428" spans="5:6">
      <c r="E8428" s="1"/>
      <c r="F8428" s="1"/>
    </row>
    <row r="8429" spans="5:6">
      <c r="E8429" s="1"/>
      <c r="F8429" s="1"/>
    </row>
    <row r="8430" spans="5:6">
      <c r="E8430" s="1"/>
      <c r="F8430" s="1"/>
    </row>
    <row r="8431" spans="5:6">
      <c r="E8431" s="1"/>
      <c r="F8431" s="1"/>
    </row>
    <row r="8432" spans="5:6">
      <c r="E8432" s="1"/>
      <c r="F8432" s="1"/>
    </row>
    <row r="8433" spans="5:6">
      <c r="E8433" s="1"/>
      <c r="F8433" s="1"/>
    </row>
    <row r="8434" spans="5:6">
      <c r="E8434" s="1"/>
      <c r="F8434" s="1"/>
    </row>
    <row r="8435" spans="5:6">
      <c r="E8435" s="1"/>
      <c r="F8435" s="1"/>
    </row>
    <row r="8436" spans="5:6">
      <c r="E8436" s="1"/>
      <c r="F8436" s="1"/>
    </row>
    <row r="8437" spans="5:6">
      <c r="E8437" s="1"/>
      <c r="F8437" s="1"/>
    </row>
    <row r="8438" spans="5:6">
      <c r="E8438" s="1"/>
      <c r="F8438" s="1"/>
    </row>
    <row r="8439" spans="5:6">
      <c r="E8439" s="1"/>
      <c r="F8439" s="1"/>
    </row>
    <row r="8440" spans="5:6">
      <c r="E8440" s="1"/>
      <c r="F8440" s="1"/>
    </row>
    <row r="8441" spans="5:6">
      <c r="E8441" s="1"/>
      <c r="F8441" s="1"/>
    </row>
    <row r="8442" spans="5:6">
      <c r="E8442" s="1"/>
      <c r="F8442" s="1"/>
    </row>
    <row r="8443" spans="5:6">
      <c r="E8443" s="1"/>
      <c r="F8443" s="1"/>
    </row>
    <row r="8444" spans="5:6">
      <c r="E8444" s="1"/>
      <c r="F8444" s="1"/>
    </row>
    <row r="8445" spans="5:6">
      <c r="E8445" s="1"/>
      <c r="F8445" s="1"/>
    </row>
    <row r="8446" spans="5:6">
      <c r="E8446" s="1"/>
      <c r="F8446" s="1"/>
    </row>
    <row r="8447" spans="5:6">
      <c r="E8447" s="1"/>
      <c r="F8447" s="1"/>
    </row>
    <row r="8448" spans="5:6">
      <c r="E8448" s="1"/>
      <c r="F8448" s="1"/>
    </row>
    <row r="8449" spans="5:6">
      <c r="E8449" s="1"/>
      <c r="F8449" s="1"/>
    </row>
    <row r="8450" spans="5:6">
      <c r="E8450" s="1"/>
      <c r="F8450" s="1"/>
    </row>
    <row r="8451" spans="5:6">
      <c r="E8451" s="1"/>
      <c r="F8451" s="1"/>
    </row>
    <row r="8452" spans="5:6">
      <c r="E8452" s="1"/>
      <c r="F8452" s="1"/>
    </row>
    <row r="8453" spans="5:6">
      <c r="E8453" s="1"/>
      <c r="F8453" s="1"/>
    </row>
    <row r="8454" spans="5:6">
      <c r="E8454" s="1"/>
      <c r="F8454" s="1"/>
    </row>
    <row r="8455" spans="5:6">
      <c r="E8455" s="1"/>
      <c r="F8455" s="1"/>
    </row>
    <row r="8456" spans="5:6">
      <c r="E8456" s="1"/>
      <c r="F8456" s="1"/>
    </row>
    <row r="8457" spans="5:6">
      <c r="E8457" s="1"/>
      <c r="F8457" s="1"/>
    </row>
    <row r="8458" spans="5:6">
      <c r="E8458" s="1"/>
      <c r="F8458" s="1"/>
    </row>
    <row r="8459" spans="5:6">
      <c r="E8459" s="1"/>
      <c r="F8459" s="1"/>
    </row>
    <row r="8460" spans="5:6">
      <c r="E8460" s="1"/>
      <c r="F8460" s="1"/>
    </row>
    <row r="8461" spans="5:6">
      <c r="E8461" s="1"/>
      <c r="F8461" s="1"/>
    </row>
    <row r="8462" spans="5:6">
      <c r="E8462" s="1"/>
      <c r="F8462" s="1"/>
    </row>
    <row r="8463" spans="5:6">
      <c r="E8463" s="1"/>
      <c r="F8463" s="1"/>
    </row>
    <row r="8464" spans="5:6">
      <c r="E8464" s="1"/>
      <c r="F8464" s="1"/>
    </row>
    <row r="8465" spans="5:6">
      <c r="E8465" s="1"/>
      <c r="F8465" s="1"/>
    </row>
    <row r="8466" spans="5:6">
      <c r="E8466" s="1"/>
      <c r="F8466" s="1"/>
    </row>
    <row r="8467" spans="5:6">
      <c r="E8467" s="1"/>
      <c r="F8467" s="1"/>
    </row>
    <row r="8468" spans="5:6">
      <c r="E8468" s="1"/>
      <c r="F8468" s="1"/>
    </row>
    <row r="8469" spans="5:6">
      <c r="E8469" s="1"/>
      <c r="F8469" s="1"/>
    </row>
    <row r="8470" spans="5:6">
      <c r="E8470" s="1"/>
      <c r="F8470" s="1"/>
    </row>
    <row r="8471" spans="5:6">
      <c r="E8471" s="1"/>
      <c r="F8471" s="1"/>
    </row>
    <row r="8472" spans="5:6">
      <c r="E8472" s="1"/>
      <c r="F8472" s="1"/>
    </row>
    <row r="8473" spans="5:6">
      <c r="E8473" s="1"/>
      <c r="F8473" s="1"/>
    </row>
    <row r="8474" spans="5:6">
      <c r="E8474" s="1"/>
      <c r="F8474" s="1"/>
    </row>
    <row r="8475" spans="5:6">
      <c r="E8475" s="1"/>
      <c r="F8475" s="1"/>
    </row>
    <row r="8476" spans="5:6">
      <c r="E8476" s="1"/>
      <c r="F8476" s="1"/>
    </row>
    <row r="8477" spans="5:6">
      <c r="E8477" s="1"/>
      <c r="F8477" s="1"/>
    </row>
    <row r="8478" spans="5:6">
      <c r="E8478" s="1"/>
      <c r="F8478" s="1"/>
    </row>
    <row r="8479" spans="5:6">
      <c r="E8479" s="1"/>
      <c r="F8479" s="1"/>
    </row>
    <row r="8480" spans="5:6">
      <c r="E8480" s="1"/>
      <c r="F8480" s="1"/>
    </row>
    <row r="8481" spans="5:6">
      <c r="E8481" s="1"/>
      <c r="F8481" s="1"/>
    </row>
    <row r="8482" spans="5:6">
      <c r="E8482" s="1"/>
      <c r="F8482" s="1"/>
    </row>
    <row r="8483" spans="5:6">
      <c r="E8483" s="1"/>
      <c r="F8483" s="1"/>
    </row>
    <row r="8484" spans="5:6">
      <c r="E8484" s="1"/>
      <c r="F8484" s="1"/>
    </row>
    <row r="8485" spans="5:6">
      <c r="E8485" s="1"/>
      <c r="F8485" s="1"/>
    </row>
    <row r="8486" spans="5:6">
      <c r="E8486" s="1"/>
      <c r="F8486" s="1"/>
    </row>
    <row r="8487" spans="5:6">
      <c r="E8487" s="1"/>
      <c r="F8487" s="1"/>
    </row>
    <row r="8488" spans="5:6">
      <c r="E8488" s="1"/>
      <c r="F8488" s="1"/>
    </row>
    <row r="8489" spans="5:6">
      <c r="E8489" s="1"/>
      <c r="F8489" s="1"/>
    </row>
    <row r="8490" spans="5:6">
      <c r="E8490" s="1"/>
      <c r="F8490" s="1"/>
    </row>
    <row r="8491" spans="5:6">
      <c r="E8491" s="1"/>
      <c r="F8491" s="1"/>
    </row>
    <row r="8492" spans="5:6">
      <c r="E8492" s="1"/>
      <c r="F8492" s="1"/>
    </row>
    <row r="8493" spans="5:6">
      <c r="E8493" s="1"/>
      <c r="F8493" s="1"/>
    </row>
    <row r="8494" spans="5:6">
      <c r="E8494" s="1"/>
      <c r="F8494" s="1"/>
    </row>
    <row r="8495" spans="5:6">
      <c r="E8495" s="1"/>
      <c r="F8495" s="1"/>
    </row>
    <row r="8496" spans="5:6">
      <c r="E8496" s="1"/>
      <c r="F8496" s="1"/>
    </row>
    <row r="8497" spans="5:6">
      <c r="E8497" s="1"/>
      <c r="F8497" s="1"/>
    </row>
    <row r="8498" spans="5:6">
      <c r="E8498" s="1"/>
      <c r="F8498" s="1"/>
    </row>
    <row r="8499" spans="5:6">
      <c r="E8499" s="1"/>
      <c r="F8499" s="1"/>
    </row>
    <row r="8500" spans="5:6">
      <c r="E8500" s="1"/>
      <c r="F8500" s="1"/>
    </row>
    <row r="8501" spans="5:6">
      <c r="E8501" s="1"/>
      <c r="F8501" s="1"/>
    </row>
    <row r="8502" spans="5:6">
      <c r="E8502" s="1"/>
      <c r="F8502" s="1"/>
    </row>
    <row r="8503" spans="5:6">
      <c r="E8503" s="1"/>
      <c r="F8503" s="1"/>
    </row>
    <row r="8504" spans="5:6">
      <c r="E8504" s="1"/>
      <c r="F8504" s="1"/>
    </row>
    <row r="8505" spans="5:6">
      <c r="E8505" s="1"/>
      <c r="F8505" s="1"/>
    </row>
    <row r="8506" spans="5:6">
      <c r="E8506" s="1"/>
      <c r="F8506" s="1"/>
    </row>
    <row r="8507" spans="5:6">
      <c r="E8507" s="1"/>
      <c r="F8507" s="1"/>
    </row>
    <row r="8508" spans="5:6">
      <c r="E8508" s="1"/>
      <c r="F8508" s="1"/>
    </row>
    <row r="8509" spans="5:6">
      <c r="E8509" s="1"/>
      <c r="F8509" s="1"/>
    </row>
    <row r="8510" spans="5:6">
      <c r="E8510" s="1"/>
      <c r="F8510" s="1"/>
    </row>
    <row r="8511" spans="5:6">
      <c r="E8511" s="1"/>
      <c r="F8511" s="1"/>
    </row>
    <row r="8512" spans="5:6">
      <c r="E8512" s="1"/>
      <c r="F8512" s="1"/>
    </row>
    <row r="8513" spans="5:6">
      <c r="E8513" s="1"/>
      <c r="F8513" s="1"/>
    </row>
    <row r="8514" spans="5:6">
      <c r="E8514" s="1"/>
      <c r="F8514" s="1"/>
    </row>
    <row r="8515" spans="5:6">
      <c r="E8515" s="1"/>
      <c r="F8515" s="1"/>
    </row>
    <row r="8516" spans="5:6">
      <c r="E8516" s="1"/>
      <c r="F8516" s="1"/>
    </row>
    <row r="8517" spans="5:6">
      <c r="E8517" s="1"/>
      <c r="F8517" s="1"/>
    </row>
    <row r="8518" spans="5:6">
      <c r="E8518" s="1"/>
      <c r="F8518" s="1"/>
    </row>
    <row r="8519" spans="5:6">
      <c r="E8519" s="1"/>
      <c r="F8519" s="1"/>
    </row>
    <row r="8520" spans="5:6">
      <c r="E8520" s="1"/>
      <c r="F8520" s="1"/>
    </row>
    <row r="8521" spans="5:6">
      <c r="E8521" s="1"/>
      <c r="F8521" s="1"/>
    </row>
    <row r="8522" spans="5:6">
      <c r="E8522" s="1"/>
      <c r="F8522" s="1"/>
    </row>
    <row r="8523" spans="5:6">
      <c r="E8523" s="1"/>
      <c r="F8523" s="1"/>
    </row>
    <row r="8524" spans="5:6">
      <c r="E8524" s="1"/>
      <c r="F8524" s="1"/>
    </row>
    <row r="8525" spans="5:6">
      <c r="E8525" s="1"/>
      <c r="F8525" s="1"/>
    </row>
    <row r="8526" spans="5:6">
      <c r="E8526" s="1"/>
      <c r="F8526" s="1"/>
    </row>
    <row r="8527" spans="5:6">
      <c r="E8527" s="1"/>
      <c r="F8527" s="1"/>
    </row>
    <row r="8528" spans="5:6">
      <c r="E8528" s="1"/>
      <c r="F8528" s="1"/>
    </row>
    <row r="8529" spans="5:6">
      <c r="E8529" s="1"/>
      <c r="F8529" s="1"/>
    </row>
    <row r="8530" spans="5:6">
      <c r="E8530" s="1"/>
      <c r="F8530" s="1"/>
    </row>
    <row r="8531" spans="5:6">
      <c r="E8531" s="1"/>
      <c r="F8531" s="1"/>
    </row>
    <row r="8532" spans="5:6">
      <c r="E8532" s="1"/>
      <c r="F8532" s="1"/>
    </row>
    <row r="8533" spans="5:6">
      <c r="E8533" s="1"/>
      <c r="F8533" s="1"/>
    </row>
    <row r="8534" spans="5:6">
      <c r="E8534" s="1"/>
      <c r="F8534" s="1"/>
    </row>
    <row r="8535" spans="5:6">
      <c r="E8535" s="1"/>
      <c r="F8535" s="1"/>
    </row>
    <row r="8536" spans="5:6">
      <c r="E8536" s="1"/>
      <c r="F8536" s="1"/>
    </row>
    <row r="8537" spans="5:6">
      <c r="E8537" s="1"/>
      <c r="F8537" s="1"/>
    </row>
    <row r="8538" spans="5:6">
      <c r="E8538" s="1"/>
      <c r="F8538" s="1"/>
    </row>
    <row r="8539" spans="5:6">
      <c r="E8539" s="1"/>
      <c r="F8539" s="1"/>
    </row>
    <row r="8540" spans="5:6">
      <c r="E8540" s="1"/>
      <c r="F8540" s="1"/>
    </row>
    <row r="8541" spans="5:6">
      <c r="E8541" s="1"/>
      <c r="F8541" s="1"/>
    </row>
    <row r="8542" spans="5:6">
      <c r="E8542" s="1"/>
      <c r="F8542" s="1"/>
    </row>
    <row r="8543" spans="5:6">
      <c r="E8543" s="1"/>
      <c r="F8543" s="1"/>
    </row>
    <row r="8544" spans="5:6">
      <c r="E8544" s="1"/>
      <c r="F8544" s="1"/>
    </row>
    <row r="8545" spans="5:6">
      <c r="E8545" s="1"/>
      <c r="F8545" s="1"/>
    </row>
    <row r="8546" spans="5:6">
      <c r="E8546" s="1"/>
      <c r="F8546" s="1"/>
    </row>
    <row r="8547" spans="5:6">
      <c r="E8547" s="1"/>
      <c r="F8547" s="1"/>
    </row>
    <row r="8548" spans="5:6">
      <c r="E8548" s="1"/>
      <c r="F8548" s="1"/>
    </row>
    <row r="8549" spans="5:6">
      <c r="E8549" s="1"/>
      <c r="F8549" s="1"/>
    </row>
    <row r="8550" spans="5:6">
      <c r="E8550" s="1"/>
      <c r="F8550" s="1"/>
    </row>
    <row r="8551" spans="5:6">
      <c r="E8551" s="1"/>
      <c r="F8551" s="1"/>
    </row>
    <row r="8552" spans="5:6">
      <c r="E8552" s="1"/>
      <c r="F8552" s="1"/>
    </row>
    <row r="8553" spans="5:6">
      <c r="E8553" s="1"/>
      <c r="F8553" s="1"/>
    </row>
    <row r="8554" spans="5:6">
      <c r="E8554" s="1"/>
      <c r="F8554" s="1"/>
    </row>
    <row r="8555" spans="5:6">
      <c r="E8555" s="1"/>
      <c r="F8555" s="1"/>
    </row>
    <row r="8556" spans="5:6">
      <c r="E8556" s="1"/>
      <c r="F8556" s="1"/>
    </row>
    <row r="8557" spans="5:6">
      <c r="E8557" s="1"/>
      <c r="F8557" s="1"/>
    </row>
    <row r="8558" spans="5:6">
      <c r="E8558" s="1"/>
      <c r="F8558" s="1"/>
    </row>
    <row r="8559" spans="5:6">
      <c r="E8559" s="1"/>
      <c r="F8559" s="1"/>
    </row>
    <row r="8560" spans="5:6">
      <c r="E8560" s="1"/>
      <c r="F8560" s="1"/>
    </row>
    <row r="8561" spans="5:6">
      <c r="E8561" s="1"/>
      <c r="F8561" s="1"/>
    </row>
    <row r="8562" spans="5:6">
      <c r="E8562" s="1"/>
      <c r="F8562" s="1"/>
    </row>
    <row r="8563" spans="5:6">
      <c r="E8563" s="1"/>
      <c r="F8563" s="1"/>
    </row>
    <row r="8564" spans="5:6">
      <c r="E8564" s="1"/>
      <c r="F8564" s="1"/>
    </row>
    <row r="8565" spans="5:6">
      <c r="E8565" s="1"/>
      <c r="F8565" s="1"/>
    </row>
    <row r="8566" spans="5:6">
      <c r="E8566" s="1"/>
      <c r="F8566" s="1"/>
    </row>
    <row r="8567" spans="5:6">
      <c r="E8567" s="1"/>
      <c r="F8567" s="1"/>
    </row>
    <row r="8568" spans="5:6">
      <c r="E8568" s="1"/>
      <c r="F8568" s="1"/>
    </row>
    <row r="8569" spans="5:6">
      <c r="E8569" s="1"/>
      <c r="F8569" s="1"/>
    </row>
    <row r="8570" spans="5:6">
      <c r="E8570" s="1"/>
      <c r="F8570" s="1"/>
    </row>
    <row r="8571" spans="5:6">
      <c r="E8571" s="1"/>
      <c r="F8571" s="1"/>
    </row>
    <row r="8572" spans="5:6">
      <c r="E8572" s="1"/>
      <c r="F8572" s="1"/>
    </row>
    <row r="8573" spans="5:6">
      <c r="E8573" s="1"/>
      <c r="F8573" s="1"/>
    </row>
    <row r="8574" spans="5:6">
      <c r="E8574" s="1"/>
      <c r="F8574" s="1"/>
    </row>
    <row r="8575" spans="5:6">
      <c r="E8575" s="1"/>
      <c r="F8575" s="1"/>
    </row>
    <row r="8576" spans="5:6">
      <c r="E8576" s="1"/>
      <c r="F8576" s="1"/>
    </row>
    <row r="8577" spans="5:6">
      <c r="E8577" s="1"/>
      <c r="F8577" s="1"/>
    </row>
    <row r="8578" spans="5:6">
      <c r="E8578" s="1"/>
      <c r="F8578" s="1"/>
    </row>
    <row r="8579" spans="5:6">
      <c r="E8579" s="1"/>
      <c r="F8579" s="1"/>
    </row>
    <row r="8580" spans="5:6">
      <c r="E8580" s="1"/>
      <c r="F8580" s="1"/>
    </row>
    <row r="8581" spans="5:6">
      <c r="E8581" s="1"/>
      <c r="F8581" s="1"/>
    </row>
    <row r="8582" spans="5:6">
      <c r="E8582" s="1"/>
      <c r="F8582" s="1"/>
    </row>
    <row r="8583" spans="5:6">
      <c r="E8583" s="1"/>
      <c r="F8583" s="1"/>
    </row>
    <row r="8584" spans="5:6">
      <c r="E8584" s="1"/>
      <c r="F8584" s="1"/>
    </row>
    <row r="8585" spans="5:6">
      <c r="E8585" s="1"/>
      <c r="F8585" s="1"/>
    </row>
    <row r="8586" spans="5:6">
      <c r="E8586" s="1"/>
      <c r="F8586" s="1"/>
    </row>
    <row r="8587" spans="5:6">
      <c r="E8587" s="1"/>
      <c r="F8587" s="1"/>
    </row>
    <row r="8588" spans="5:6">
      <c r="E8588" s="1"/>
      <c r="F8588" s="1"/>
    </row>
    <row r="8589" spans="5:6">
      <c r="E8589" s="1"/>
      <c r="F8589" s="1"/>
    </row>
    <row r="8590" spans="5:6">
      <c r="E8590" s="1"/>
      <c r="F8590" s="1"/>
    </row>
    <row r="8591" spans="5:6">
      <c r="E8591" s="1"/>
      <c r="F8591" s="1"/>
    </row>
    <row r="8592" spans="5:6">
      <c r="E8592" s="1"/>
      <c r="F8592" s="1"/>
    </row>
    <row r="8593" spans="5:6">
      <c r="E8593" s="1"/>
      <c r="F8593" s="1"/>
    </row>
    <row r="8594" spans="5:6">
      <c r="E8594" s="1"/>
      <c r="F8594" s="1"/>
    </row>
    <row r="8595" spans="5:6">
      <c r="E8595" s="1"/>
      <c r="F8595" s="1"/>
    </row>
    <row r="8596" spans="5:6">
      <c r="E8596" s="1"/>
      <c r="F8596" s="1"/>
    </row>
    <row r="8597" spans="5:6">
      <c r="E8597" s="1"/>
      <c r="F8597" s="1"/>
    </row>
    <row r="8598" spans="5:6">
      <c r="E8598" s="1"/>
      <c r="F8598" s="1"/>
    </row>
    <row r="8599" spans="5:6">
      <c r="E8599" s="1"/>
      <c r="F8599" s="1"/>
    </row>
    <row r="8600" spans="5:6">
      <c r="E8600" s="1"/>
      <c r="F8600" s="1"/>
    </row>
    <row r="8601" spans="5:6">
      <c r="E8601" s="1"/>
      <c r="F8601" s="1"/>
    </row>
    <row r="8602" spans="5:6">
      <c r="E8602" s="1"/>
      <c r="F8602" s="1"/>
    </row>
    <row r="8603" spans="5:6">
      <c r="E8603" s="1"/>
      <c r="F8603" s="1"/>
    </row>
    <row r="8604" spans="5:6">
      <c r="E8604" s="1"/>
      <c r="F8604" s="1"/>
    </row>
    <row r="8605" spans="5:6">
      <c r="E8605" s="1"/>
      <c r="F8605" s="1"/>
    </row>
    <row r="8606" spans="5:6">
      <c r="E8606" s="1"/>
      <c r="F8606" s="1"/>
    </row>
    <row r="8607" spans="5:6">
      <c r="E8607" s="1"/>
      <c r="F8607" s="1"/>
    </row>
    <row r="8608" spans="5:6">
      <c r="E8608" s="1"/>
      <c r="F8608" s="1"/>
    </row>
    <row r="8609" spans="5:6">
      <c r="E8609" s="1"/>
      <c r="F8609" s="1"/>
    </row>
    <row r="8610" spans="5:6">
      <c r="E8610" s="1"/>
      <c r="F8610" s="1"/>
    </row>
    <row r="8611" spans="5:6">
      <c r="E8611" s="1"/>
      <c r="F8611" s="1"/>
    </row>
    <row r="8612" spans="5:6">
      <c r="E8612" s="1"/>
      <c r="F8612" s="1"/>
    </row>
    <row r="8613" spans="5:6">
      <c r="E8613" s="1"/>
      <c r="F8613" s="1"/>
    </row>
    <row r="8614" spans="5:6">
      <c r="E8614" s="1"/>
      <c r="F8614" s="1"/>
    </row>
    <row r="8615" spans="5:6">
      <c r="E8615" s="1"/>
      <c r="F8615" s="1"/>
    </row>
    <row r="8616" spans="5:6">
      <c r="E8616" s="1"/>
      <c r="F8616" s="1"/>
    </row>
    <row r="8617" spans="5:6">
      <c r="E8617" s="1"/>
      <c r="F8617" s="1"/>
    </row>
    <row r="8618" spans="5:6">
      <c r="E8618" s="1"/>
      <c r="F8618" s="1"/>
    </row>
    <row r="8619" spans="5:6">
      <c r="E8619" s="1"/>
      <c r="F8619" s="1"/>
    </row>
    <row r="8620" spans="5:6">
      <c r="E8620" s="1"/>
      <c r="F8620" s="1"/>
    </row>
    <row r="8621" spans="5:6">
      <c r="E8621" s="1"/>
      <c r="F8621" s="1"/>
    </row>
    <row r="8622" spans="5:6">
      <c r="E8622" s="1"/>
      <c r="F8622" s="1"/>
    </row>
    <row r="8623" spans="5:6">
      <c r="E8623" s="1"/>
      <c r="F8623" s="1"/>
    </row>
    <row r="8624" spans="5:6">
      <c r="E8624" s="1"/>
      <c r="F8624" s="1"/>
    </row>
    <row r="8625" spans="5:6">
      <c r="E8625" s="1"/>
      <c r="F8625" s="1"/>
    </row>
    <row r="8626" spans="5:6">
      <c r="E8626" s="1"/>
      <c r="F8626" s="1"/>
    </row>
    <row r="8627" spans="5:6">
      <c r="E8627" s="1"/>
      <c r="F8627" s="1"/>
    </row>
    <row r="8628" spans="5:6">
      <c r="E8628" s="1"/>
      <c r="F8628" s="1"/>
    </row>
    <row r="8629" spans="5:6">
      <c r="E8629" s="1"/>
      <c r="F8629" s="1"/>
    </row>
    <row r="8630" spans="5:6">
      <c r="E8630" s="1"/>
      <c r="F8630" s="1"/>
    </row>
    <row r="8631" spans="5:6">
      <c r="E8631" s="1"/>
      <c r="F8631" s="1"/>
    </row>
    <row r="8632" spans="5:6">
      <c r="E8632" s="1"/>
      <c r="F8632" s="1"/>
    </row>
    <row r="8633" spans="5:6">
      <c r="E8633" s="1"/>
      <c r="F8633" s="1"/>
    </row>
    <row r="8634" spans="5:6">
      <c r="E8634" s="1"/>
      <c r="F8634" s="1"/>
    </row>
    <row r="8635" spans="5:6">
      <c r="E8635" s="1"/>
      <c r="F8635" s="1"/>
    </row>
    <row r="8636" spans="5:6">
      <c r="E8636" s="1"/>
      <c r="F8636" s="1"/>
    </row>
    <row r="8637" spans="5:6">
      <c r="E8637" s="1"/>
      <c r="F8637" s="1"/>
    </row>
    <row r="8638" spans="5:6">
      <c r="E8638" s="1"/>
      <c r="F8638" s="1"/>
    </row>
    <row r="8639" spans="5:6">
      <c r="E8639" s="1"/>
      <c r="F8639" s="1"/>
    </row>
    <row r="8640" spans="5:6">
      <c r="E8640" s="1"/>
      <c r="F8640" s="1"/>
    </row>
    <row r="8641" spans="5:6">
      <c r="E8641" s="1"/>
      <c r="F8641" s="1"/>
    </row>
    <row r="8642" spans="5:6">
      <c r="E8642" s="1"/>
      <c r="F8642" s="1"/>
    </row>
    <row r="8643" spans="5:6">
      <c r="E8643" s="1"/>
      <c r="F8643" s="1"/>
    </row>
    <row r="8644" spans="5:6">
      <c r="E8644" s="1"/>
      <c r="F8644" s="1"/>
    </row>
    <row r="8645" spans="5:6">
      <c r="E8645" s="1"/>
      <c r="F8645" s="1"/>
    </row>
    <row r="8646" spans="5:6">
      <c r="E8646" s="1"/>
      <c r="F8646" s="1"/>
    </row>
    <row r="8647" spans="5:6">
      <c r="E8647" s="1"/>
      <c r="F8647" s="1"/>
    </row>
    <row r="8648" spans="5:6">
      <c r="E8648" s="1"/>
      <c r="F8648" s="1"/>
    </row>
    <row r="8649" spans="5:6">
      <c r="E8649" s="1"/>
      <c r="F8649" s="1"/>
    </row>
    <row r="8650" spans="5:6">
      <c r="E8650" s="1"/>
      <c r="F8650" s="1"/>
    </row>
    <row r="8651" spans="5:6">
      <c r="E8651" s="1"/>
      <c r="F8651" s="1"/>
    </row>
    <row r="8652" spans="5:6">
      <c r="E8652" s="1"/>
      <c r="F8652" s="1"/>
    </row>
    <row r="8653" spans="5:6">
      <c r="E8653" s="1"/>
      <c r="F8653" s="1"/>
    </row>
    <row r="8654" spans="5:6">
      <c r="E8654" s="1"/>
      <c r="F8654" s="1"/>
    </row>
    <row r="8655" spans="5:6">
      <c r="E8655" s="1"/>
      <c r="F8655" s="1"/>
    </row>
    <row r="8656" spans="5:6">
      <c r="E8656" s="1"/>
      <c r="F8656" s="1"/>
    </row>
    <row r="8657" spans="5:6">
      <c r="E8657" s="1"/>
      <c r="F8657" s="1"/>
    </row>
    <row r="8658" spans="5:6">
      <c r="E8658" s="1"/>
      <c r="F8658" s="1"/>
    </row>
    <row r="8659" spans="5:6">
      <c r="E8659" s="1"/>
      <c r="F8659" s="1"/>
    </row>
    <row r="8660" spans="5:6">
      <c r="E8660" s="1"/>
      <c r="F8660" s="1"/>
    </row>
    <row r="8661" spans="5:6">
      <c r="E8661" s="1"/>
      <c r="F8661" s="1"/>
    </row>
    <row r="8662" spans="5:6">
      <c r="E8662" s="1"/>
      <c r="F8662" s="1"/>
    </row>
    <row r="8663" spans="5:6">
      <c r="E8663" s="1"/>
      <c r="F8663" s="1"/>
    </row>
    <row r="8664" spans="5:6">
      <c r="E8664" s="1"/>
      <c r="F8664" s="1"/>
    </row>
    <row r="8665" spans="5:6">
      <c r="E8665" s="1"/>
      <c r="F8665" s="1"/>
    </row>
    <row r="8666" spans="5:6">
      <c r="E8666" s="1"/>
      <c r="F8666" s="1"/>
    </row>
    <row r="8667" spans="5:6">
      <c r="E8667" s="1"/>
      <c r="F8667" s="1"/>
    </row>
    <row r="8668" spans="5:6">
      <c r="E8668" s="1"/>
      <c r="F8668" s="1"/>
    </row>
    <row r="8669" spans="5:6">
      <c r="E8669" s="1"/>
      <c r="F8669" s="1"/>
    </row>
    <row r="8670" spans="5:6">
      <c r="E8670" s="1"/>
      <c r="F8670" s="1"/>
    </row>
    <row r="8671" spans="5:6">
      <c r="E8671" s="1"/>
      <c r="F8671" s="1"/>
    </row>
    <row r="8672" spans="5:6">
      <c r="E8672" s="1"/>
      <c r="F8672" s="1"/>
    </row>
    <row r="8673" spans="5:6">
      <c r="E8673" s="1"/>
      <c r="F8673" s="1"/>
    </row>
    <row r="8674" spans="5:6">
      <c r="E8674" s="1"/>
      <c r="F8674" s="1"/>
    </row>
    <row r="8675" spans="5:6">
      <c r="E8675" s="1"/>
      <c r="F8675" s="1"/>
    </row>
    <row r="8676" spans="5:6">
      <c r="E8676" s="1"/>
      <c r="F8676" s="1"/>
    </row>
    <row r="8677" spans="5:6">
      <c r="E8677" s="1"/>
      <c r="F8677" s="1"/>
    </row>
    <row r="8678" spans="5:6">
      <c r="E8678" s="1"/>
      <c r="F8678" s="1"/>
    </row>
    <row r="8679" spans="5:6">
      <c r="E8679" s="1"/>
      <c r="F8679" s="1"/>
    </row>
    <row r="8680" spans="5:6">
      <c r="E8680" s="1"/>
      <c r="F8680" s="1"/>
    </row>
    <row r="8681" spans="5:6">
      <c r="E8681" s="1"/>
      <c r="F8681" s="1"/>
    </row>
    <row r="8682" spans="5:6">
      <c r="E8682" s="1"/>
      <c r="F8682" s="1"/>
    </row>
    <row r="8683" spans="5:6">
      <c r="E8683" s="1"/>
      <c r="F8683" s="1"/>
    </row>
    <row r="8684" spans="5:6">
      <c r="E8684" s="1"/>
      <c r="F8684" s="1"/>
    </row>
    <row r="8685" spans="5:6">
      <c r="E8685" s="1"/>
      <c r="F8685" s="1"/>
    </row>
    <row r="8686" spans="5:6">
      <c r="E8686" s="1"/>
      <c r="F8686" s="1"/>
    </row>
    <row r="8687" spans="5:6">
      <c r="E8687" s="1"/>
      <c r="F8687" s="1"/>
    </row>
    <row r="8688" spans="5:6">
      <c r="E8688" s="1"/>
      <c r="F8688" s="1"/>
    </row>
    <row r="8689" spans="5:6">
      <c r="E8689" s="1"/>
      <c r="F8689" s="1"/>
    </row>
    <row r="8690" spans="5:6">
      <c r="E8690" s="1"/>
      <c r="F8690" s="1"/>
    </row>
    <row r="8691" spans="5:6">
      <c r="E8691" s="1"/>
      <c r="F8691" s="1"/>
    </row>
    <row r="8692" spans="5:6">
      <c r="E8692" s="1"/>
      <c r="F8692" s="1"/>
    </row>
    <row r="8693" spans="5:6">
      <c r="E8693" s="1"/>
      <c r="F8693" s="1"/>
    </row>
    <row r="8694" spans="5:6">
      <c r="E8694" s="1"/>
      <c r="F8694" s="1"/>
    </row>
    <row r="8695" spans="5:6">
      <c r="E8695" s="1"/>
      <c r="F8695" s="1"/>
    </row>
    <row r="8696" spans="5:6">
      <c r="E8696" s="1"/>
      <c r="F8696" s="1"/>
    </row>
    <row r="8697" spans="5:6">
      <c r="E8697" s="1"/>
      <c r="F8697" s="1"/>
    </row>
    <row r="8698" spans="5:6">
      <c r="E8698" s="1"/>
      <c r="F8698" s="1"/>
    </row>
    <row r="8699" spans="5:6">
      <c r="E8699" s="1"/>
      <c r="F8699" s="1"/>
    </row>
    <row r="8700" spans="5:6">
      <c r="E8700" s="1"/>
      <c r="F8700" s="1"/>
    </row>
    <row r="8701" spans="5:6">
      <c r="E8701" s="1"/>
      <c r="F8701" s="1"/>
    </row>
    <row r="8702" spans="5:6">
      <c r="E8702" s="1"/>
      <c r="F8702" s="1"/>
    </row>
    <row r="8703" spans="5:6">
      <c r="E8703" s="1"/>
      <c r="F8703" s="1"/>
    </row>
    <row r="8704" spans="5:6">
      <c r="E8704" s="1"/>
      <c r="F8704" s="1"/>
    </row>
    <row r="8705" spans="5:6">
      <c r="E8705" s="1"/>
      <c r="F8705" s="1"/>
    </row>
    <row r="8706" spans="5:6">
      <c r="E8706" s="1"/>
      <c r="F8706" s="1"/>
    </row>
    <row r="8707" spans="5:6">
      <c r="E8707" s="1"/>
      <c r="F8707" s="1"/>
    </row>
    <row r="8708" spans="5:6">
      <c r="E8708" s="1"/>
      <c r="F8708" s="1"/>
    </row>
    <row r="8709" spans="5:6">
      <c r="E8709" s="1"/>
      <c r="F8709" s="1"/>
    </row>
    <row r="8710" spans="5:6">
      <c r="E8710" s="1"/>
      <c r="F8710" s="1"/>
    </row>
    <row r="8711" spans="5:6">
      <c r="E8711" s="1"/>
      <c r="F8711" s="1"/>
    </row>
    <row r="8712" spans="5:6">
      <c r="E8712" s="1"/>
      <c r="F8712" s="1"/>
    </row>
    <row r="8713" spans="5:6">
      <c r="E8713" s="1"/>
      <c r="F8713" s="1"/>
    </row>
    <row r="8714" spans="5:6">
      <c r="E8714" s="1"/>
      <c r="F8714" s="1"/>
    </row>
    <row r="8715" spans="5:6">
      <c r="E8715" s="1"/>
      <c r="F8715" s="1"/>
    </row>
    <row r="8716" spans="5:6">
      <c r="E8716" s="1"/>
      <c r="F8716" s="1"/>
    </row>
    <row r="8717" spans="5:6">
      <c r="E8717" s="1"/>
      <c r="F8717" s="1"/>
    </row>
    <row r="8718" spans="5:6">
      <c r="E8718" s="1"/>
      <c r="F8718" s="1"/>
    </row>
    <row r="8719" spans="5:6">
      <c r="E8719" s="1"/>
      <c r="F8719" s="1"/>
    </row>
    <row r="8720" spans="5:6">
      <c r="E8720" s="1"/>
      <c r="F8720" s="1"/>
    </row>
    <row r="8721" spans="5:6">
      <c r="E8721" s="1"/>
      <c r="F8721" s="1"/>
    </row>
    <row r="8722" spans="5:6">
      <c r="E8722" s="1"/>
      <c r="F8722" s="1"/>
    </row>
    <row r="8723" spans="5:6">
      <c r="E8723" s="1"/>
      <c r="F8723" s="1"/>
    </row>
    <row r="8724" spans="5:6">
      <c r="E8724" s="1"/>
      <c r="F8724" s="1"/>
    </row>
    <row r="8725" spans="5:6">
      <c r="E8725" s="1"/>
      <c r="F8725" s="1"/>
    </row>
    <row r="8726" spans="5:6">
      <c r="E8726" s="1"/>
      <c r="F8726" s="1"/>
    </row>
    <row r="8727" spans="5:6">
      <c r="E8727" s="1"/>
      <c r="F8727" s="1"/>
    </row>
    <row r="8728" spans="5:6">
      <c r="E8728" s="1"/>
      <c r="F8728" s="1"/>
    </row>
    <row r="8729" spans="5:6">
      <c r="E8729" s="1"/>
      <c r="F8729" s="1"/>
    </row>
    <row r="8730" spans="5:6">
      <c r="E8730" s="1"/>
      <c r="F8730" s="1"/>
    </row>
    <row r="8731" spans="5:6">
      <c r="E8731" s="1"/>
      <c r="F8731" s="1"/>
    </row>
    <row r="8732" spans="5:6">
      <c r="E8732" s="1"/>
      <c r="F8732" s="1"/>
    </row>
    <row r="8733" spans="5:6">
      <c r="E8733" s="1"/>
      <c r="F8733" s="1"/>
    </row>
    <row r="8734" spans="5:6">
      <c r="E8734" s="1"/>
      <c r="F8734" s="1"/>
    </row>
    <row r="8735" spans="5:6">
      <c r="E8735" s="1"/>
      <c r="F8735" s="1"/>
    </row>
    <row r="8736" spans="5:6">
      <c r="E8736" s="1"/>
      <c r="F8736" s="1"/>
    </row>
    <row r="8737" spans="5:6">
      <c r="E8737" s="1"/>
      <c r="F8737" s="1"/>
    </row>
    <row r="8738" spans="5:6">
      <c r="E8738" s="1"/>
      <c r="F8738" s="1"/>
    </row>
    <row r="8739" spans="5:6">
      <c r="E8739" s="1"/>
      <c r="F8739" s="1"/>
    </row>
    <row r="8740" spans="5:6">
      <c r="E8740" s="1"/>
      <c r="F8740" s="1"/>
    </row>
    <row r="8741" spans="5:6">
      <c r="E8741" s="1"/>
      <c r="F8741" s="1"/>
    </row>
    <row r="8742" spans="5:6">
      <c r="E8742" s="1"/>
      <c r="F8742" s="1"/>
    </row>
    <row r="8743" spans="5:6">
      <c r="E8743" s="1"/>
      <c r="F8743" s="1"/>
    </row>
    <row r="8744" spans="5:6">
      <c r="E8744" s="1"/>
      <c r="F8744" s="1"/>
    </row>
    <row r="8745" spans="5:6">
      <c r="E8745" s="1"/>
      <c r="F8745" s="1"/>
    </row>
    <row r="8746" spans="5:6">
      <c r="E8746" s="1"/>
      <c r="F8746" s="1"/>
    </row>
    <row r="8747" spans="5:6">
      <c r="E8747" s="1"/>
      <c r="F8747" s="1"/>
    </row>
    <row r="8748" spans="5:6">
      <c r="E8748" s="1"/>
      <c r="F8748" s="1"/>
    </row>
    <row r="8749" spans="5:6">
      <c r="E8749" s="1"/>
      <c r="F8749" s="1"/>
    </row>
    <row r="8750" spans="5:6">
      <c r="E8750" s="1"/>
      <c r="F8750" s="1"/>
    </row>
    <row r="8751" spans="5:6">
      <c r="E8751" s="1"/>
      <c r="F8751" s="1"/>
    </row>
    <row r="8752" spans="5:6">
      <c r="E8752" s="1"/>
      <c r="F8752" s="1"/>
    </row>
    <row r="8753" spans="5:6">
      <c r="E8753" s="1"/>
      <c r="F8753" s="1"/>
    </row>
    <row r="8754" spans="5:6">
      <c r="E8754" s="1"/>
      <c r="F8754" s="1"/>
    </row>
    <row r="8755" spans="5:6">
      <c r="E8755" s="1"/>
      <c r="F8755" s="1"/>
    </row>
    <row r="8756" spans="5:6">
      <c r="E8756" s="1"/>
      <c r="F8756" s="1"/>
    </row>
    <row r="8757" spans="5:6">
      <c r="E8757" s="1"/>
      <c r="F8757" s="1"/>
    </row>
    <row r="8758" spans="5:6">
      <c r="E8758" s="1"/>
      <c r="F8758" s="1"/>
    </row>
    <row r="8759" spans="5:6">
      <c r="E8759" s="1"/>
      <c r="F8759" s="1"/>
    </row>
    <row r="8760" spans="5:6">
      <c r="E8760" s="1"/>
      <c r="F8760" s="1"/>
    </row>
    <row r="8761" spans="5:6">
      <c r="E8761" s="1"/>
      <c r="F8761" s="1"/>
    </row>
    <row r="8762" spans="5:6">
      <c r="E8762" s="1"/>
      <c r="F8762" s="1"/>
    </row>
    <row r="8763" spans="5:6">
      <c r="E8763" s="1"/>
      <c r="F8763" s="1"/>
    </row>
    <row r="8764" spans="5:6">
      <c r="E8764" s="1"/>
      <c r="F8764" s="1"/>
    </row>
    <row r="8765" spans="5:6">
      <c r="E8765" s="1"/>
      <c r="F8765" s="1"/>
    </row>
    <row r="8766" spans="5:6">
      <c r="E8766" s="1"/>
      <c r="F8766" s="1"/>
    </row>
    <row r="8767" spans="5:6">
      <c r="E8767" s="1"/>
      <c r="F8767" s="1"/>
    </row>
    <row r="8768" spans="5:6">
      <c r="E8768" s="1"/>
      <c r="F8768" s="1"/>
    </row>
    <row r="8769" spans="5:6">
      <c r="E8769" s="1"/>
      <c r="F8769" s="1"/>
    </row>
    <row r="8770" spans="5:6">
      <c r="E8770" s="1"/>
      <c r="F8770" s="1"/>
    </row>
    <row r="8771" spans="5:6">
      <c r="E8771" s="1"/>
      <c r="F8771" s="1"/>
    </row>
    <row r="8772" spans="5:6">
      <c r="E8772" s="1"/>
      <c r="F8772" s="1"/>
    </row>
    <row r="8773" spans="5:6">
      <c r="E8773" s="1"/>
      <c r="F8773" s="1"/>
    </row>
    <row r="8774" spans="5:6">
      <c r="E8774" s="1"/>
      <c r="F8774" s="1"/>
    </row>
    <row r="8775" spans="5:6">
      <c r="E8775" s="1"/>
      <c r="F8775" s="1"/>
    </row>
    <row r="8776" spans="5:6">
      <c r="E8776" s="1"/>
      <c r="F8776" s="1"/>
    </row>
    <row r="8777" spans="5:6">
      <c r="E8777" s="1"/>
      <c r="F8777" s="1"/>
    </row>
    <row r="8778" spans="5:6">
      <c r="E8778" s="1"/>
      <c r="F8778" s="1"/>
    </row>
    <row r="8779" spans="5:6">
      <c r="E8779" s="1"/>
      <c r="F8779" s="1"/>
    </row>
    <row r="8780" spans="5:6">
      <c r="E8780" s="1"/>
      <c r="F8780" s="1"/>
    </row>
    <row r="8781" spans="5:6">
      <c r="E8781" s="1"/>
      <c r="F8781" s="1"/>
    </row>
    <row r="8782" spans="5:6">
      <c r="E8782" s="1"/>
      <c r="F8782" s="1"/>
    </row>
    <row r="8783" spans="5:6">
      <c r="E8783" s="1"/>
      <c r="F8783" s="1"/>
    </row>
    <row r="8784" spans="5:6">
      <c r="E8784" s="1"/>
      <c r="F8784" s="1"/>
    </row>
    <row r="8785" spans="5:6">
      <c r="E8785" s="1"/>
      <c r="F8785" s="1"/>
    </row>
    <row r="8786" spans="5:6">
      <c r="E8786" s="1"/>
      <c r="F8786" s="1"/>
    </row>
    <row r="8787" spans="5:6">
      <c r="E8787" s="1"/>
      <c r="F8787" s="1"/>
    </row>
    <row r="8788" spans="5:6">
      <c r="E8788" s="1"/>
      <c r="F8788" s="1"/>
    </row>
    <row r="8789" spans="5:6">
      <c r="E8789" s="1"/>
      <c r="F8789" s="1"/>
    </row>
    <row r="8790" spans="5:6">
      <c r="E8790" s="1"/>
      <c r="F8790" s="1"/>
    </row>
    <row r="8791" spans="5:6">
      <c r="E8791" s="1"/>
      <c r="F8791" s="1"/>
    </row>
    <row r="8792" spans="5:6">
      <c r="E8792" s="1"/>
      <c r="F8792" s="1"/>
    </row>
    <row r="8793" spans="5:6">
      <c r="E8793" s="1"/>
      <c r="F8793" s="1"/>
    </row>
    <row r="8794" spans="5:6">
      <c r="E8794" s="1"/>
      <c r="F8794" s="1"/>
    </row>
    <row r="8795" spans="5:6">
      <c r="E8795" s="1"/>
      <c r="F8795" s="1"/>
    </row>
    <row r="8796" spans="5:6">
      <c r="E8796" s="1"/>
      <c r="F8796" s="1"/>
    </row>
    <row r="8797" spans="5:6">
      <c r="E8797" s="1"/>
      <c r="F8797" s="1"/>
    </row>
    <row r="8798" spans="5:6">
      <c r="E8798" s="1"/>
      <c r="F8798" s="1"/>
    </row>
    <row r="8799" spans="5:6">
      <c r="E8799" s="1"/>
      <c r="F8799" s="1"/>
    </row>
    <row r="8800" spans="5:6">
      <c r="E8800" s="1"/>
      <c r="F8800" s="1"/>
    </row>
    <row r="8801" spans="5:6">
      <c r="E8801" s="1"/>
      <c r="F8801" s="1"/>
    </row>
    <row r="8802" spans="5:6">
      <c r="E8802" s="1"/>
      <c r="F8802" s="1"/>
    </row>
    <row r="8803" spans="5:6">
      <c r="E8803" s="1"/>
      <c r="F8803" s="1"/>
    </row>
    <row r="8804" spans="5:6">
      <c r="E8804" s="1"/>
      <c r="F8804" s="1"/>
    </row>
    <row r="8805" spans="5:6">
      <c r="E8805" s="1"/>
      <c r="F8805" s="1"/>
    </row>
    <row r="8806" spans="5:6">
      <c r="E8806" s="1"/>
      <c r="F8806" s="1"/>
    </row>
    <row r="8807" spans="5:6">
      <c r="E8807" s="1"/>
      <c r="F8807" s="1"/>
    </row>
    <row r="8808" spans="5:6">
      <c r="E8808" s="1"/>
      <c r="F8808" s="1"/>
    </row>
    <row r="8809" spans="5:6">
      <c r="E8809" s="1"/>
      <c r="F8809" s="1"/>
    </row>
    <row r="8810" spans="5:6">
      <c r="E8810" s="1"/>
      <c r="F8810" s="1"/>
    </row>
    <row r="8811" spans="5:6">
      <c r="E8811" s="1"/>
      <c r="F8811" s="1"/>
    </row>
    <row r="8812" spans="5:6">
      <c r="E8812" s="1"/>
      <c r="F8812" s="1"/>
    </row>
    <row r="8813" spans="5:6">
      <c r="E8813" s="1"/>
      <c r="F8813" s="1"/>
    </row>
    <row r="8814" spans="5:6">
      <c r="E8814" s="1"/>
      <c r="F8814" s="1"/>
    </row>
    <row r="8815" spans="5:6">
      <c r="E8815" s="1"/>
      <c r="F8815" s="1"/>
    </row>
    <row r="8816" spans="5:6">
      <c r="E8816" s="1"/>
      <c r="F8816" s="1"/>
    </row>
    <row r="8817" spans="5:6">
      <c r="E8817" s="1"/>
      <c r="F8817" s="1"/>
    </row>
    <row r="8818" spans="5:6">
      <c r="E8818" s="1"/>
      <c r="F8818" s="1"/>
    </row>
    <row r="8819" spans="5:6">
      <c r="E8819" s="1"/>
      <c r="F8819" s="1"/>
    </row>
    <row r="8820" spans="5:6">
      <c r="E8820" s="1"/>
      <c r="F8820" s="1"/>
    </row>
    <row r="8821" spans="5:6">
      <c r="E8821" s="1"/>
      <c r="F8821" s="1"/>
    </row>
    <row r="8822" spans="5:6">
      <c r="E8822" s="1"/>
      <c r="F8822" s="1"/>
    </row>
    <row r="8823" spans="5:6">
      <c r="E8823" s="1"/>
      <c r="F8823" s="1"/>
    </row>
    <row r="8824" spans="5:6">
      <c r="E8824" s="1"/>
      <c r="F8824" s="1"/>
    </row>
    <row r="8825" spans="5:6">
      <c r="E8825" s="1"/>
      <c r="F8825" s="1"/>
    </row>
    <row r="8826" spans="5:6">
      <c r="E8826" s="1"/>
      <c r="F8826" s="1"/>
    </row>
    <row r="8827" spans="5:6">
      <c r="E8827" s="1"/>
      <c r="F8827" s="1"/>
    </row>
    <row r="8828" spans="5:6">
      <c r="E8828" s="1"/>
      <c r="F8828" s="1"/>
    </row>
    <row r="8829" spans="5:6">
      <c r="E8829" s="1"/>
      <c r="F8829" s="1"/>
    </row>
    <row r="8830" spans="5:6">
      <c r="E8830" s="1"/>
      <c r="F8830" s="1"/>
    </row>
    <row r="8831" spans="5:6">
      <c r="E8831" s="1"/>
      <c r="F8831" s="1"/>
    </row>
    <row r="8832" spans="5:6">
      <c r="E8832" s="1"/>
      <c r="F8832" s="1"/>
    </row>
    <row r="8833" spans="5:6">
      <c r="E8833" s="1"/>
      <c r="F8833" s="1"/>
    </row>
    <row r="8834" spans="5:6">
      <c r="E8834" s="1"/>
      <c r="F8834" s="1"/>
    </row>
    <row r="8835" spans="5:6">
      <c r="E8835" s="1"/>
      <c r="F8835" s="1"/>
    </row>
    <row r="8836" spans="5:6">
      <c r="E8836" s="1"/>
      <c r="F8836" s="1"/>
    </row>
    <row r="8837" spans="5:6">
      <c r="E8837" s="1"/>
      <c r="F8837" s="1"/>
    </row>
    <row r="8838" spans="5:6">
      <c r="E8838" s="1"/>
      <c r="F8838" s="1"/>
    </row>
    <row r="8839" spans="5:6">
      <c r="E8839" s="1"/>
      <c r="F8839" s="1"/>
    </row>
    <row r="8840" spans="5:6">
      <c r="E8840" s="1"/>
      <c r="F8840" s="1"/>
    </row>
    <row r="8841" spans="5:6">
      <c r="E8841" s="1"/>
      <c r="F8841" s="1"/>
    </row>
    <row r="8842" spans="5:6">
      <c r="E8842" s="1"/>
      <c r="F8842" s="1"/>
    </row>
    <row r="8843" spans="5:6">
      <c r="E8843" s="1"/>
      <c r="F8843" s="1"/>
    </row>
    <row r="8844" spans="5:6">
      <c r="E8844" s="1"/>
      <c r="F8844" s="1"/>
    </row>
    <row r="8845" spans="5:6">
      <c r="E8845" s="1"/>
      <c r="F8845" s="1"/>
    </row>
    <row r="8846" spans="5:6">
      <c r="E8846" s="1"/>
      <c r="F8846" s="1"/>
    </row>
    <row r="8847" spans="5:6">
      <c r="E8847" s="1"/>
      <c r="F8847" s="1"/>
    </row>
    <row r="8848" spans="5:6">
      <c r="E8848" s="1"/>
      <c r="F8848" s="1"/>
    </row>
    <row r="8849" spans="5:6">
      <c r="E8849" s="1"/>
      <c r="F8849" s="1"/>
    </row>
    <row r="8850" spans="5:6">
      <c r="E8850" s="1"/>
      <c r="F8850" s="1"/>
    </row>
    <row r="8851" spans="5:6">
      <c r="E8851" s="1"/>
      <c r="F8851" s="1"/>
    </row>
    <row r="8852" spans="5:6">
      <c r="E8852" s="1"/>
      <c r="F8852" s="1"/>
    </row>
    <row r="8853" spans="5:6">
      <c r="E8853" s="1"/>
      <c r="F8853" s="1"/>
    </row>
    <row r="8854" spans="5:6">
      <c r="E8854" s="1"/>
      <c r="F8854" s="1"/>
    </row>
    <row r="8855" spans="5:6">
      <c r="E8855" s="1"/>
      <c r="F8855" s="1"/>
    </row>
    <row r="8856" spans="5:6">
      <c r="E8856" s="1"/>
      <c r="F8856" s="1"/>
    </row>
    <row r="8857" spans="5:6">
      <c r="E8857" s="1"/>
      <c r="F8857" s="1"/>
    </row>
    <row r="8858" spans="5:6">
      <c r="E8858" s="1"/>
      <c r="F8858" s="1"/>
    </row>
    <row r="8859" spans="5:6">
      <c r="E8859" s="1"/>
      <c r="F8859" s="1"/>
    </row>
    <row r="8860" spans="5:6">
      <c r="E8860" s="1"/>
      <c r="F8860" s="1"/>
    </row>
    <row r="8861" spans="5:6">
      <c r="E8861" s="1"/>
      <c r="F8861" s="1"/>
    </row>
    <row r="8862" spans="5:6">
      <c r="E8862" s="1"/>
      <c r="F8862" s="1"/>
    </row>
    <row r="8863" spans="5:6">
      <c r="E8863" s="1"/>
      <c r="F8863" s="1"/>
    </row>
    <row r="8864" spans="5:6">
      <c r="E8864" s="1"/>
      <c r="F8864" s="1"/>
    </row>
    <row r="8865" spans="5:6">
      <c r="E8865" s="1"/>
      <c r="F8865" s="1"/>
    </row>
    <row r="8866" spans="5:6">
      <c r="E8866" s="1"/>
      <c r="F8866" s="1"/>
    </row>
    <row r="8867" spans="5:6">
      <c r="E8867" s="1"/>
      <c r="F8867" s="1"/>
    </row>
    <row r="8868" spans="5:6">
      <c r="E8868" s="1"/>
      <c r="F8868" s="1"/>
    </row>
    <row r="8869" spans="5:6">
      <c r="E8869" s="1"/>
      <c r="F8869" s="1"/>
    </row>
    <row r="8870" spans="5:6">
      <c r="E8870" s="1"/>
      <c r="F8870" s="1"/>
    </row>
    <row r="8871" spans="5:6">
      <c r="E8871" s="1"/>
      <c r="F8871" s="1"/>
    </row>
    <row r="8872" spans="5:6">
      <c r="E8872" s="1"/>
      <c r="F8872" s="1"/>
    </row>
    <row r="8873" spans="5:6">
      <c r="E8873" s="1"/>
      <c r="F8873" s="1"/>
    </row>
    <row r="8874" spans="5:6">
      <c r="E8874" s="1"/>
      <c r="F8874" s="1"/>
    </row>
    <row r="8875" spans="5:6">
      <c r="E8875" s="1"/>
      <c r="F8875" s="1"/>
    </row>
    <row r="8876" spans="5:6">
      <c r="E8876" s="1"/>
      <c r="F8876" s="1"/>
    </row>
    <row r="8877" spans="5:6">
      <c r="E8877" s="1"/>
      <c r="F8877" s="1"/>
    </row>
    <row r="8878" spans="5:6">
      <c r="E8878" s="1"/>
      <c r="F8878" s="1"/>
    </row>
    <row r="8879" spans="5:6">
      <c r="E8879" s="1"/>
      <c r="F8879" s="1"/>
    </row>
    <row r="8880" spans="5:6">
      <c r="E8880" s="1"/>
      <c r="F8880" s="1"/>
    </row>
    <row r="8881" spans="5:6">
      <c r="E8881" s="1"/>
      <c r="F8881" s="1"/>
    </row>
    <row r="8882" spans="5:6">
      <c r="E8882" s="1"/>
      <c r="F8882" s="1"/>
    </row>
    <row r="8883" spans="5:6">
      <c r="E8883" s="1"/>
      <c r="F8883" s="1"/>
    </row>
    <row r="8884" spans="5:6">
      <c r="E8884" s="1"/>
      <c r="F8884" s="1"/>
    </row>
    <row r="8885" spans="5:6">
      <c r="E8885" s="1"/>
      <c r="F8885" s="1"/>
    </row>
    <row r="8886" spans="5:6">
      <c r="E8886" s="1"/>
      <c r="F8886" s="1"/>
    </row>
    <row r="8887" spans="5:6">
      <c r="E8887" s="1"/>
      <c r="F8887" s="1"/>
    </row>
    <row r="8888" spans="5:6">
      <c r="E8888" s="1"/>
      <c r="F8888" s="1"/>
    </row>
    <row r="8889" spans="5:6">
      <c r="E8889" s="1"/>
      <c r="F8889" s="1"/>
    </row>
    <row r="8890" spans="5:6">
      <c r="E8890" s="1"/>
      <c r="F8890" s="1"/>
    </row>
    <row r="8891" spans="5:6">
      <c r="E8891" s="1"/>
      <c r="F8891" s="1"/>
    </row>
    <row r="8892" spans="5:6">
      <c r="E8892" s="1"/>
      <c r="F8892" s="1"/>
    </row>
    <row r="8893" spans="5:6">
      <c r="E8893" s="1"/>
      <c r="F8893" s="1"/>
    </row>
    <row r="8894" spans="5:6">
      <c r="E8894" s="1"/>
      <c r="F8894" s="1"/>
    </row>
    <row r="8895" spans="5:6">
      <c r="E8895" s="1"/>
      <c r="F8895" s="1"/>
    </row>
    <row r="8896" spans="5:6">
      <c r="E8896" s="1"/>
      <c r="F8896" s="1"/>
    </row>
    <row r="8897" spans="5:6">
      <c r="E8897" s="1"/>
      <c r="F8897" s="1"/>
    </row>
    <row r="8898" spans="5:6">
      <c r="E8898" s="1"/>
      <c r="F8898" s="1"/>
    </row>
    <row r="8899" spans="5:6">
      <c r="E8899" s="1"/>
      <c r="F8899" s="1"/>
    </row>
    <row r="8900" spans="5:6">
      <c r="E8900" s="1"/>
      <c r="F8900" s="1"/>
    </row>
    <row r="8901" spans="5:6">
      <c r="E8901" s="1"/>
      <c r="F8901" s="1"/>
    </row>
    <row r="8902" spans="5:6">
      <c r="E8902" s="1"/>
      <c r="F8902" s="1"/>
    </row>
    <row r="8903" spans="5:6">
      <c r="E8903" s="1"/>
      <c r="F8903" s="1"/>
    </row>
    <row r="8904" spans="5:6">
      <c r="E8904" s="1"/>
      <c r="F8904" s="1"/>
    </row>
    <row r="8905" spans="5:6">
      <c r="E8905" s="1"/>
      <c r="F8905" s="1"/>
    </row>
    <row r="8906" spans="5:6">
      <c r="E8906" s="1"/>
      <c r="F8906" s="1"/>
    </row>
    <row r="8907" spans="5:6">
      <c r="E8907" s="1"/>
      <c r="F8907" s="1"/>
    </row>
    <row r="8908" spans="5:6">
      <c r="E8908" s="1"/>
      <c r="F8908" s="1"/>
    </row>
    <row r="8909" spans="5:6">
      <c r="E8909" s="1"/>
      <c r="F8909" s="1"/>
    </row>
    <row r="8910" spans="5:6">
      <c r="E8910" s="1"/>
      <c r="F8910" s="1"/>
    </row>
    <row r="8911" spans="5:6">
      <c r="E8911" s="1"/>
      <c r="F8911" s="1"/>
    </row>
    <row r="8912" spans="5:6">
      <c r="E8912" s="1"/>
      <c r="F8912" s="1"/>
    </row>
    <row r="8913" spans="5:6">
      <c r="E8913" s="1"/>
      <c r="F8913" s="1"/>
    </row>
    <row r="8914" spans="5:6">
      <c r="E8914" s="1"/>
      <c r="F8914" s="1"/>
    </row>
    <row r="8915" spans="5:6">
      <c r="E8915" s="1"/>
      <c r="F8915" s="1"/>
    </row>
    <row r="8916" spans="5:6">
      <c r="E8916" s="1"/>
      <c r="F8916" s="1"/>
    </row>
    <row r="8917" spans="5:6">
      <c r="E8917" s="1"/>
      <c r="F8917" s="1"/>
    </row>
    <row r="8918" spans="5:6">
      <c r="E8918" s="1"/>
      <c r="F8918" s="1"/>
    </row>
    <row r="8919" spans="5:6">
      <c r="E8919" s="1"/>
      <c r="F8919" s="1"/>
    </row>
    <row r="8920" spans="5:6">
      <c r="E8920" s="1"/>
      <c r="F8920" s="1"/>
    </row>
    <row r="8921" spans="5:6">
      <c r="E8921" s="1"/>
      <c r="F8921" s="1"/>
    </row>
    <row r="8922" spans="5:6">
      <c r="E8922" s="1"/>
      <c r="F8922" s="1"/>
    </row>
    <row r="8923" spans="5:6">
      <c r="E8923" s="1"/>
      <c r="F8923" s="1"/>
    </row>
    <row r="8924" spans="5:6">
      <c r="E8924" s="1"/>
      <c r="F8924" s="1"/>
    </row>
    <row r="8925" spans="5:6">
      <c r="E8925" s="1"/>
      <c r="F8925" s="1"/>
    </row>
    <row r="8926" spans="5:6">
      <c r="E8926" s="1"/>
      <c r="F8926" s="1"/>
    </row>
    <row r="8927" spans="5:6">
      <c r="E8927" s="1"/>
      <c r="F8927" s="1"/>
    </row>
    <row r="8928" spans="5:6">
      <c r="E8928" s="1"/>
      <c r="F8928" s="1"/>
    </row>
    <row r="8929" spans="5:6">
      <c r="E8929" s="1"/>
      <c r="F8929" s="1"/>
    </row>
    <row r="8930" spans="5:6">
      <c r="E8930" s="1"/>
      <c r="F8930" s="1"/>
    </row>
    <row r="8931" spans="5:6">
      <c r="E8931" s="1"/>
      <c r="F8931" s="1"/>
    </row>
    <row r="8932" spans="5:6">
      <c r="E8932" s="1"/>
      <c r="F8932" s="1"/>
    </row>
    <row r="8933" spans="5:6">
      <c r="E8933" s="1"/>
      <c r="F8933" s="1"/>
    </row>
    <row r="8934" spans="5:6">
      <c r="E8934" s="1"/>
      <c r="F8934" s="1"/>
    </row>
    <row r="8935" spans="5:6">
      <c r="E8935" s="1"/>
      <c r="F8935" s="1"/>
    </row>
    <row r="8936" spans="5:6">
      <c r="E8936" s="1"/>
      <c r="F8936" s="1"/>
    </row>
    <row r="8937" spans="5:6">
      <c r="E8937" s="1"/>
      <c r="F8937" s="1"/>
    </row>
    <row r="8938" spans="5:6">
      <c r="E8938" s="1"/>
      <c r="F8938" s="1"/>
    </row>
    <row r="8939" spans="5:6">
      <c r="E8939" s="1"/>
      <c r="F8939" s="1"/>
    </row>
    <row r="8940" spans="5:6">
      <c r="E8940" s="1"/>
      <c r="F8940" s="1"/>
    </row>
    <row r="8941" spans="5:6">
      <c r="E8941" s="1"/>
      <c r="F8941" s="1"/>
    </row>
    <row r="8942" spans="5:6">
      <c r="E8942" s="1"/>
      <c r="F8942" s="1"/>
    </row>
    <row r="8943" spans="5:6">
      <c r="E8943" s="1"/>
      <c r="F8943" s="1"/>
    </row>
    <row r="8944" spans="5:6">
      <c r="E8944" s="1"/>
      <c r="F8944" s="1"/>
    </row>
    <row r="8945" spans="5:6">
      <c r="E8945" s="1"/>
      <c r="F8945" s="1"/>
    </row>
    <row r="8946" spans="5:6">
      <c r="E8946" s="1"/>
      <c r="F8946" s="1"/>
    </row>
    <row r="8947" spans="5:6">
      <c r="E8947" s="1"/>
      <c r="F8947" s="1"/>
    </row>
    <row r="8948" spans="5:6">
      <c r="E8948" s="1"/>
      <c r="F8948" s="1"/>
    </row>
    <row r="8949" spans="5:6">
      <c r="E8949" s="1"/>
      <c r="F8949" s="1"/>
    </row>
    <row r="8950" spans="5:6">
      <c r="E8950" s="1"/>
      <c r="F8950" s="1"/>
    </row>
    <row r="8951" spans="5:6">
      <c r="E8951" s="1"/>
      <c r="F8951" s="1"/>
    </row>
    <row r="8952" spans="5:6">
      <c r="E8952" s="1"/>
      <c r="F8952" s="1"/>
    </row>
    <row r="8953" spans="5:6">
      <c r="E8953" s="1"/>
      <c r="F8953" s="1"/>
    </row>
    <row r="8954" spans="5:6">
      <c r="E8954" s="1"/>
      <c r="F8954" s="1"/>
    </row>
    <row r="8955" spans="5:6">
      <c r="E8955" s="1"/>
      <c r="F8955" s="1"/>
    </row>
    <row r="8956" spans="5:6">
      <c r="E8956" s="1"/>
      <c r="F8956" s="1"/>
    </row>
    <row r="8957" spans="5:6">
      <c r="E8957" s="1"/>
      <c r="F8957" s="1"/>
    </row>
    <row r="8958" spans="5:6">
      <c r="E8958" s="1"/>
      <c r="F8958" s="1"/>
    </row>
    <row r="8959" spans="5:6">
      <c r="E8959" s="1"/>
      <c r="F8959" s="1"/>
    </row>
    <row r="8960" spans="5:6">
      <c r="E8960" s="1"/>
      <c r="F8960" s="1"/>
    </row>
    <row r="8961" spans="5:6">
      <c r="E8961" s="1"/>
      <c r="F8961" s="1"/>
    </row>
    <row r="8962" spans="5:6">
      <c r="E8962" s="1"/>
      <c r="F8962" s="1"/>
    </row>
    <row r="8963" spans="5:6">
      <c r="E8963" s="1"/>
      <c r="F8963" s="1"/>
    </row>
    <row r="8964" spans="5:6">
      <c r="E8964" s="1"/>
      <c r="F8964" s="1"/>
    </row>
    <row r="8965" spans="5:6">
      <c r="E8965" s="1"/>
      <c r="F8965" s="1"/>
    </row>
    <row r="8966" spans="5:6">
      <c r="E8966" s="1"/>
      <c r="F8966" s="1"/>
    </row>
    <row r="8967" spans="5:6">
      <c r="E8967" s="1"/>
      <c r="F8967" s="1"/>
    </row>
    <row r="8968" spans="5:6">
      <c r="E8968" s="1"/>
      <c r="F8968" s="1"/>
    </row>
    <row r="8969" spans="5:6">
      <c r="E8969" s="1"/>
      <c r="F8969" s="1"/>
    </row>
    <row r="8970" spans="5:6">
      <c r="E8970" s="1"/>
      <c r="F8970" s="1"/>
    </row>
    <row r="8971" spans="5:6">
      <c r="E8971" s="1"/>
      <c r="F8971" s="1"/>
    </row>
    <row r="8972" spans="5:6">
      <c r="E8972" s="1"/>
      <c r="F8972" s="1"/>
    </row>
    <row r="8973" spans="5:6">
      <c r="E8973" s="1"/>
      <c r="F8973" s="1"/>
    </row>
    <row r="8974" spans="5:6">
      <c r="E8974" s="1"/>
      <c r="F8974" s="1"/>
    </row>
    <row r="8975" spans="5:6">
      <c r="E8975" s="1"/>
      <c r="F8975" s="1"/>
    </row>
    <row r="8976" spans="5:6">
      <c r="E8976" s="1"/>
      <c r="F8976" s="1"/>
    </row>
    <row r="8977" spans="5:6">
      <c r="E8977" s="1"/>
      <c r="F8977" s="1"/>
    </row>
    <row r="8978" spans="5:6">
      <c r="E8978" s="1"/>
      <c r="F8978" s="1"/>
    </row>
    <row r="8979" spans="5:6">
      <c r="E8979" s="1"/>
      <c r="F8979" s="1"/>
    </row>
    <row r="8980" spans="5:6">
      <c r="E8980" s="1"/>
      <c r="F8980" s="1"/>
    </row>
    <row r="8981" spans="5:6">
      <c r="E8981" s="1"/>
      <c r="F8981" s="1"/>
    </row>
    <row r="8982" spans="5:6">
      <c r="E8982" s="1"/>
      <c r="F8982" s="1"/>
    </row>
    <row r="8983" spans="5:6">
      <c r="E8983" s="1"/>
      <c r="F8983" s="1"/>
    </row>
    <row r="8984" spans="5:6">
      <c r="E8984" s="1"/>
      <c r="F8984" s="1"/>
    </row>
    <row r="8985" spans="5:6">
      <c r="E8985" s="1"/>
      <c r="F8985" s="1"/>
    </row>
    <row r="8986" spans="5:6">
      <c r="E8986" s="1"/>
      <c r="F8986" s="1"/>
    </row>
    <row r="8987" spans="5:6">
      <c r="E8987" s="1"/>
      <c r="F8987" s="1"/>
    </row>
    <row r="8988" spans="5:6">
      <c r="E8988" s="1"/>
      <c r="F8988" s="1"/>
    </row>
    <row r="8989" spans="5:6">
      <c r="E8989" s="1"/>
      <c r="F8989" s="1"/>
    </row>
    <row r="8990" spans="5:6">
      <c r="E8990" s="1"/>
      <c r="F8990" s="1"/>
    </row>
    <row r="8991" spans="5:6">
      <c r="E8991" s="1"/>
      <c r="F8991" s="1"/>
    </row>
    <row r="8992" spans="5:6">
      <c r="E8992" s="1"/>
      <c r="F8992" s="1"/>
    </row>
    <row r="8993" spans="5:6">
      <c r="E8993" s="1"/>
      <c r="F8993" s="1"/>
    </row>
    <row r="8994" spans="5:6">
      <c r="E8994" s="1"/>
      <c r="F8994" s="1"/>
    </row>
    <row r="8995" spans="5:6">
      <c r="E8995" s="1"/>
      <c r="F8995" s="1"/>
    </row>
    <row r="8996" spans="5:6">
      <c r="E8996" s="1"/>
      <c r="F8996" s="1"/>
    </row>
    <row r="8997" spans="5:6">
      <c r="E8997" s="1"/>
      <c r="F8997" s="1"/>
    </row>
    <row r="8998" spans="5:6">
      <c r="E8998" s="1"/>
      <c r="F8998" s="1"/>
    </row>
    <row r="8999" spans="5:6">
      <c r="E8999" s="1"/>
      <c r="F8999" s="1"/>
    </row>
    <row r="9000" spans="5:6">
      <c r="E9000" s="1"/>
      <c r="F9000" s="1"/>
    </row>
    <row r="9001" spans="5:6">
      <c r="E9001" s="1"/>
      <c r="F9001" s="1"/>
    </row>
    <row r="9002" spans="5:6">
      <c r="E9002" s="1"/>
      <c r="F9002" s="1"/>
    </row>
    <row r="9003" spans="5:6">
      <c r="E9003" s="1"/>
      <c r="F9003" s="1"/>
    </row>
    <row r="9004" spans="5:6">
      <c r="E9004" s="1"/>
      <c r="F9004" s="1"/>
    </row>
    <row r="9005" spans="5:6">
      <c r="E9005" s="1"/>
      <c r="F9005" s="1"/>
    </row>
    <row r="9006" spans="5:6">
      <c r="E9006" s="1"/>
      <c r="F9006" s="1"/>
    </row>
    <row r="9007" spans="5:6">
      <c r="E9007" s="1"/>
      <c r="F9007" s="1"/>
    </row>
    <row r="9008" spans="5:6">
      <c r="E9008" s="1"/>
      <c r="F9008" s="1"/>
    </row>
    <row r="9009" spans="5:6">
      <c r="E9009" s="1"/>
      <c r="F9009" s="1"/>
    </row>
    <row r="9010" spans="5:6">
      <c r="E9010" s="1"/>
      <c r="F9010" s="1"/>
    </row>
    <row r="9011" spans="5:6">
      <c r="E9011" s="1"/>
      <c r="F9011" s="1"/>
    </row>
    <row r="9012" spans="5:6">
      <c r="E9012" s="1"/>
      <c r="F9012" s="1"/>
    </row>
    <row r="9013" spans="5:6">
      <c r="E9013" s="1"/>
      <c r="F9013" s="1"/>
    </row>
    <row r="9014" spans="5:6">
      <c r="E9014" s="1"/>
      <c r="F9014" s="1"/>
    </row>
    <row r="9015" spans="5:6">
      <c r="E9015" s="1"/>
      <c r="F9015" s="1"/>
    </row>
    <row r="9016" spans="5:6">
      <c r="E9016" s="1"/>
      <c r="F9016" s="1"/>
    </row>
    <row r="9017" spans="5:6">
      <c r="E9017" s="1"/>
      <c r="F9017" s="1"/>
    </row>
    <row r="9018" spans="5:6">
      <c r="E9018" s="1"/>
      <c r="F9018" s="1"/>
    </row>
    <row r="9019" spans="5:6">
      <c r="E9019" s="1"/>
      <c r="F9019" s="1"/>
    </row>
    <row r="9020" spans="5:6">
      <c r="E9020" s="1"/>
      <c r="F9020" s="1"/>
    </row>
    <row r="9021" spans="5:6">
      <c r="E9021" s="1"/>
      <c r="F9021" s="1"/>
    </row>
    <row r="9022" spans="5:6">
      <c r="E9022" s="1"/>
      <c r="F9022" s="1"/>
    </row>
    <row r="9023" spans="5:6">
      <c r="E9023" s="1"/>
      <c r="F9023" s="1"/>
    </row>
    <row r="9024" spans="5:6">
      <c r="E9024" s="1"/>
      <c r="F9024" s="1"/>
    </row>
    <row r="9025" spans="5:6">
      <c r="E9025" s="1"/>
      <c r="F9025" s="1"/>
    </row>
    <row r="9026" spans="5:6">
      <c r="E9026" s="1"/>
      <c r="F9026" s="1"/>
    </row>
    <row r="9027" spans="5:6">
      <c r="E9027" s="1"/>
      <c r="F9027" s="1"/>
    </row>
    <row r="9028" spans="5:6">
      <c r="E9028" s="1"/>
      <c r="F9028" s="1"/>
    </row>
    <row r="9029" spans="5:6">
      <c r="E9029" s="1"/>
      <c r="F9029" s="1"/>
    </row>
    <row r="9030" spans="5:6">
      <c r="E9030" s="1"/>
      <c r="F9030" s="1"/>
    </row>
    <row r="9031" spans="5:6">
      <c r="E9031" s="1"/>
      <c r="F9031" s="1"/>
    </row>
    <row r="9032" spans="5:6">
      <c r="E9032" s="1"/>
      <c r="F9032" s="1"/>
    </row>
    <row r="9033" spans="5:6">
      <c r="E9033" s="1"/>
      <c r="F9033" s="1"/>
    </row>
    <row r="9034" spans="5:6">
      <c r="E9034" s="1"/>
      <c r="F9034" s="1"/>
    </row>
    <row r="9035" spans="5:6">
      <c r="E9035" s="1"/>
      <c r="F9035" s="1"/>
    </row>
    <row r="9036" spans="5:6">
      <c r="E9036" s="1"/>
      <c r="F9036" s="1"/>
    </row>
    <row r="9037" spans="5:6">
      <c r="E9037" s="1"/>
      <c r="F9037" s="1"/>
    </row>
    <row r="9038" spans="5:6">
      <c r="E9038" s="1"/>
      <c r="F9038" s="1"/>
    </row>
    <row r="9039" spans="5:6">
      <c r="E9039" s="1"/>
      <c r="F9039" s="1"/>
    </row>
    <row r="9040" spans="5:6">
      <c r="E9040" s="1"/>
      <c r="F9040" s="1"/>
    </row>
    <row r="9041" spans="5:6">
      <c r="E9041" s="1"/>
      <c r="F9041" s="1"/>
    </row>
    <row r="9042" spans="5:6">
      <c r="E9042" s="1"/>
      <c r="F9042" s="1"/>
    </row>
    <row r="9043" spans="5:6">
      <c r="E9043" s="1"/>
      <c r="F9043" s="1"/>
    </row>
    <row r="9044" spans="5:6">
      <c r="E9044" s="1"/>
      <c r="F9044" s="1"/>
    </row>
    <row r="9045" spans="5:6">
      <c r="E9045" s="1"/>
      <c r="F9045" s="1"/>
    </row>
    <row r="9046" spans="5:6">
      <c r="E9046" s="1"/>
      <c r="F9046" s="1"/>
    </row>
    <row r="9047" spans="5:6">
      <c r="E9047" s="1"/>
      <c r="F9047" s="1"/>
    </row>
    <row r="9048" spans="5:6">
      <c r="E9048" s="1"/>
      <c r="F9048" s="1"/>
    </row>
    <row r="9049" spans="5:6">
      <c r="E9049" s="1"/>
      <c r="F9049" s="1"/>
    </row>
    <row r="9050" spans="5:6">
      <c r="E9050" s="1"/>
      <c r="F9050" s="1"/>
    </row>
    <row r="9051" spans="5:6">
      <c r="E9051" s="1"/>
      <c r="F9051" s="1"/>
    </row>
    <row r="9052" spans="5:6">
      <c r="E9052" s="1"/>
      <c r="F9052" s="1"/>
    </row>
    <row r="9053" spans="5:6">
      <c r="E9053" s="1"/>
      <c r="F9053" s="1"/>
    </row>
    <row r="9054" spans="5:6">
      <c r="E9054" s="1"/>
      <c r="F9054" s="1"/>
    </row>
    <row r="9055" spans="5:6">
      <c r="E9055" s="1"/>
      <c r="F9055" s="1"/>
    </row>
    <row r="9056" spans="5:6">
      <c r="E9056" s="1"/>
      <c r="F9056" s="1"/>
    </row>
    <row r="9057" spans="5:6">
      <c r="E9057" s="1"/>
      <c r="F9057" s="1"/>
    </row>
    <row r="9058" spans="5:6">
      <c r="E9058" s="1"/>
      <c r="F9058" s="1"/>
    </row>
    <row r="9059" spans="5:6">
      <c r="E9059" s="1"/>
      <c r="F9059" s="1"/>
    </row>
    <row r="9060" spans="5:6">
      <c r="E9060" s="1"/>
      <c r="F9060" s="1"/>
    </row>
    <row r="9061" spans="5:6">
      <c r="E9061" s="1"/>
      <c r="F9061" s="1"/>
    </row>
    <row r="9062" spans="5:6">
      <c r="E9062" s="1"/>
      <c r="F9062" s="1"/>
    </row>
    <row r="9063" spans="5:6">
      <c r="E9063" s="1"/>
      <c r="F9063" s="1"/>
    </row>
    <row r="9064" spans="5:6">
      <c r="E9064" s="1"/>
      <c r="F9064" s="1"/>
    </row>
    <row r="9065" spans="5:6">
      <c r="E9065" s="1"/>
      <c r="F9065" s="1"/>
    </row>
    <row r="9066" spans="5:6">
      <c r="E9066" s="1"/>
      <c r="F9066" s="1"/>
    </row>
    <row r="9067" spans="5:6">
      <c r="E9067" s="1"/>
      <c r="F9067" s="1"/>
    </row>
    <row r="9068" spans="5:6">
      <c r="E9068" s="1"/>
      <c r="F9068" s="1"/>
    </row>
    <row r="9069" spans="5:6">
      <c r="E9069" s="1"/>
      <c r="F9069" s="1"/>
    </row>
    <row r="9070" spans="5:6">
      <c r="E9070" s="1"/>
      <c r="F9070" s="1"/>
    </row>
    <row r="9071" spans="5:6">
      <c r="E9071" s="1"/>
      <c r="F9071" s="1"/>
    </row>
    <row r="9072" spans="5:6">
      <c r="E9072" s="1"/>
      <c r="F9072" s="1"/>
    </row>
    <row r="9073" spans="5:6">
      <c r="E9073" s="1"/>
      <c r="F9073" s="1"/>
    </row>
    <row r="9074" spans="5:6">
      <c r="E9074" s="1"/>
      <c r="F9074" s="1"/>
    </row>
    <row r="9075" spans="5:6">
      <c r="E9075" s="1"/>
      <c r="F9075" s="1"/>
    </row>
    <row r="9076" spans="5:6">
      <c r="E9076" s="1"/>
      <c r="F9076" s="1"/>
    </row>
    <row r="9077" spans="5:6">
      <c r="E9077" s="1"/>
      <c r="F9077" s="1"/>
    </row>
    <row r="9078" spans="5:6">
      <c r="E9078" s="1"/>
      <c r="F9078" s="1"/>
    </row>
    <row r="9079" spans="5:6">
      <c r="E9079" s="1"/>
      <c r="F9079" s="1"/>
    </row>
    <row r="9080" spans="5:6">
      <c r="E9080" s="1"/>
      <c r="F9080" s="1"/>
    </row>
    <row r="9081" spans="5:6">
      <c r="E9081" s="1"/>
      <c r="F9081" s="1"/>
    </row>
    <row r="9082" spans="5:6">
      <c r="E9082" s="1"/>
      <c r="F9082" s="1"/>
    </row>
    <row r="9083" spans="5:6">
      <c r="E9083" s="1"/>
      <c r="F9083" s="1"/>
    </row>
    <row r="9084" spans="5:6">
      <c r="E9084" s="1"/>
      <c r="F9084" s="1"/>
    </row>
    <row r="9085" spans="5:6">
      <c r="E9085" s="1"/>
      <c r="F9085" s="1"/>
    </row>
    <row r="9086" spans="5:6">
      <c r="E9086" s="1"/>
      <c r="F9086" s="1"/>
    </row>
    <row r="9087" spans="5:6">
      <c r="E9087" s="1"/>
      <c r="F9087" s="1"/>
    </row>
    <row r="9088" spans="5:6">
      <c r="E9088" s="1"/>
      <c r="F9088" s="1"/>
    </row>
    <row r="9089" spans="5:6">
      <c r="E9089" s="1"/>
      <c r="F9089" s="1"/>
    </row>
    <row r="9090" spans="5:6">
      <c r="E9090" s="1"/>
      <c r="F9090" s="1"/>
    </row>
    <row r="9091" spans="5:6">
      <c r="E9091" s="1"/>
      <c r="F9091" s="1"/>
    </row>
    <row r="9092" spans="5:6">
      <c r="E9092" s="1"/>
      <c r="F9092" s="1"/>
    </row>
    <row r="9093" spans="5:6">
      <c r="E9093" s="1"/>
      <c r="F9093" s="1"/>
    </row>
    <row r="9094" spans="5:6">
      <c r="E9094" s="1"/>
      <c r="F9094" s="1"/>
    </row>
    <row r="9095" spans="5:6">
      <c r="E9095" s="1"/>
      <c r="F9095" s="1"/>
    </row>
    <row r="9096" spans="5:6">
      <c r="E9096" s="1"/>
      <c r="F9096" s="1"/>
    </row>
    <row r="9097" spans="5:6">
      <c r="E9097" s="1"/>
      <c r="F9097" s="1"/>
    </row>
    <row r="9098" spans="5:6">
      <c r="E9098" s="1"/>
      <c r="F9098" s="1"/>
    </row>
    <row r="9099" spans="5:6">
      <c r="E9099" s="1"/>
      <c r="F9099" s="1"/>
    </row>
    <row r="9100" spans="5:6">
      <c r="E9100" s="1"/>
      <c r="F9100" s="1"/>
    </row>
    <row r="9101" spans="5:6">
      <c r="E9101" s="1"/>
      <c r="F9101" s="1"/>
    </row>
    <row r="9102" spans="5:6">
      <c r="E9102" s="1"/>
      <c r="F9102" s="1"/>
    </row>
    <row r="9103" spans="5:6">
      <c r="E9103" s="1"/>
      <c r="F9103" s="1"/>
    </row>
    <row r="9104" spans="5:6">
      <c r="E9104" s="1"/>
      <c r="F9104" s="1"/>
    </row>
    <row r="9105" spans="5:6">
      <c r="E9105" s="1"/>
      <c r="F9105" s="1"/>
    </row>
    <row r="9106" spans="5:6">
      <c r="E9106" s="1"/>
      <c r="F9106" s="1"/>
    </row>
    <row r="9107" spans="5:6">
      <c r="E9107" s="1"/>
      <c r="F9107" s="1"/>
    </row>
    <row r="9108" spans="5:6">
      <c r="E9108" s="1"/>
      <c r="F9108" s="1"/>
    </row>
    <row r="9109" spans="5:6">
      <c r="E9109" s="1"/>
      <c r="F9109" s="1"/>
    </row>
    <row r="9110" spans="5:6">
      <c r="E9110" s="1"/>
      <c r="F9110" s="1"/>
    </row>
    <row r="9111" spans="5:6">
      <c r="E9111" s="1"/>
      <c r="F9111" s="1"/>
    </row>
    <row r="9112" spans="5:6">
      <c r="E9112" s="1"/>
      <c r="F9112" s="1"/>
    </row>
    <row r="9113" spans="5:6">
      <c r="E9113" s="1"/>
      <c r="F9113" s="1"/>
    </row>
    <row r="9114" spans="5:6">
      <c r="E9114" s="1"/>
      <c r="F9114" s="1"/>
    </row>
    <row r="9115" spans="5:6">
      <c r="E9115" s="1"/>
      <c r="F9115" s="1"/>
    </row>
    <row r="9116" spans="5:6">
      <c r="E9116" s="1"/>
      <c r="F9116" s="1"/>
    </row>
    <row r="9117" spans="5:6">
      <c r="E9117" s="1"/>
      <c r="F9117" s="1"/>
    </row>
    <row r="9118" spans="5:6">
      <c r="E9118" s="1"/>
      <c r="F9118" s="1"/>
    </row>
    <row r="9119" spans="5:6">
      <c r="E9119" s="1"/>
      <c r="F9119" s="1"/>
    </row>
    <row r="9120" spans="5:6">
      <c r="E9120" s="1"/>
      <c r="F9120" s="1"/>
    </row>
    <row r="9121" spans="5:6">
      <c r="E9121" s="1"/>
      <c r="F9121" s="1"/>
    </row>
    <row r="9122" spans="5:6">
      <c r="E9122" s="1"/>
      <c r="F9122" s="1"/>
    </row>
    <row r="9123" spans="5:6">
      <c r="E9123" s="1"/>
      <c r="F9123" s="1"/>
    </row>
    <row r="9124" spans="5:6">
      <c r="E9124" s="1"/>
      <c r="F9124" s="1"/>
    </row>
    <row r="9125" spans="5:6">
      <c r="E9125" s="1"/>
      <c r="F9125" s="1"/>
    </row>
    <row r="9126" spans="5:6">
      <c r="E9126" s="1"/>
      <c r="F9126" s="1"/>
    </row>
    <row r="9127" spans="5:6">
      <c r="E9127" s="1"/>
      <c r="F9127" s="1"/>
    </row>
    <row r="9128" spans="5:6">
      <c r="E9128" s="1"/>
      <c r="F9128" s="1"/>
    </row>
    <row r="9129" spans="5:6">
      <c r="E9129" s="1"/>
      <c r="F9129" s="1"/>
    </row>
    <row r="9130" spans="5:6">
      <c r="E9130" s="1"/>
      <c r="F9130" s="1"/>
    </row>
    <row r="9131" spans="5:6">
      <c r="E9131" s="1"/>
      <c r="F9131" s="1"/>
    </row>
    <row r="9132" spans="5:6">
      <c r="E9132" s="1"/>
      <c r="F9132" s="1"/>
    </row>
    <row r="9133" spans="5:6">
      <c r="E9133" s="1"/>
      <c r="F9133" s="1"/>
    </row>
    <row r="9134" spans="5:6">
      <c r="E9134" s="1"/>
      <c r="F9134" s="1"/>
    </row>
    <row r="9135" spans="5:6">
      <c r="E9135" s="1"/>
      <c r="F9135" s="1"/>
    </row>
    <row r="9136" spans="5:6">
      <c r="E9136" s="1"/>
      <c r="F9136" s="1"/>
    </row>
    <row r="9137" spans="5:6">
      <c r="E9137" s="1"/>
      <c r="F9137" s="1"/>
    </row>
    <row r="9138" spans="5:6">
      <c r="E9138" s="1"/>
      <c r="F9138" s="1"/>
    </row>
    <row r="9139" spans="5:6">
      <c r="E9139" s="1"/>
      <c r="F9139" s="1"/>
    </row>
    <row r="9140" spans="5:6">
      <c r="E9140" s="1"/>
      <c r="F9140" s="1"/>
    </row>
    <row r="9141" spans="5:6">
      <c r="E9141" s="1"/>
      <c r="F9141" s="1"/>
    </row>
    <row r="9142" spans="5:6">
      <c r="E9142" s="1"/>
      <c r="F9142" s="1"/>
    </row>
    <row r="9143" spans="5:6">
      <c r="E9143" s="1"/>
      <c r="F9143" s="1"/>
    </row>
    <row r="9144" spans="5:6">
      <c r="E9144" s="1"/>
      <c r="F9144" s="1"/>
    </row>
    <row r="9145" spans="5:6">
      <c r="E9145" s="1"/>
      <c r="F9145" s="1"/>
    </row>
    <row r="9146" spans="5:6">
      <c r="E9146" s="1"/>
      <c r="F9146" s="1"/>
    </row>
    <row r="9147" spans="5:6">
      <c r="E9147" s="1"/>
      <c r="F9147" s="1"/>
    </row>
    <row r="9148" spans="5:6">
      <c r="E9148" s="1"/>
      <c r="F9148" s="1"/>
    </row>
    <row r="9149" spans="5:6">
      <c r="E9149" s="1"/>
      <c r="F9149" s="1"/>
    </row>
    <row r="9150" spans="5:6">
      <c r="E9150" s="1"/>
      <c r="F9150" s="1"/>
    </row>
    <row r="9151" spans="5:6">
      <c r="E9151" s="1"/>
      <c r="F9151" s="1"/>
    </row>
    <row r="9152" spans="5:6">
      <c r="E9152" s="1"/>
      <c r="F9152" s="1"/>
    </row>
    <row r="9153" spans="5:6">
      <c r="E9153" s="1"/>
      <c r="F9153" s="1"/>
    </row>
    <row r="9154" spans="5:6">
      <c r="E9154" s="1"/>
      <c r="F9154" s="1"/>
    </row>
    <row r="9155" spans="5:6">
      <c r="E9155" s="1"/>
      <c r="F9155" s="1"/>
    </row>
    <row r="9156" spans="5:6">
      <c r="E9156" s="1"/>
      <c r="F9156" s="1"/>
    </row>
    <row r="9157" spans="5:6">
      <c r="E9157" s="1"/>
      <c r="F9157" s="1"/>
    </row>
    <row r="9158" spans="5:6">
      <c r="E9158" s="1"/>
      <c r="F9158" s="1"/>
    </row>
    <row r="9159" spans="5:6">
      <c r="E9159" s="1"/>
      <c r="F9159" s="1"/>
    </row>
    <row r="9160" spans="5:6">
      <c r="E9160" s="1"/>
      <c r="F9160" s="1"/>
    </row>
    <row r="9161" spans="5:6">
      <c r="E9161" s="1"/>
      <c r="F9161" s="1"/>
    </row>
    <row r="9162" spans="5:6">
      <c r="E9162" s="1"/>
      <c r="F9162" s="1"/>
    </row>
    <row r="9163" spans="5:6">
      <c r="E9163" s="1"/>
      <c r="F9163" s="1"/>
    </row>
    <row r="9164" spans="5:6">
      <c r="E9164" s="1"/>
      <c r="F9164" s="1"/>
    </row>
    <row r="9165" spans="5:6">
      <c r="E9165" s="1"/>
      <c r="F9165" s="1"/>
    </row>
    <row r="9166" spans="5:6">
      <c r="E9166" s="1"/>
      <c r="F9166" s="1"/>
    </row>
    <row r="9167" spans="5:6">
      <c r="E9167" s="1"/>
      <c r="F9167" s="1"/>
    </row>
    <row r="9168" spans="5:6">
      <c r="E9168" s="1"/>
      <c r="F9168" s="1"/>
    </row>
    <row r="9169" spans="5:6">
      <c r="E9169" s="1"/>
      <c r="F9169" s="1"/>
    </row>
    <row r="9170" spans="5:6">
      <c r="E9170" s="1"/>
      <c r="F9170" s="1"/>
    </row>
    <row r="9171" spans="5:6">
      <c r="E9171" s="1"/>
      <c r="F9171" s="1"/>
    </row>
    <row r="9172" spans="5:6">
      <c r="E9172" s="1"/>
      <c r="F9172" s="1"/>
    </row>
    <row r="9173" spans="5:6">
      <c r="E9173" s="1"/>
      <c r="F9173" s="1"/>
    </row>
    <row r="9174" spans="5:6">
      <c r="E9174" s="1"/>
      <c r="F9174" s="1"/>
    </row>
    <row r="9175" spans="5:6">
      <c r="E9175" s="1"/>
      <c r="F9175" s="1"/>
    </row>
    <row r="9176" spans="5:6">
      <c r="E9176" s="1"/>
      <c r="F9176" s="1"/>
    </row>
    <row r="9177" spans="5:6">
      <c r="E9177" s="1"/>
      <c r="F9177" s="1"/>
    </row>
    <row r="9178" spans="5:6">
      <c r="E9178" s="1"/>
      <c r="F9178" s="1"/>
    </row>
    <row r="9179" spans="5:6">
      <c r="E9179" s="1"/>
      <c r="F9179" s="1"/>
    </row>
    <row r="9180" spans="5:6">
      <c r="E9180" s="1"/>
      <c r="F9180" s="1"/>
    </row>
    <row r="9181" spans="5:6">
      <c r="E9181" s="1"/>
      <c r="F9181" s="1"/>
    </row>
    <row r="9182" spans="5:6">
      <c r="E9182" s="1"/>
      <c r="F9182" s="1"/>
    </row>
    <row r="9183" spans="5:6">
      <c r="E9183" s="1"/>
      <c r="F9183" s="1"/>
    </row>
    <row r="9184" spans="5:6">
      <c r="E9184" s="1"/>
      <c r="F9184" s="1"/>
    </row>
    <row r="9185" spans="5:6">
      <c r="E9185" s="1"/>
      <c r="F9185" s="1"/>
    </row>
    <row r="9186" spans="5:6">
      <c r="E9186" s="1"/>
      <c r="F9186" s="1"/>
    </row>
    <row r="9187" spans="5:6">
      <c r="E9187" s="1"/>
      <c r="F9187" s="1"/>
    </row>
    <row r="9188" spans="5:6">
      <c r="E9188" s="1"/>
      <c r="F9188" s="1"/>
    </row>
    <row r="9189" spans="5:6">
      <c r="E9189" s="1"/>
      <c r="F9189" s="1"/>
    </row>
    <row r="9190" spans="5:6">
      <c r="E9190" s="1"/>
      <c r="F9190" s="1"/>
    </row>
    <row r="9191" spans="5:6">
      <c r="E9191" s="1"/>
      <c r="F9191" s="1"/>
    </row>
    <row r="9192" spans="5:6">
      <c r="E9192" s="1"/>
      <c r="F9192" s="1"/>
    </row>
    <row r="9193" spans="5:6">
      <c r="E9193" s="1"/>
      <c r="F9193" s="1"/>
    </row>
    <row r="9194" spans="5:6">
      <c r="E9194" s="1"/>
      <c r="F9194" s="1"/>
    </row>
    <row r="9195" spans="5:6">
      <c r="E9195" s="1"/>
      <c r="F9195" s="1"/>
    </row>
    <row r="9196" spans="5:6">
      <c r="E9196" s="1"/>
      <c r="F9196" s="1"/>
    </row>
    <row r="9197" spans="5:6">
      <c r="E9197" s="1"/>
      <c r="F9197" s="1"/>
    </row>
    <row r="9198" spans="5:6">
      <c r="E9198" s="1"/>
      <c r="F9198" s="1"/>
    </row>
    <row r="9199" spans="5:6">
      <c r="E9199" s="1"/>
      <c r="F9199" s="1"/>
    </row>
    <row r="9200" spans="5:6">
      <c r="E9200" s="1"/>
      <c r="F9200" s="1"/>
    </row>
    <row r="9201" spans="5:6">
      <c r="E9201" s="1"/>
      <c r="F9201" s="1"/>
    </row>
    <row r="9202" spans="5:6">
      <c r="E9202" s="1"/>
      <c r="F9202" s="1"/>
    </row>
    <row r="9203" spans="5:6">
      <c r="E9203" s="1"/>
      <c r="F9203" s="1"/>
    </row>
    <row r="9204" spans="5:6">
      <c r="E9204" s="1"/>
      <c r="F9204" s="1"/>
    </row>
    <row r="9205" spans="5:6">
      <c r="E9205" s="1"/>
      <c r="F9205" s="1"/>
    </row>
    <row r="9206" spans="5:6">
      <c r="E9206" s="1"/>
      <c r="F9206" s="1"/>
    </row>
    <row r="9207" spans="5:6">
      <c r="E9207" s="1"/>
      <c r="F9207" s="1"/>
    </row>
    <row r="9208" spans="5:6">
      <c r="E9208" s="1"/>
      <c r="F9208" s="1"/>
    </row>
    <row r="9209" spans="5:6">
      <c r="E9209" s="1"/>
      <c r="F9209" s="1"/>
    </row>
    <row r="9210" spans="5:6">
      <c r="E9210" s="1"/>
      <c r="F9210" s="1"/>
    </row>
    <row r="9211" spans="5:6">
      <c r="E9211" s="1"/>
      <c r="F9211" s="1"/>
    </row>
    <row r="9212" spans="5:6">
      <c r="E9212" s="1"/>
      <c r="F9212" s="1"/>
    </row>
    <row r="9213" spans="5:6">
      <c r="E9213" s="1"/>
      <c r="F9213" s="1"/>
    </row>
    <row r="9214" spans="5:6">
      <c r="E9214" s="1"/>
      <c r="F9214" s="1"/>
    </row>
    <row r="9215" spans="5:6">
      <c r="E9215" s="1"/>
      <c r="F9215" s="1"/>
    </row>
    <row r="9216" spans="5:6">
      <c r="E9216" s="1"/>
      <c r="F9216" s="1"/>
    </row>
    <row r="9217" spans="5:6">
      <c r="E9217" s="1"/>
      <c r="F9217" s="1"/>
    </row>
    <row r="9218" spans="5:6">
      <c r="E9218" s="1"/>
      <c r="F9218" s="1"/>
    </row>
    <row r="9219" spans="5:6">
      <c r="E9219" s="1"/>
      <c r="F9219" s="1"/>
    </row>
    <row r="9220" spans="5:6">
      <c r="E9220" s="1"/>
      <c r="F9220" s="1"/>
    </row>
    <row r="9221" spans="5:6">
      <c r="E9221" s="1"/>
      <c r="F9221" s="1"/>
    </row>
    <row r="9222" spans="5:6">
      <c r="E9222" s="1"/>
      <c r="F9222" s="1"/>
    </row>
    <row r="9223" spans="5:6">
      <c r="E9223" s="1"/>
      <c r="F9223" s="1"/>
    </row>
    <row r="9224" spans="5:6">
      <c r="E9224" s="1"/>
      <c r="F9224" s="1"/>
    </row>
    <row r="9225" spans="5:6">
      <c r="E9225" s="1"/>
      <c r="F9225" s="1"/>
    </row>
    <row r="9226" spans="5:6">
      <c r="E9226" s="1"/>
      <c r="F9226" s="1"/>
    </row>
    <row r="9227" spans="5:6">
      <c r="E9227" s="1"/>
      <c r="F9227" s="1"/>
    </row>
    <row r="9228" spans="5:6">
      <c r="E9228" s="1"/>
      <c r="F9228" s="1"/>
    </row>
    <row r="9229" spans="5:6">
      <c r="E9229" s="1"/>
      <c r="F9229" s="1"/>
    </row>
    <row r="9230" spans="5:6">
      <c r="E9230" s="1"/>
      <c r="F9230" s="1"/>
    </row>
    <row r="9231" spans="5:6">
      <c r="E9231" s="1"/>
      <c r="F9231" s="1"/>
    </row>
    <row r="9232" spans="5:6">
      <c r="E9232" s="1"/>
      <c r="F9232" s="1"/>
    </row>
    <row r="9233" spans="5:6">
      <c r="E9233" s="1"/>
      <c r="F9233" s="1"/>
    </row>
    <row r="9234" spans="5:6">
      <c r="E9234" s="1"/>
      <c r="F9234" s="1"/>
    </row>
    <row r="9235" spans="5:6">
      <c r="E9235" s="1"/>
      <c r="F9235" s="1"/>
    </row>
    <row r="9236" spans="5:6">
      <c r="E9236" s="1"/>
      <c r="F9236" s="1"/>
    </row>
    <row r="9237" spans="5:6">
      <c r="E9237" s="1"/>
      <c r="F9237" s="1"/>
    </row>
    <row r="9238" spans="5:6">
      <c r="E9238" s="1"/>
      <c r="F9238" s="1"/>
    </row>
    <row r="9239" spans="5:6">
      <c r="E9239" s="1"/>
      <c r="F9239" s="1"/>
    </row>
    <row r="9240" spans="5:6">
      <c r="E9240" s="1"/>
      <c r="F9240" s="1"/>
    </row>
    <row r="9241" spans="5:6">
      <c r="E9241" s="1"/>
      <c r="F9241" s="1"/>
    </row>
    <row r="9242" spans="5:6">
      <c r="E9242" s="1"/>
      <c r="F9242" s="1"/>
    </row>
    <row r="9243" spans="5:6">
      <c r="E9243" s="1"/>
      <c r="F9243" s="1"/>
    </row>
    <row r="9244" spans="5:6">
      <c r="E9244" s="1"/>
      <c r="F9244" s="1"/>
    </row>
    <row r="9245" spans="5:6">
      <c r="E9245" s="1"/>
      <c r="F9245" s="1"/>
    </row>
    <row r="9246" spans="5:6">
      <c r="E9246" s="1"/>
      <c r="F9246" s="1"/>
    </row>
    <row r="9247" spans="5:6">
      <c r="E9247" s="1"/>
      <c r="F9247" s="1"/>
    </row>
    <row r="9248" spans="5:6">
      <c r="E9248" s="1"/>
      <c r="F9248" s="1"/>
    </row>
    <row r="9249" spans="5:6">
      <c r="E9249" s="1"/>
      <c r="F9249" s="1"/>
    </row>
    <row r="9250" spans="5:6">
      <c r="E9250" s="1"/>
      <c r="F9250" s="1"/>
    </row>
    <row r="9251" spans="5:6">
      <c r="E9251" s="1"/>
      <c r="F9251" s="1"/>
    </row>
    <row r="9252" spans="5:6">
      <c r="E9252" s="1"/>
      <c r="F9252" s="1"/>
    </row>
    <row r="9253" spans="5:6">
      <c r="E9253" s="1"/>
      <c r="F9253" s="1"/>
    </row>
    <row r="9254" spans="5:6">
      <c r="E9254" s="1"/>
      <c r="F9254" s="1"/>
    </row>
    <row r="9255" spans="5:6">
      <c r="E9255" s="1"/>
      <c r="F9255" s="1"/>
    </row>
    <row r="9256" spans="5:6">
      <c r="E9256" s="1"/>
      <c r="F9256" s="1"/>
    </row>
    <row r="9257" spans="5:6">
      <c r="E9257" s="1"/>
      <c r="F9257" s="1"/>
    </row>
    <row r="9258" spans="5:6">
      <c r="E9258" s="1"/>
      <c r="F9258" s="1"/>
    </row>
    <row r="9259" spans="5:6">
      <c r="E9259" s="1"/>
      <c r="F9259" s="1"/>
    </row>
    <row r="9260" spans="5:6">
      <c r="E9260" s="1"/>
      <c r="F9260" s="1"/>
    </row>
    <row r="9261" spans="5:6">
      <c r="E9261" s="1"/>
      <c r="F9261" s="1"/>
    </row>
    <row r="9262" spans="5:6">
      <c r="E9262" s="1"/>
      <c r="F9262" s="1"/>
    </row>
    <row r="9263" spans="5:6">
      <c r="E9263" s="1"/>
      <c r="F9263" s="1"/>
    </row>
    <row r="9264" spans="5:6">
      <c r="E9264" s="1"/>
      <c r="F9264" s="1"/>
    </row>
    <row r="9265" spans="5:6">
      <c r="E9265" s="1"/>
      <c r="F9265" s="1"/>
    </row>
    <row r="9266" spans="5:6">
      <c r="E9266" s="1"/>
      <c r="F9266" s="1"/>
    </row>
    <row r="9267" spans="5:6">
      <c r="E9267" s="1"/>
      <c r="F9267" s="1"/>
    </row>
    <row r="9268" spans="5:6">
      <c r="E9268" s="1"/>
      <c r="F9268" s="1"/>
    </row>
    <row r="9269" spans="5:6">
      <c r="E9269" s="1"/>
      <c r="F9269" s="1"/>
    </row>
    <row r="9270" spans="5:6">
      <c r="E9270" s="1"/>
      <c r="F9270" s="1"/>
    </row>
    <row r="9271" spans="5:6">
      <c r="E9271" s="1"/>
      <c r="F9271" s="1"/>
    </row>
    <row r="9272" spans="5:6">
      <c r="E9272" s="1"/>
      <c r="F9272" s="1"/>
    </row>
    <row r="9273" spans="5:6">
      <c r="E9273" s="1"/>
      <c r="F9273" s="1"/>
    </row>
    <row r="9274" spans="5:6">
      <c r="E9274" s="1"/>
      <c r="F9274" s="1"/>
    </row>
    <row r="9275" spans="5:6">
      <c r="E9275" s="1"/>
      <c r="F9275" s="1"/>
    </row>
    <row r="9276" spans="5:6">
      <c r="E9276" s="1"/>
      <c r="F9276" s="1"/>
    </row>
    <row r="9277" spans="5:6">
      <c r="E9277" s="1"/>
      <c r="F9277" s="1"/>
    </row>
    <row r="9278" spans="5:6">
      <c r="E9278" s="1"/>
      <c r="F9278" s="1"/>
    </row>
    <row r="9279" spans="5:6">
      <c r="E9279" s="1"/>
      <c r="F9279" s="1"/>
    </row>
    <row r="9280" spans="5:6">
      <c r="E9280" s="1"/>
      <c r="F9280" s="1"/>
    </row>
    <row r="9281" spans="5:6">
      <c r="E9281" s="1"/>
      <c r="F9281" s="1"/>
    </row>
    <row r="9282" spans="5:6">
      <c r="E9282" s="1"/>
      <c r="F9282" s="1"/>
    </row>
    <row r="9283" spans="5:6">
      <c r="E9283" s="1"/>
      <c r="F9283" s="1"/>
    </row>
    <row r="9284" spans="5:6">
      <c r="E9284" s="1"/>
      <c r="F9284" s="1"/>
    </row>
    <row r="9285" spans="5:6">
      <c r="E9285" s="1"/>
      <c r="F9285" s="1"/>
    </row>
    <row r="9286" spans="5:6">
      <c r="E9286" s="1"/>
      <c r="F9286" s="1"/>
    </row>
    <row r="9287" spans="5:6">
      <c r="E9287" s="1"/>
      <c r="F9287" s="1"/>
    </row>
    <row r="9288" spans="5:6">
      <c r="E9288" s="1"/>
      <c r="F9288" s="1"/>
    </row>
    <row r="9289" spans="5:6">
      <c r="E9289" s="1"/>
      <c r="F9289" s="1"/>
    </row>
    <row r="9290" spans="5:6">
      <c r="E9290" s="1"/>
      <c r="F9290" s="1"/>
    </row>
    <row r="9291" spans="5:6">
      <c r="E9291" s="1"/>
      <c r="F9291" s="1"/>
    </row>
    <row r="9292" spans="5:6">
      <c r="E9292" s="1"/>
      <c r="F9292" s="1"/>
    </row>
    <row r="9293" spans="5:6">
      <c r="E9293" s="1"/>
      <c r="F9293" s="1"/>
    </row>
    <row r="9294" spans="5:6">
      <c r="E9294" s="1"/>
      <c r="F9294" s="1"/>
    </row>
    <row r="9295" spans="5:6">
      <c r="E9295" s="1"/>
      <c r="F9295" s="1"/>
    </row>
    <row r="9296" spans="5:6">
      <c r="E9296" s="1"/>
      <c r="F9296" s="1"/>
    </row>
    <row r="9297" spans="5:6">
      <c r="E9297" s="1"/>
      <c r="F9297" s="1"/>
    </row>
    <row r="9298" spans="5:6">
      <c r="E9298" s="1"/>
      <c r="F9298" s="1"/>
    </row>
    <row r="9299" spans="5:6">
      <c r="E9299" s="1"/>
      <c r="F9299" s="1"/>
    </row>
    <row r="9300" spans="5:6">
      <c r="E9300" s="1"/>
      <c r="F9300" s="1"/>
    </row>
    <row r="9301" spans="5:6">
      <c r="E9301" s="1"/>
      <c r="F9301" s="1"/>
    </row>
    <row r="9302" spans="5:6">
      <c r="E9302" s="1"/>
      <c r="F9302" s="1"/>
    </row>
    <row r="9303" spans="5:6">
      <c r="E9303" s="1"/>
      <c r="F9303" s="1"/>
    </row>
    <row r="9304" spans="5:6">
      <c r="E9304" s="1"/>
      <c r="F9304" s="1"/>
    </row>
    <row r="9305" spans="5:6">
      <c r="E9305" s="1"/>
      <c r="F9305" s="1"/>
    </row>
    <row r="9306" spans="5:6">
      <c r="E9306" s="1"/>
      <c r="F9306" s="1"/>
    </row>
    <row r="9307" spans="5:6">
      <c r="E9307" s="1"/>
      <c r="F9307" s="1"/>
    </row>
    <row r="9308" spans="5:6">
      <c r="E9308" s="1"/>
      <c r="F9308" s="1"/>
    </row>
    <row r="9309" spans="5:6">
      <c r="E9309" s="1"/>
      <c r="F9309" s="1"/>
    </row>
    <row r="9310" spans="5:6">
      <c r="E9310" s="1"/>
      <c r="F9310" s="1"/>
    </row>
    <row r="9311" spans="5:6">
      <c r="E9311" s="1"/>
      <c r="F9311" s="1"/>
    </row>
    <row r="9312" spans="5:6">
      <c r="E9312" s="1"/>
      <c r="F9312" s="1"/>
    </row>
    <row r="9313" spans="5:6">
      <c r="E9313" s="1"/>
      <c r="F9313" s="1"/>
    </row>
    <row r="9314" spans="5:6">
      <c r="E9314" s="1"/>
      <c r="F9314" s="1"/>
    </row>
    <row r="9315" spans="5:6">
      <c r="E9315" s="1"/>
      <c r="F9315" s="1"/>
    </row>
    <row r="9316" spans="5:6">
      <c r="E9316" s="1"/>
      <c r="F9316" s="1"/>
    </row>
    <row r="9317" spans="5:6">
      <c r="E9317" s="1"/>
      <c r="F9317" s="1"/>
    </row>
    <row r="9318" spans="5:6">
      <c r="E9318" s="1"/>
      <c r="F9318" s="1"/>
    </row>
    <row r="9319" spans="5:6">
      <c r="E9319" s="1"/>
      <c r="F9319" s="1"/>
    </row>
    <row r="9320" spans="5:6">
      <c r="E9320" s="1"/>
      <c r="F9320" s="1"/>
    </row>
    <row r="9321" spans="5:6">
      <c r="E9321" s="1"/>
      <c r="F9321" s="1"/>
    </row>
    <row r="9322" spans="5:6">
      <c r="E9322" s="1"/>
      <c r="F9322" s="1"/>
    </row>
    <row r="9323" spans="5:6">
      <c r="E9323" s="1"/>
      <c r="F9323" s="1"/>
    </row>
    <row r="9324" spans="5:6">
      <c r="E9324" s="1"/>
      <c r="F9324" s="1"/>
    </row>
    <row r="9325" spans="5:6">
      <c r="E9325" s="1"/>
      <c r="F9325" s="1"/>
    </row>
    <row r="9326" spans="5:6">
      <c r="E9326" s="1"/>
      <c r="F9326" s="1"/>
    </row>
    <row r="9327" spans="5:6">
      <c r="E9327" s="1"/>
      <c r="F9327" s="1"/>
    </row>
    <row r="9328" spans="5:6">
      <c r="E9328" s="1"/>
      <c r="F9328" s="1"/>
    </row>
    <row r="9329" spans="5:6">
      <c r="E9329" s="1"/>
      <c r="F9329" s="1"/>
    </row>
    <row r="9330" spans="5:6">
      <c r="E9330" s="1"/>
      <c r="F9330" s="1"/>
    </row>
    <row r="9331" spans="5:6">
      <c r="E9331" s="1"/>
      <c r="F9331" s="1"/>
    </row>
    <row r="9332" spans="5:6">
      <c r="E9332" s="1"/>
      <c r="F9332" s="1"/>
    </row>
    <row r="9333" spans="5:6">
      <c r="E9333" s="1"/>
      <c r="F9333" s="1"/>
    </row>
    <row r="9334" spans="5:6">
      <c r="E9334" s="1"/>
      <c r="F9334" s="1"/>
    </row>
    <row r="9335" spans="5:6">
      <c r="E9335" s="1"/>
      <c r="F9335" s="1"/>
    </row>
    <row r="9336" spans="5:6">
      <c r="E9336" s="1"/>
      <c r="F9336" s="1"/>
    </row>
    <row r="9337" spans="5:6">
      <c r="E9337" s="1"/>
      <c r="F9337" s="1"/>
    </row>
    <row r="9338" spans="5:6">
      <c r="E9338" s="1"/>
      <c r="F9338" s="1"/>
    </row>
    <row r="9339" spans="5:6">
      <c r="E9339" s="1"/>
      <c r="F9339" s="1"/>
    </row>
    <row r="9340" spans="5:6">
      <c r="E9340" s="1"/>
      <c r="F9340" s="1"/>
    </row>
    <row r="9341" spans="5:6">
      <c r="E9341" s="1"/>
      <c r="F9341" s="1"/>
    </row>
    <row r="9342" spans="5:6">
      <c r="E9342" s="1"/>
      <c r="F9342" s="1"/>
    </row>
    <row r="9343" spans="5:6">
      <c r="E9343" s="1"/>
      <c r="F9343" s="1"/>
    </row>
    <row r="9344" spans="5:6">
      <c r="E9344" s="1"/>
      <c r="F9344" s="1"/>
    </row>
    <row r="9345" spans="5:6">
      <c r="E9345" s="1"/>
      <c r="F9345" s="1"/>
    </row>
    <row r="9346" spans="5:6">
      <c r="E9346" s="1"/>
      <c r="F9346" s="1"/>
    </row>
    <row r="9347" spans="5:6">
      <c r="E9347" s="1"/>
      <c r="F9347" s="1"/>
    </row>
    <row r="9348" spans="5:6">
      <c r="E9348" s="1"/>
      <c r="F9348" s="1"/>
    </row>
    <row r="9349" spans="5:6">
      <c r="E9349" s="1"/>
      <c r="F9349" s="1"/>
    </row>
    <row r="9350" spans="5:6">
      <c r="E9350" s="1"/>
      <c r="F9350" s="1"/>
    </row>
    <row r="9351" spans="5:6">
      <c r="E9351" s="1"/>
      <c r="F9351" s="1"/>
    </row>
    <row r="9352" spans="5:6">
      <c r="E9352" s="1"/>
      <c r="F9352" s="1"/>
    </row>
    <row r="9353" spans="5:6">
      <c r="E9353" s="1"/>
      <c r="F9353" s="1"/>
    </row>
    <row r="9354" spans="5:6">
      <c r="E9354" s="1"/>
      <c r="F9354" s="1"/>
    </row>
    <row r="9355" spans="5:6">
      <c r="E9355" s="1"/>
      <c r="F9355" s="1"/>
    </row>
    <row r="9356" spans="5:6">
      <c r="E9356" s="1"/>
      <c r="F9356" s="1"/>
    </row>
    <row r="9357" spans="5:6">
      <c r="E9357" s="1"/>
      <c r="F9357" s="1"/>
    </row>
    <row r="9358" spans="5:6">
      <c r="E9358" s="1"/>
      <c r="F9358" s="1"/>
    </row>
    <row r="9359" spans="5:6">
      <c r="E9359" s="1"/>
      <c r="F9359" s="1"/>
    </row>
    <row r="9360" spans="5:6">
      <c r="E9360" s="1"/>
      <c r="F9360" s="1"/>
    </row>
    <row r="9361" spans="5:6">
      <c r="E9361" s="1"/>
      <c r="F9361" s="1"/>
    </row>
    <row r="9362" spans="5:6">
      <c r="E9362" s="1"/>
      <c r="F9362" s="1"/>
    </row>
    <row r="9363" spans="5:6">
      <c r="E9363" s="1"/>
      <c r="F9363" s="1"/>
    </row>
    <row r="9364" spans="5:6">
      <c r="E9364" s="1"/>
      <c r="F9364" s="1"/>
    </row>
    <row r="9365" spans="5:6">
      <c r="E9365" s="1"/>
      <c r="F9365" s="1"/>
    </row>
    <row r="9366" spans="5:6">
      <c r="E9366" s="1"/>
      <c r="F9366" s="1"/>
    </row>
    <row r="9367" spans="5:6">
      <c r="E9367" s="1"/>
      <c r="F9367" s="1"/>
    </row>
    <row r="9368" spans="5:6">
      <c r="E9368" s="1"/>
      <c r="F9368" s="1"/>
    </row>
    <row r="9369" spans="5:6">
      <c r="E9369" s="1"/>
      <c r="F9369" s="1"/>
    </row>
    <row r="9370" spans="5:6">
      <c r="E9370" s="1"/>
      <c r="F9370" s="1"/>
    </row>
    <row r="9371" spans="5:6">
      <c r="E9371" s="1"/>
      <c r="F9371" s="1"/>
    </row>
    <row r="9372" spans="5:6">
      <c r="E9372" s="1"/>
      <c r="F9372" s="1"/>
    </row>
    <row r="9373" spans="5:6">
      <c r="E9373" s="1"/>
      <c r="F9373" s="1"/>
    </row>
    <row r="9374" spans="5:6">
      <c r="E9374" s="1"/>
      <c r="F9374" s="1"/>
    </row>
    <row r="9375" spans="5:6">
      <c r="E9375" s="1"/>
      <c r="F9375" s="1"/>
    </row>
    <row r="9376" spans="5:6">
      <c r="E9376" s="1"/>
      <c r="F9376" s="1"/>
    </row>
    <row r="9377" spans="5:6">
      <c r="E9377" s="1"/>
      <c r="F9377" s="1"/>
    </row>
    <row r="9378" spans="5:6">
      <c r="E9378" s="1"/>
      <c r="F9378" s="1"/>
    </row>
    <row r="9379" spans="5:6">
      <c r="E9379" s="1"/>
      <c r="F9379" s="1"/>
    </row>
    <row r="9380" spans="5:6">
      <c r="E9380" s="1"/>
      <c r="F9380" s="1"/>
    </row>
    <row r="9381" spans="5:6">
      <c r="E9381" s="1"/>
      <c r="F9381" s="1"/>
    </row>
    <row r="9382" spans="5:6">
      <c r="E9382" s="1"/>
      <c r="F9382" s="1"/>
    </row>
    <row r="9383" spans="5:6">
      <c r="E9383" s="1"/>
      <c r="F9383" s="1"/>
    </row>
    <row r="9384" spans="5:6">
      <c r="E9384" s="1"/>
      <c r="F9384" s="1"/>
    </row>
    <row r="9385" spans="5:6">
      <c r="E9385" s="1"/>
      <c r="F9385" s="1"/>
    </row>
    <row r="9386" spans="5:6">
      <c r="E9386" s="1"/>
      <c r="F9386" s="1"/>
    </row>
    <row r="9387" spans="5:6">
      <c r="E9387" s="1"/>
      <c r="F9387" s="1"/>
    </row>
    <row r="9388" spans="5:6">
      <c r="E9388" s="1"/>
      <c r="F9388" s="1"/>
    </row>
    <row r="9389" spans="5:6">
      <c r="E9389" s="1"/>
      <c r="F9389" s="1"/>
    </row>
    <row r="9390" spans="5:6">
      <c r="E9390" s="1"/>
      <c r="F9390" s="1"/>
    </row>
    <row r="9391" spans="5:6">
      <c r="E9391" s="1"/>
      <c r="F9391" s="1"/>
    </row>
    <row r="9392" spans="5:6">
      <c r="E9392" s="1"/>
      <c r="F9392" s="1"/>
    </row>
    <row r="9393" spans="5:6">
      <c r="E9393" s="1"/>
      <c r="F9393" s="1"/>
    </row>
    <row r="9394" spans="5:6">
      <c r="E9394" s="1"/>
      <c r="F9394" s="1"/>
    </row>
    <row r="9395" spans="5:6">
      <c r="E9395" s="1"/>
      <c r="F9395" s="1"/>
    </row>
    <row r="9396" spans="5:6">
      <c r="E9396" s="1"/>
      <c r="F9396" s="1"/>
    </row>
    <row r="9397" spans="5:6">
      <c r="E9397" s="1"/>
      <c r="F9397" s="1"/>
    </row>
    <row r="9398" spans="5:6">
      <c r="E9398" s="1"/>
      <c r="F9398" s="1"/>
    </row>
    <row r="9399" spans="5:6">
      <c r="E9399" s="1"/>
      <c r="F9399" s="1"/>
    </row>
    <row r="9400" spans="5:6">
      <c r="E9400" s="1"/>
      <c r="F9400" s="1"/>
    </row>
    <row r="9401" spans="5:6">
      <c r="E9401" s="1"/>
      <c r="F9401" s="1"/>
    </row>
    <row r="9402" spans="5:6">
      <c r="E9402" s="1"/>
      <c r="F9402" s="1"/>
    </row>
    <row r="9403" spans="5:6">
      <c r="E9403" s="1"/>
      <c r="F9403" s="1"/>
    </row>
    <row r="9404" spans="5:6">
      <c r="E9404" s="1"/>
      <c r="F9404" s="1"/>
    </row>
    <row r="9405" spans="5:6">
      <c r="E9405" s="1"/>
      <c r="F9405" s="1"/>
    </row>
    <row r="9406" spans="5:6">
      <c r="E9406" s="1"/>
      <c r="F9406" s="1"/>
    </row>
    <row r="9407" spans="5:6">
      <c r="E9407" s="1"/>
      <c r="F9407" s="1"/>
    </row>
    <row r="9408" spans="5:6">
      <c r="E9408" s="1"/>
      <c r="F9408" s="1"/>
    </row>
    <row r="9409" spans="5:6">
      <c r="E9409" s="1"/>
      <c r="F9409" s="1"/>
    </row>
    <row r="9410" spans="5:6">
      <c r="E9410" s="1"/>
      <c r="F9410" s="1"/>
    </row>
    <row r="9411" spans="5:6">
      <c r="E9411" s="1"/>
      <c r="F9411" s="1"/>
    </row>
    <row r="9412" spans="5:6">
      <c r="E9412" s="1"/>
      <c r="F9412" s="1"/>
    </row>
    <row r="9413" spans="5:6">
      <c r="E9413" s="1"/>
      <c r="F9413" s="1"/>
    </row>
    <row r="9414" spans="5:6">
      <c r="E9414" s="1"/>
      <c r="F9414" s="1"/>
    </row>
    <row r="9415" spans="5:6">
      <c r="E9415" s="1"/>
      <c r="F9415" s="1"/>
    </row>
    <row r="9416" spans="5:6">
      <c r="E9416" s="1"/>
      <c r="F9416" s="1"/>
    </row>
    <row r="9417" spans="5:6">
      <c r="E9417" s="1"/>
      <c r="F9417" s="1"/>
    </row>
    <row r="9418" spans="5:6">
      <c r="E9418" s="1"/>
      <c r="F9418" s="1"/>
    </row>
    <row r="9419" spans="5:6">
      <c r="E9419" s="1"/>
      <c r="F9419" s="1"/>
    </row>
    <row r="9420" spans="5:6">
      <c r="E9420" s="1"/>
      <c r="F9420" s="1"/>
    </row>
    <row r="9421" spans="5:6">
      <c r="E9421" s="1"/>
      <c r="F9421" s="1"/>
    </row>
    <row r="9422" spans="5:6">
      <c r="E9422" s="1"/>
      <c r="F9422" s="1"/>
    </row>
    <row r="9423" spans="5:6">
      <c r="E9423" s="1"/>
      <c r="F9423" s="1"/>
    </row>
    <row r="9424" spans="5:6">
      <c r="E9424" s="1"/>
      <c r="F9424" s="1"/>
    </row>
    <row r="9425" spans="5:6">
      <c r="E9425" s="1"/>
      <c r="F9425" s="1"/>
    </row>
    <row r="9426" spans="5:6">
      <c r="E9426" s="1"/>
      <c r="F9426" s="1"/>
    </row>
    <row r="9427" spans="5:6">
      <c r="E9427" s="1"/>
      <c r="F9427" s="1"/>
    </row>
    <row r="9428" spans="5:6">
      <c r="E9428" s="1"/>
      <c r="F9428" s="1"/>
    </row>
    <row r="9429" spans="5:6">
      <c r="E9429" s="1"/>
      <c r="F9429" s="1"/>
    </row>
    <row r="9430" spans="5:6">
      <c r="E9430" s="1"/>
      <c r="F9430" s="1"/>
    </row>
    <row r="9431" spans="5:6">
      <c r="E9431" s="1"/>
      <c r="F9431" s="1"/>
    </row>
    <row r="9432" spans="5:6">
      <c r="E9432" s="1"/>
      <c r="F9432" s="1"/>
    </row>
    <row r="9433" spans="5:6">
      <c r="E9433" s="1"/>
      <c r="F9433" s="1"/>
    </row>
    <row r="9434" spans="5:6">
      <c r="E9434" s="1"/>
      <c r="F9434" s="1"/>
    </row>
    <row r="9435" spans="5:6">
      <c r="E9435" s="1"/>
      <c r="F9435" s="1"/>
    </row>
    <row r="9436" spans="5:6">
      <c r="E9436" s="1"/>
      <c r="F9436" s="1"/>
    </row>
    <row r="9437" spans="5:6">
      <c r="E9437" s="1"/>
      <c r="F9437" s="1"/>
    </row>
    <row r="9438" spans="5:6">
      <c r="E9438" s="1"/>
      <c r="F9438" s="1"/>
    </row>
    <row r="9439" spans="5:6">
      <c r="E9439" s="1"/>
      <c r="F9439" s="1"/>
    </row>
    <row r="9440" spans="5:6">
      <c r="E9440" s="1"/>
      <c r="F9440" s="1"/>
    </row>
    <row r="9441" spans="5:6">
      <c r="E9441" s="1"/>
      <c r="F9441" s="1"/>
    </row>
    <row r="9442" spans="5:6">
      <c r="E9442" s="1"/>
      <c r="F9442" s="1"/>
    </row>
    <row r="9443" spans="5:6">
      <c r="E9443" s="1"/>
      <c r="F9443" s="1"/>
    </row>
    <row r="9444" spans="5:6">
      <c r="E9444" s="1"/>
      <c r="F9444" s="1"/>
    </row>
    <row r="9445" spans="5:6">
      <c r="E9445" s="1"/>
      <c r="F9445" s="1"/>
    </row>
    <row r="9446" spans="5:6">
      <c r="E9446" s="1"/>
      <c r="F9446" s="1"/>
    </row>
    <row r="9447" spans="5:6">
      <c r="E9447" s="1"/>
      <c r="F9447" s="1"/>
    </row>
    <row r="9448" spans="5:6">
      <c r="E9448" s="1"/>
      <c r="F9448" s="1"/>
    </row>
    <row r="9449" spans="5:6">
      <c r="E9449" s="1"/>
      <c r="F9449" s="1"/>
    </row>
    <row r="9450" spans="5:6">
      <c r="E9450" s="1"/>
      <c r="F9450" s="1"/>
    </row>
    <row r="9451" spans="5:6">
      <c r="E9451" s="1"/>
      <c r="F9451" s="1"/>
    </row>
    <row r="9452" spans="5:6">
      <c r="E9452" s="1"/>
      <c r="F9452" s="1"/>
    </row>
    <row r="9453" spans="5:6">
      <c r="E9453" s="1"/>
      <c r="F9453" s="1"/>
    </row>
    <row r="9454" spans="5:6">
      <c r="E9454" s="1"/>
      <c r="F9454" s="1"/>
    </row>
    <row r="9455" spans="5:6">
      <c r="E9455" s="1"/>
      <c r="F9455" s="1"/>
    </row>
    <row r="9456" spans="5:6">
      <c r="E9456" s="1"/>
      <c r="F9456" s="1"/>
    </row>
    <row r="9457" spans="5:6">
      <c r="E9457" s="1"/>
      <c r="F9457" s="1"/>
    </row>
    <row r="9458" spans="5:6">
      <c r="E9458" s="1"/>
      <c r="F9458" s="1"/>
    </row>
    <row r="9459" spans="5:6">
      <c r="E9459" s="1"/>
      <c r="F9459" s="1"/>
    </row>
    <row r="9460" spans="5:6">
      <c r="E9460" s="1"/>
      <c r="F9460" s="1"/>
    </row>
    <row r="9461" spans="5:6">
      <c r="E9461" s="1"/>
      <c r="F9461" s="1"/>
    </row>
    <row r="9462" spans="5:6">
      <c r="E9462" s="1"/>
      <c r="F9462" s="1"/>
    </row>
    <row r="9463" spans="5:6">
      <c r="E9463" s="1"/>
      <c r="F9463" s="1"/>
    </row>
    <row r="9464" spans="5:6">
      <c r="E9464" s="1"/>
      <c r="F9464" s="1"/>
    </row>
    <row r="9465" spans="5:6">
      <c r="E9465" s="1"/>
      <c r="F9465" s="1"/>
    </row>
    <row r="9466" spans="5:6">
      <c r="E9466" s="1"/>
      <c r="F9466" s="1"/>
    </row>
    <row r="9467" spans="5:6">
      <c r="E9467" s="1"/>
      <c r="F9467" s="1"/>
    </row>
    <row r="9468" spans="5:6">
      <c r="E9468" s="1"/>
      <c r="F9468" s="1"/>
    </row>
    <row r="9469" spans="5:6">
      <c r="E9469" s="1"/>
      <c r="F9469" s="1"/>
    </row>
    <row r="9470" spans="5:6">
      <c r="E9470" s="1"/>
      <c r="F9470" s="1"/>
    </row>
    <row r="9471" spans="5:6">
      <c r="E9471" s="1"/>
      <c r="F9471" s="1"/>
    </row>
    <row r="9472" spans="5:6">
      <c r="E9472" s="1"/>
      <c r="F9472" s="1"/>
    </row>
    <row r="9473" spans="5:6">
      <c r="E9473" s="1"/>
      <c r="F9473" s="1"/>
    </row>
    <row r="9474" spans="5:6">
      <c r="E9474" s="1"/>
      <c r="F9474" s="1"/>
    </row>
    <row r="9475" spans="5:6">
      <c r="E9475" s="1"/>
      <c r="F9475" s="1"/>
    </row>
    <row r="9476" spans="5:6">
      <c r="E9476" s="1"/>
      <c r="F9476" s="1"/>
    </row>
    <row r="9477" spans="5:6">
      <c r="E9477" s="1"/>
      <c r="F9477" s="1"/>
    </row>
    <row r="9478" spans="5:6">
      <c r="E9478" s="1"/>
      <c r="F9478" s="1"/>
    </row>
    <row r="9479" spans="5:6">
      <c r="E9479" s="1"/>
      <c r="F9479" s="1"/>
    </row>
    <row r="9480" spans="5:6">
      <c r="E9480" s="1"/>
      <c r="F9480" s="1"/>
    </row>
    <row r="9481" spans="5:6">
      <c r="E9481" s="1"/>
      <c r="F9481" s="1"/>
    </row>
    <row r="9482" spans="5:6">
      <c r="E9482" s="1"/>
      <c r="F9482" s="1"/>
    </row>
    <row r="9483" spans="5:6">
      <c r="E9483" s="1"/>
      <c r="F9483" s="1"/>
    </row>
    <row r="9484" spans="5:6">
      <c r="E9484" s="1"/>
      <c r="F9484" s="1"/>
    </row>
    <row r="9485" spans="5:6">
      <c r="E9485" s="1"/>
      <c r="F9485" s="1"/>
    </row>
    <row r="9486" spans="5:6">
      <c r="E9486" s="1"/>
      <c r="F9486" s="1"/>
    </row>
    <row r="9487" spans="5:6">
      <c r="E9487" s="1"/>
      <c r="F9487" s="1"/>
    </row>
    <row r="9488" spans="5:6">
      <c r="E9488" s="1"/>
      <c r="F9488" s="1"/>
    </row>
    <row r="9489" spans="5:6">
      <c r="E9489" s="1"/>
      <c r="F9489" s="1"/>
    </row>
    <row r="9490" spans="5:6">
      <c r="E9490" s="1"/>
      <c r="F9490" s="1"/>
    </row>
    <row r="9491" spans="5:6">
      <c r="E9491" s="1"/>
      <c r="F9491" s="1"/>
    </row>
    <row r="9492" spans="5:6">
      <c r="E9492" s="1"/>
      <c r="F9492" s="1"/>
    </row>
    <row r="9493" spans="5:6">
      <c r="E9493" s="1"/>
      <c r="F9493" s="1"/>
    </row>
    <row r="9494" spans="5:6">
      <c r="E9494" s="1"/>
      <c r="F9494" s="1"/>
    </row>
    <row r="9495" spans="5:6">
      <c r="E9495" s="1"/>
      <c r="F9495" s="1"/>
    </row>
    <row r="9496" spans="5:6">
      <c r="E9496" s="1"/>
      <c r="F9496" s="1"/>
    </row>
    <row r="9497" spans="5:6">
      <c r="E9497" s="1"/>
      <c r="F9497" s="1"/>
    </row>
    <row r="9498" spans="5:6">
      <c r="E9498" s="1"/>
      <c r="F9498" s="1"/>
    </row>
    <row r="9499" spans="5:6">
      <c r="E9499" s="1"/>
      <c r="F9499" s="1"/>
    </row>
    <row r="9500" spans="5:6">
      <c r="E9500" s="1"/>
      <c r="F9500" s="1"/>
    </row>
    <row r="9501" spans="5:6">
      <c r="E9501" s="1"/>
      <c r="F9501" s="1"/>
    </row>
    <row r="9502" spans="5:6">
      <c r="E9502" s="1"/>
      <c r="F9502" s="1"/>
    </row>
    <row r="9503" spans="5:6">
      <c r="E9503" s="1"/>
      <c r="F9503" s="1"/>
    </row>
    <row r="9504" spans="5:6">
      <c r="E9504" s="1"/>
      <c r="F9504" s="1"/>
    </row>
    <row r="9505" spans="5:6">
      <c r="E9505" s="1"/>
      <c r="F9505" s="1"/>
    </row>
    <row r="9506" spans="5:6">
      <c r="E9506" s="1"/>
      <c r="F9506" s="1"/>
    </row>
    <row r="9507" spans="5:6">
      <c r="E9507" s="1"/>
      <c r="F9507" s="1"/>
    </row>
    <row r="9508" spans="5:6">
      <c r="E9508" s="1"/>
      <c r="F9508" s="1"/>
    </row>
    <row r="9509" spans="5:6">
      <c r="E9509" s="1"/>
      <c r="F9509" s="1"/>
    </row>
    <row r="9510" spans="5:6">
      <c r="E9510" s="1"/>
      <c r="F9510" s="1"/>
    </row>
    <row r="9511" spans="5:6">
      <c r="E9511" s="1"/>
      <c r="F9511" s="1"/>
    </row>
    <row r="9512" spans="5:6">
      <c r="E9512" s="1"/>
      <c r="F9512" s="1"/>
    </row>
    <row r="9513" spans="5:6">
      <c r="E9513" s="1"/>
      <c r="F9513" s="1"/>
    </row>
    <row r="9514" spans="5:6">
      <c r="E9514" s="1"/>
      <c r="F9514" s="1"/>
    </row>
    <row r="9515" spans="5:6">
      <c r="E9515" s="1"/>
      <c r="F9515" s="1"/>
    </row>
    <row r="9516" spans="5:6">
      <c r="E9516" s="1"/>
      <c r="F9516" s="1"/>
    </row>
    <row r="9517" spans="5:6">
      <c r="E9517" s="1"/>
      <c r="F9517" s="1"/>
    </row>
    <row r="9518" spans="5:6">
      <c r="E9518" s="1"/>
      <c r="F9518" s="1"/>
    </row>
    <row r="9519" spans="5:6">
      <c r="E9519" s="1"/>
      <c r="F9519" s="1"/>
    </row>
    <row r="9520" spans="5:6">
      <c r="E9520" s="1"/>
      <c r="F9520" s="1"/>
    </row>
    <row r="9521" spans="5:6">
      <c r="E9521" s="1"/>
      <c r="F9521" s="1"/>
    </row>
    <row r="9522" spans="5:6">
      <c r="E9522" s="1"/>
      <c r="F9522" s="1"/>
    </row>
    <row r="9523" spans="5:6">
      <c r="E9523" s="1"/>
      <c r="F9523" s="1"/>
    </row>
    <row r="9524" spans="5:6">
      <c r="E9524" s="1"/>
      <c r="F9524" s="1"/>
    </row>
    <row r="9525" spans="5:6">
      <c r="E9525" s="1"/>
      <c r="F9525" s="1"/>
    </row>
    <row r="9526" spans="5:6">
      <c r="E9526" s="1"/>
      <c r="F9526" s="1"/>
    </row>
    <row r="9527" spans="5:6">
      <c r="E9527" s="1"/>
      <c r="F9527" s="1"/>
    </row>
    <row r="9528" spans="5:6">
      <c r="E9528" s="1"/>
      <c r="F9528" s="1"/>
    </row>
    <row r="9529" spans="5:6">
      <c r="E9529" s="1"/>
      <c r="F9529" s="1"/>
    </row>
    <row r="9530" spans="5:6">
      <c r="E9530" s="1"/>
      <c r="F9530" s="1"/>
    </row>
    <row r="9531" spans="5:6">
      <c r="E9531" s="1"/>
      <c r="F9531" s="1"/>
    </row>
    <row r="9532" spans="5:6">
      <c r="E9532" s="1"/>
      <c r="F9532" s="1"/>
    </row>
    <row r="9533" spans="5:6">
      <c r="E9533" s="1"/>
      <c r="F9533" s="1"/>
    </row>
    <row r="9534" spans="5:6">
      <c r="E9534" s="1"/>
      <c r="F9534" s="1"/>
    </row>
    <row r="9535" spans="5:6">
      <c r="E9535" s="1"/>
      <c r="F9535" s="1"/>
    </row>
    <row r="9536" spans="5:6">
      <c r="E9536" s="1"/>
      <c r="F9536" s="1"/>
    </row>
    <row r="9537" spans="5:6">
      <c r="E9537" s="1"/>
      <c r="F9537" s="1"/>
    </row>
    <row r="9538" spans="5:6">
      <c r="E9538" s="1"/>
      <c r="F9538" s="1"/>
    </row>
    <row r="9539" spans="5:6">
      <c r="E9539" s="1"/>
      <c r="F9539" s="1"/>
    </row>
    <row r="9540" spans="5:6">
      <c r="E9540" s="1"/>
      <c r="F9540" s="1"/>
    </row>
    <row r="9541" spans="5:6">
      <c r="E9541" s="1"/>
      <c r="F9541" s="1"/>
    </row>
    <row r="9542" spans="5:6">
      <c r="E9542" s="1"/>
      <c r="F9542" s="1"/>
    </row>
    <row r="9543" spans="5:6">
      <c r="E9543" s="1"/>
      <c r="F9543" s="1"/>
    </row>
    <row r="9544" spans="5:6">
      <c r="E9544" s="1"/>
      <c r="F9544" s="1"/>
    </row>
    <row r="9545" spans="5:6">
      <c r="E9545" s="1"/>
      <c r="F9545" s="1"/>
    </row>
    <row r="9546" spans="5:6">
      <c r="E9546" s="1"/>
      <c r="F9546" s="1"/>
    </row>
    <row r="9547" spans="5:6">
      <c r="E9547" s="1"/>
      <c r="F9547" s="1"/>
    </row>
    <row r="9548" spans="5:6">
      <c r="E9548" s="1"/>
      <c r="F9548" s="1"/>
    </row>
    <row r="9549" spans="5:6">
      <c r="E9549" s="1"/>
      <c r="F9549" s="1"/>
    </row>
    <row r="9550" spans="5:6">
      <c r="E9550" s="1"/>
      <c r="F9550" s="1"/>
    </row>
    <row r="9551" spans="5:6">
      <c r="E9551" s="1"/>
      <c r="F9551" s="1"/>
    </row>
    <row r="9552" spans="5:6">
      <c r="E9552" s="1"/>
      <c r="F9552" s="1"/>
    </row>
    <row r="9553" spans="5:6">
      <c r="E9553" s="1"/>
      <c r="F9553" s="1"/>
    </row>
    <row r="9554" spans="5:6">
      <c r="E9554" s="1"/>
      <c r="F9554" s="1"/>
    </row>
    <row r="9555" spans="5:6">
      <c r="E9555" s="1"/>
      <c r="F9555" s="1"/>
    </row>
    <row r="9556" spans="5:6">
      <c r="E9556" s="1"/>
      <c r="F9556" s="1"/>
    </row>
    <row r="9557" spans="5:6">
      <c r="E9557" s="1"/>
      <c r="F9557" s="1"/>
    </row>
    <row r="9558" spans="5:6">
      <c r="E9558" s="1"/>
      <c r="F9558" s="1"/>
    </row>
    <row r="9559" spans="5:6">
      <c r="E9559" s="1"/>
      <c r="F9559" s="1"/>
    </row>
    <row r="9560" spans="5:6">
      <c r="E9560" s="1"/>
      <c r="F9560" s="1"/>
    </row>
    <row r="9561" spans="5:6">
      <c r="E9561" s="1"/>
      <c r="F9561" s="1"/>
    </row>
    <row r="9562" spans="5:6">
      <c r="E9562" s="1"/>
      <c r="F9562" s="1"/>
    </row>
    <row r="9563" spans="5:6">
      <c r="E9563" s="1"/>
      <c r="F9563" s="1"/>
    </row>
    <row r="9564" spans="5:6">
      <c r="E9564" s="1"/>
      <c r="F9564" s="1"/>
    </row>
    <row r="9565" spans="5:6">
      <c r="E9565" s="1"/>
      <c r="F9565" s="1"/>
    </row>
    <row r="9566" spans="5:6">
      <c r="E9566" s="1"/>
      <c r="F9566" s="1"/>
    </row>
    <row r="9567" spans="5:6">
      <c r="E9567" s="1"/>
      <c r="F9567" s="1"/>
    </row>
    <row r="9568" spans="5:6">
      <c r="E9568" s="1"/>
      <c r="F9568" s="1"/>
    </row>
    <row r="9569" spans="5:6">
      <c r="E9569" s="1"/>
      <c r="F9569" s="1"/>
    </row>
    <row r="9570" spans="5:6">
      <c r="E9570" s="1"/>
      <c r="F9570" s="1"/>
    </row>
    <row r="9571" spans="5:6">
      <c r="E9571" s="1"/>
      <c r="F9571" s="1"/>
    </row>
    <row r="9572" spans="5:6">
      <c r="E9572" s="1"/>
      <c r="F9572" s="1"/>
    </row>
    <row r="9573" spans="5:6">
      <c r="E9573" s="1"/>
      <c r="F9573" s="1"/>
    </row>
    <row r="9574" spans="5:6">
      <c r="E9574" s="1"/>
      <c r="F9574" s="1"/>
    </row>
    <row r="9575" spans="5:6">
      <c r="E9575" s="1"/>
      <c r="F9575" s="1"/>
    </row>
    <row r="9576" spans="5:6">
      <c r="E9576" s="1"/>
      <c r="F9576" s="1"/>
    </row>
    <row r="9577" spans="5:6">
      <c r="E9577" s="1"/>
      <c r="F9577" s="1"/>
    </row>
    <row r="9578" spans="5:6">
      <c r="E9578" s="1"/>
      <c r="F9578" s="1"/>
    </row>
    <row r="9579" spans="5:6">
      <c r="E9579" s="1"/>
      <c r="F9579" s="1"/>
    </row>
    <row r="9580" spans="5:6">
      <c r="E9580" s="1"/>
      <c r="F9580" s="1"/>
    </row>
    <row r="9581" spans="5:6">
      <c r="E9581" s="1"/>
      <c r="F9581" s="1"/>
    </row>
    <row r="9582" spans="5:6">
      <c r="E9582" s="1"/>
      <c r="F9582" s="1"/>
    </row>
    <row r="9583" spans="5:6">
      <c r="E9583" s="1"/>
      <c r="F9583" s="1"/>
    </row>
    <row r="9584" spans="5:6">
      <c r="E9584" s="1"/>
      <c r="F9584" s="1"/>
    </row>
    <row r="9585" spans="5:6">
      <c r="E9585" s="1"/>
      <c r="F9585" s="1"/>
    </row>
    <row r="9586" spans="5:6">
      <c r="E9586" s="1"/>
      <c r="F9586" s="1"/>
    </row>
    <row r="9587" spans="5:6">
      <c r="E9587" s="1"/>
      <c r="F9587" s="1"/>
    </row>
    <row r="9588" spans="5:6">
      <c r="E9588" s="1"/>
      <c r="F9588" s="1"/>
    </row>
    <row r="9589" spans="5:6">
      <c r="E9589" s="1"/>
      <c r="F9589" s="1"/>
    </row>
    <row r="9590" spans="5:6">
      <c r="E9590" s="1"/>
      <c r="F9590" s="1"/>
    </row>
    <row r="9591" spans="5:6">
      <c r="E9591" s="1"/>
      <c r="F9591" s="1"/>
    </row>
    <row r="9592" spans="5:6">
      <c r="E9592" s="1"/>
      <c r="F9592" s="1"/>
    </row>
    <row r="9593" spans="5:6">
      <c r="E9593" s="1"/>
      <c r="F9593" s="1"/>
    </row>
    <row r="9594" spans="5:6">
      <c r="E9594" s="1"/>
      <c r="F9594" s="1"/>
    </row>
    <row r="9595" spans="5:6">
      <c r="E9595" s="1"/>
      <c r="F9595" s="1"/>
    </row>
    <row r="9596" spans="5:6">
      <c r="E9596" s="1"/>
      <c r="F9596" s="1"/>
    </row>
    <row r="9597" spans="5:6">
      <c r="E9597" s="1"/>
      <c r="F9597" s="1"/>
    </row>
    <row r="9598" spans="5:6">
      <c r="E9598" s="1"/>
      <c r="F9598" s="1"/>
    </row>
    <row r="9599" spans="5:6">
      <c r="E9599" s="1"/>
      <c r="F9599" s="1"/>
    </row>
    <row r="9600" spans="5:6">
      <c r="E9600" s="1"/>
      <c r="F9600" s="1"/>
    </row>
    <row r="9601" spans="5:6">
      <c r="E9601" s="1"/>
      <c r="F9601" s="1"/>
    </row>
    <row r="9602" spans="5:6">
      <c r="E9602" s="1"/>
      <c r="F9602" s="1"/>
    </row>
    <row r="9603" spans="5:6">
      <c r="E9603" s="1"/>
      <c r="F9603" s="1"/>
    </row>
    <row r="9604" spans="5:6">
      <c r="E9604" s="1"/>
      <c r="F9604" s="1"/>
    </row>
    <row r="9605" spans="5:6">
      <c r="E9605" s="1"/>
      <c r="F9605" s="1"/>
    </row>
    <row r="9606" spans="5:6">
      <c r="E9606" s="1"/>
      <c r="F9606" s="1"/>
    </row>
    <row r="9607" spans="5:6">
      <c r="E9607" s="1"/>
      <c r="F9607" s="1"/>
    </row>
    <row r="9608" spans="5:6">
      <c r="E9608" s="1"/>
      <c r="F9608" s="1"/>
    </row>
    <row r="9609" spans="5:6">
      <c r="E9609" s="1"/>
      <c r="F9609" s="1"/>
    </row>
    <row r="9610" spans="5:6">
      <c r="E9610" s="1"/>
      <c r="F9610" s="1"/>
    </row>
    <row r="9611" spans="5:6">
      <c r="E9611" s="1"/>
      <c r="F9611" s="1"/>
    </row>
    <row r="9612" spans="5:6">
      <c r="E9612" s="1"/>
      <c r="F9612" s="1"/>
    </row>
    <row r="9613" spans="5:6">
      <c r="E9613" s="1"/>
      <c r="F9613" s="1"/>
    </row>
    <row r="9614" spans="5:6">
      <c r="E9614" s="1"/>
      <c r="F9614" s="1"/>
    </row>
    <row r="9615" spans="5:6">
      <c r="E9615" s="1"/>
      <c r="F9615" s="1"/>
    </row>
    <row r="9616" spans="5:6">
      <c r="E9616" s="1"/>
      <c r="F9616" s="1"/>
    </row>
    <row r="9617" spans="5:6">
      <c r="E9617" s="1"/>
      <c r="F9617" s="1"/>
    </row>
    <row r="9618" spans="5:6">
      <c r="E9618" s="1"/>
      <c r="F9618" s="1"/>
    </row>
    <row r="9619" spans="5:6">
      <c r="E9619" s="1"/>
      <c r="F9619" s="1"/>
    </row>
    <row r="9620" spans="5:6">
      <c r="E9620" s="1"/>
      <c r="F9620" s="1"/>
    </row>
    <row r="9621" spans="5:6">
      <c r="E9621" s="1"/>
      <c r="F9621" s="1"/>
    </row>
    <row r="9622" spans="5:6">
      <c r="E9622" s="1"/>
      <c r="F9622" s="1"/>
    </row>
    <row r="9623" spans="5:6">
      <c r="E9623" s="1"/>
      <c r="F9623" s="1"/>
    </row>
    <row r="9624" spans="5:6">
      <c r="E9624" s="1"/>
      <c r="F9624" s="1"/>
    </row>
    <row r="9625" spans="5:6">
      <c r="E9625" s="1"/>
      <c r="F9625" s="1"/>
    </row>
    <row r="9626" spans="5:6">
      <c r="E9626" s="1"/>
      <c r="F9626" s="1"/>
    </row>
    <row r="9627" spans="5:6">
      <c r="E9627" s="1"/>
      <c r="F9627" s="1"/>
    </row>
    <row r="9628" spans="5:6">
      <c r="E9628" s="1"/>
      <c r="F9628" s="1"/>
    </row>
    <row r="9629" spans="5:6">
      <c r="E9629" s="1"/>
      <c r="F9629" s="1"/>
    </row>
    <row r="9630" spans="5:6">
      <c r="E9630" s="1"/>
      <c r="F9630" s="1"/>
    </row>
    <row r="9631" spans="5:6">
      <c r="E9631" s="1"/>
      <c r="F9631" s="1"/>
    </row>
    <row r="9632" spans="5:6">
      <c r="E9632" s="1"/>
      <c r="F9632" s="1"/>
    </row>
    <row r="9633" spans="5:6">
      <c r="E9633" s="1"/>
      <c r="F9633" s="1"/>
    </row>
    <row r="9634" spans="5:6">
      <c r="E9634" s="1"/>
      <c r="F9634" s="1"/>
    </row>
    <row r="9635" spans="5:6">
      <c r="E9635" s="1"/>
      <c r="F9635" s="1"/>
    </row>
    <row r="9636" spans="5:6">
      <c r="E9636" s="1"/>
      <c r="F9636" s="1"/>
    </row>
    <row r="9637" spans="5:6">
      <c r="E9637" s="1"/>
      <c r="F9637" s="1"/>
    </row>
    <row r="9638" spans="5:6">
      <c r="E9638" s="1"/>
      <c r="F9638" s="1"/>
    </row>
    <row r="9639" spans="5:6">
      <c r="E9639" s="1"/>
      <c r="F9639" s="1"/>
    </row>
    <row r="9640" spans="5:6">
      <c r="E9640" s="1"/>
      <c r="F9640" s="1"/>
    </row>
    <row r="9641" spans="5:6">
      <c r="E9641" s="1"/>
      <c r="F9641" s="1"/>
    </row>
    <row r="9642" spans="5:6">
      <c r="E9642" s="1"/>
      <c r="F9642" s="1"/>
    </row>
    <row r="9643" spans="5:6">
      <c r="E9643" s="1"/>
      <c r="F9643" s="1"/>
    </row>
    <row r="9644" spans="5:6">
      <c r="E9644" s="1"/>
      <c r="F9644" s="1"/>
    </row>
    <row r="9645" spans="5:6">
      <c r="E9645" s="1"/>
      <c r="F9645" s="1"/>
    </row>
    <row r="9646" spans="5:6">
      <c r="E9646" s="1"/>
      <c r="F9646" s="1"/>
    </row>
    <row r="9647" spans="5:6">
      <c r="E9647" s="1"/>
      <c r="F9647" s="1"/>
    </row>
    <row r="9648" spans="5:6">
      <c r="E9648" s="1"/>
      <c r="F9648" s="1"/>
    </row>
    <row r="9649" spans="5:6">
      <c r="E9649" s="1"/>
      <c r="F9649" s="1"/>
    </row>
    <row r="9650" spans="5:6">
      <c r="E9650" s="1"/>
      <c r="F9650" s="1"/>
    </row>
    <row r="9651" spans="5:6">
      <c r="E9651" s="1"/>
      <c r="F9651" s="1"/>
    </row>
    <row r="9652" spans="5:6">
      <c r="E9652" s="1"/>
      <c r="F9652" s="1"/>
    </row>
    <row r="9653" spans="5:6">
      <c r="E9653" s="1"/>
      <c r="F9653" s="1"/>
    </row>
    <row r="9654" spans="5:6">
      <c r="E9654" s="1"/>
      <c r="F9654" s="1"/>
    </row>
    <row r="9655" spans="5:6">
      <c r="E9655" s="1"/>
      <c r="F9655" s="1"/>
    </row>
    <row r="9656" spans="5:6">
      <c r="E9656" s="1"/>
      <c r="F9656" s="1"/>
    </row>
    <row r="9657" spans="5:6">
      <c r="E9657" s="1"/>
      <c r="F9657" s="1"/>
    </row>
    <row r="9658" spans="5:6">
      <c r="E9658" s="1"/>
      <c r="F9658" s="1"/>
    </row>
    <row r="9659" spans="5:6">
      <c r="E9659" s="1"/>
      <c r="F9659" s="1"/>
    </row>
    <row r="9660" spans="5:6">
      <c r="E9660" s="1"/>
      <c r="F9660" s="1"/>
    </row>
    <row r="9661" spans="5:6">
      <c r="E9661" s="1"/>
      <c r="F9661" s="1"/>
    </row>
    <row r="9662" spans="5:6">
      <c r="E9662" s="1"/>
      <c r="F9662" s="1"/>
    </row>
    <row r="9663" spans="5:6">
      <c r="E9663" s="1"/>
      <c r="F9663" s="1"/>
    </row>
    <row r="9664" spans="5:6">
      <c r="E9664" s="1"/>
      <c r="F9664" s="1"/>
    </row>
    <row r="9665" spans="5:6">
      <c r="E9665" s="1"/>
      <c r="F9665" s="1"/>
    </row>
    <row r="9666" spans="5:6">
      <c r="E9666" s="1"/>
      <c r="F9666" s="1"/>
    </row>
    <row r="9667" spans="5:6">
      <c r="E9667" s="1"/>
      <c r="F9667" s="1"/>
    </row>
    <row r="9668" spans="5:6">
      <c r="E9668" s="1"/>
      <c r="F9668" s="1"/>
    </row>
    <row r="9669" spans="5:6">
      <c r="E9669" s="1"/>
      <c r="F9669" s="1"/>
    </row>
    <row r="9670" spans="5:6">
      <c r="E9670" s="1"/>
      <c r="F9670" s="1"/>
    </row>
    <row r="9671" spans="5:6">
      <c r="E9671" s="1"/>
      <c r="F9671" s="1"/>
    </row>
    <row r="9672" spans="5:6">
      <c r="E9672" s="1"/>
      <c r="F9672" s="1"/>
    </row>
    <row r="9673" spans="5:6">
      <c r="E9673" s="1"/>
      <c r="F9673" s="1"/>
    </row>
    <row r="9674" spans="5:6">
      <c r="E9674" s="1"/>
      <c r="F9674" s="1"/>
    </row>
    <row r="9675" spans="5:6">
      <c r="E9675" s="1"/>
      <c r="F9675" s="1"/>
    </row>
    <row r="9676" spans="5:6">
      <c r="E9676" s="1"/>
      <c r="F9676" s="1"/>
    </row>
    <row r="9677" spans="5:6">
      <c r="E9677" s="1"/>
      <c r="F9677" s="1"/>
    </row>
    <row r="9678" spans="5:6">
      <c r="E9678" s="1"/>
      <c r="F9678" s="1"/>
    </row>
    <row r="9679" spans="5:6">
      <c r="E9679" s="1"/>
      <c r="F9679" s="1"/>
    </row>
    <row r="9680" spans="5:6">
      <c r="E9680" s="1"/>
      <c r="F9680" s="1"/>
    </row>
    <row r="9681" spans="5:6">
      <c r="E9681" s="1"/>
      <c r="F9681" s="1"/>
    </row>
    <row r="9682" spans="5:6">
      <c r="E9682" s="1"/>
      <c r="F9682" s="1"/>
    </row>
    <row r="9683" spans="5:6">
      <c r="E9683" s="1"/>
      <c r="F9683" s="1"/>
    </row>
    <row r="9684" spans="5:6">
      <c r="E9684" s="1"/>
      <c r="F9684" s="1"/>
    </row>
    <row r="9685" spans="5:6">
      <c r="E9685" s="1"/>
      <c r="F9685" s="1"/>
    </row>
    <row r="9686" spans="5:6">
      <c r="E9686" s="1"/>
      <c r="F9686" s="1"/>
    </row>
    <row r="9687" spans="5:6">
      <c r="E9687" s="1"/>
      <c r="F9687" s="1"/>
    </row>
    <row r="9688" spans="5:6">
      <c r="E9688" s="1"/>
      <c r="F9688" s="1"/>
    </row>
    <row r="9689" spans="5:6">
      <c r="E9689" s="1"/>
      <c r="F9689" s="1"/>
    </row>
    <row r="9690" spans="5:6">
      <c r="E9690" s="1"/>
      <c r="F9690" s="1"/>
    </row>
    <row r="9691" spans="5:6">
      <c r="E9691" s="1"/>
      <c r="F9691" s="1"/>
    </row>
    <row r="9692" spans="5:6">
      <c r="E9692" s="1"/>
      <c r="F9692" s="1"/>
    </row>
    <row r="9693" spans="5:6">
      <c r="E9693" s="1"/>
      <c r="F9693" s="1"/>
    </row>
    <row r="9694" spans="5:6">
      <c r="E9694" s="1"/>
      <c r="F9694" s="1"/>
    </row>
    <row r="9695" spans="5:6">
      <c r="E9695" s="1"/>
      <c r="F9695" s="1"/>
    </row>
    <row r="9696" spans="5:6">
      <c r="E9696" s="1"/>
      <c r="F9696" s="1"/>
    </row>
    <row r="9697" spans="5:6">
      <c r="E9697" s="1"/>
      <c r="F9697" s="1"/>
    </row>
    <row r="9698" spans="5:6">
      <c r="E9698" s="1"/>
      <c r="F9698" s="1"/>
    </row>
    <row r="9699" spans="5:6">
      <c r="E9699" s="1"/>
      <c r="F9699" s="1"/>
    </row>
    <row r="9700" spans="5:6">
      <c r="E9700" s="1"/>
      <c r="F9700" s="1"/>
    </row>
    <row r="9701" spans="5:6">
      <c r="E9701" s="1"/>
      <c r="F9701" s="1"/>
    </row>
    <row r="9702" spans="5:6">
      <c r="E9702" s="1"/>
      <c r="F9702" s="1"/>
    </row>
    <row r="9703" spans="5:6">
      <c r="E9703" s="1"/>
      <c r="F9703" s="1"/>
    </row>
    <row r="9704" spans="5:6">
      <c r="E9704" s="1"/>
      <c r="F9704" s="1"/>
    </row>
    <row r="9705" spans="5:6">
      <c r="E9705" s="1"/>
      <c r="F9705" s="1"/>
    </row>
    <row r="9706" spans="5:6">
      <c r="E9706" s="1"/>
      <c r="F9706" s="1"/>
    </row>
    <row r="9707" spans="5:6">
      <c r="E9707" s="1"/>
      <c r="F9707" s="1"/>
    </row>
    <row r="9708" spans="5:6">
      <c r="E9708" s="1"/>
      <c r="F9708" s="1"/>
    </row>
    <row r="9709" spans="5:6">
      <c r="E9709" s="1"/>
      <c r="F9709" s="1"/>
    </row>
    <row r="9710" spans="5:6">
      <c r="E9710" s="1"/>
      <c r="F9710" s="1"/>
    </row>
    <row r="9711" spans="5:6">
      <c r="E9711" s="1"/>
      <c r="F9711" s="1"/>
    </row>
    <row r="9712" spans="5:6">
      <c r="E9712" s="1"/>
      <c r="F9712" s="1"/>
    </row>
    <row r="9713" spans="5:6">
      <c r="E9713" s="1"/>
      <c r="F9713" s="1"/>
    </row>
    <row r="9714" spans="5:6">
      <c r="E9714" s="1"/>
      <c r="F9714" s="1"/>
    </row>
    <row r="9715" spans="5:6">
      <c r="E9715" s="1"/>
      <c r="F9715" s="1"/>
    </row>
    <row r="9716" spans="5:6">
      <c r="E9716" s="1"/>
      <c r="F9716" s="1"/>
    </row>
    <row r="9717" spans="5:6">
      <c r="E9717" s="1"/>
      <c r="F9717" s="1"/>
    </row>
    <row r="9718" spans="5:6">
      <c r="E9718" s="1"/>
      <c r="F9718" s="1"/>
    </row>
    <row r="9719" spans="5:6">
      <c r="E9719" s="1"/>
      <c r="F9719" s="1"/>
    </row>
    <row r="9720" spans="5:6">
      <c r="E9720" s="1"/>
      <c r="F9720" s="1"/>
    </row>
    <row r="9721" spans="5:6">
      <c r="E9721" s="1"/>
      <c r="F9721" s="1"/>
    </row>
    <row r="9722" spans="5:6">
      <c r="E9722" s="1"/>
      <c r="F9722" s="1"/>
    </row>
    <row r="9723" spans="5:6">
      <c r="E9723" s="1"/>
      <c r="F9723" s="1"/>
    </row>
    <row r="9724" spans="5:6">
      <c r="E9724" s="1"/>
      <c r="F9724" s="1"/>
    </row>
    <row r="9725" spans="5:6">
      <c r="E9725" s="1"/>
      <c r="F9725" s="1"/>
    </row>
    <row r="9726" spans="5:6">
      <c r="E9726" s="1"/>
      <c r="F9726" s="1"/>
    </row>
    <row r="9727" spans="5:6">
      <c r="E9727" s="1"/>
      <c r="F9727" s="1"/>
    </row>
    <row r="9728" spans="5:6">
      <c r="E9728" s="1"/>
      <c r="F9728" s="1"/>
    </row>
    <row r="9729" spans="5:6">
      <c r="E9729" s="1"/>
      <c r="F9729" s="1"/>
    </row>
    <row r="9730" spans="5:6">
      <c r="E9730" s="1"/>
      <c r="F9730" s="1"/>
    </row>
    <row r="9731" spans="5:6">
      <c r="E9731" s="1"/>
      <c r="F9731" s="1"/>
    </row>
    <row r="9732" spans="5:6">
      <c r="E9732" s="1"/>
      <c r="F9732" s="1"/>
    </row>
    <row r="9733" spans="5:6">
      <c r="E9733" s="1"/>
      <c r="F9733" s="1"/>
    </row>
    <row r="9734" spans="5:6">
      <c r="E9734" s="1"/>
      <c r="F9734" s="1"/>
    </row>
    <row r="9735" spans="5:6">
      <c r="E9735" s="1"/>
      <c r="F9735" s="1"/>
    </row>
    <row r="9736" spans="5:6">
      <c r="E9736" s="1"/>
      <c r="F9736" s="1"/>
    </row>
    <row r="9737" spans="5:6">
      <c r="E9737" s="1"/>
      <c r="F9737" s="1"/>
    </row>
    <row r="9738" spans="5:6">
      <c r="E9738" s="1"/>
      <c r="F9738" s="1"/>
    </row>
    <row r="9739" spans="5:6">
      <c r="E9739" s="1"/>
      <c r="F9739" s="1"/>
    </row>
    <row r="9740" spans="5:6">
      <c r="E9740" s="1"/>
      <c r="F9740" s="1"/>
    </row>
    <row r="9741" spans="5:6">
      <c r="E9741" s="1"/>
      <c r="F9741" s="1"/>
    </row>
    <row r="9742" spans="5:6">
      <c r="E9742" s="1"/>
      <c r="F9742" s="1"/>
    </row>
    <row r="9743" spans="5:6">
      <c r="E9743" s="1"/>
      <c r="F9743" s="1"/>
    </row>
    <row r="9744" spans="5:6">
      <c r="E9744" s="1"/>
      <c r="F9744" s="1"/>
    </row>
    <row r="9745" spans="5:6">
      <c r="E9745" s="1"/>
      <c r="F9745" s="1"/>
    </row>
    <row r="9746" spans="5:6">
      <c r="E9746" s="1"/>
      <c r="F9746" s="1"/>
    </row>
    <row r="9747" spans="5:6">
      <c r="E9747" s="1"/>
      <c r="F9747" s="1"/>
    </row>
    <row r="9748" spans="5:6">
      <c r="E9748" s="1"/>
      <c r="F9748" s="1"/>
    </row>
    <row r="9749" spans="5:6">
      <c r="E9749" s="1"/>
      <c r="F9749" s="1"/>
    </row>
    <row r="9750" spans="5:6">
      <c r="E9750" s="1"/>
      <c r="F9750" s="1"/>
    </row>
    <row r="9751" spans="5:6">
      <c r="E9751" s="1"/>
      <c r="F9751" s="1"/>
    </row>
    <row r="9752" spans="5:6">
      <c r="E9752" s="1"/>
      <c r="F9752" s="1"/>
    </row>
    <row r="9753" spans="5:6">
      <c r="E9753" s="1"/>
      <c r="F9753" s="1"/>
    </row>
    <row r="9754" spans="5:6">
      <c r="E9754" s="1"/>
      <c r="F9754" s="1"/>
    </row>
    <row r="9755" spans="5:6">
      <c r="E9755" s="1"/>
      <c r="F9755" s="1"/>
    </row>
    <row r="9756" spans="5:6">
      <c r="E9756" s="1"/>
      <c r="F9756" s="1"/>
    </row>
    <row r="9757" spans="5:6">
      <c r="E9757" s="1"/>
      <c r="F9757" s="1"/>
    </row>
    <row r="9758" spans="5:6">
      <c r="E9758" s="1"/>
      <c r="F9758" s="1"/>
    </row>
    <row r="9759" spans="5:6">
      <c r="E9759" s="1"/>
      <c r="F9759" s="1"/>
    </row>
    <row r="9760" spans="5:6">
      <c r="E9760" s="1"/>
      <c r="F9760" s="1"/>
    </row>
    <row r="9761" spans="5:6">
      <c r="E9761" s="1"/>
      <c r="F9761" s="1"/>
    </row>
    <row r="9762" spans="5:6">
      <c r="E9762" s="1"/>
      <c r="F9762" s="1"/>
    </row>
    <row r="9763" spans="5:6">
      <c r="E9763" s="1"/>
      <c r="F9763" s="1"/>
    </row>
    <row r="9764" spans="5:6">
      <c r="E9764" s="1"/>
      <c r="F9764" s="1"/>
    </row>
    <row r="9765" spans="5:6">
      <c r="E9765" s="1"/>
      <c r="F9765" s="1"/>
    </row>
    <row r="9766" spans="5:6">
      <c r="E9766" s="1"/>
      <c r="F9766" s="1"/>
    </row>
    <row r="9767" spans="5:6">
      <c r="E9767" s="1"/>
      <c r="F9767" s="1"/>
    </row>
    <row r="9768" spans="5:6">
      <c r="E9768" s="1"/>
      <c r="F9768" s="1"/>
    </row>
    <row r="9769" spans="5:6">
      <c r="E9769" s="1"/>
      <c r="F9769" s="1"/>
    </row>
    <row r="9770" spans="5:6">
      <c r="E9770" s="1"/>
      <c r="F9770" s="1"/>
    </row>
    <row r="9771" spans="5:6">
      <c r="E9771" s="1"/>
      <c r="F9771" s="1"/>
    </row>
    <row r="9772" spans="5:6">
      <c r="E9772" s="1"/>
      <c r="F9772" s="1"/>
    </row>
    <row r="9773" spans="5:6">
      <c r="E9773" s="1"/>
      <c r="F9773" s="1"/>
    </row>
    <row r="9774" spans="5:6">
      <c r="E9774" s="1"/>
      <c r="F9774" s="1"/>
    </row>
    <row r="9775" spans="5:6">
      <c r="E9775" s="1"/>
      <c r="F9775" s="1"/>
    </row>
    <row r="9776" spans="5:6">
      <c r="E9776" s="1"/>
      <c r="F9776" s="1"/>
    </row>
    <row r="9777" spans="5:6">
      <c r="E9777" s="1"/>
      <c r="F9777" s="1"/>
    </row>
    <row r="9778" spans="5:6">
      <c r="E9778" s="1"/>
      <c r="F9778" s="1"/>
    </row>
    <row r="9779" spans="5:6">
      <c r="E9779" s="1"/>
      <c r="F9779" s="1"/>
    </row>
    <row r="9780" spans="5:6">
      <c r="E9780" s="1"/>
      <c r="F9780" s="1"/>
    </row>
    <row r="9781" spans="5:6">
      <c r="E9781" s="1"/>
      <c r="F9781" s="1"/>
    </row>
    <row r="9782" spans="5:6">
      <c r="E9782" s="1"/>
      <c r="F9782" s="1"/>
    </row>
    <row r="9783" spans="5:6">
      <c r="E9783" s="1"/>
      <c r="F9783" s="1"/>
    </row>
    <row r="9784" spans="5:6">
      <c r="E9784" s="1"/>
      <c r="F9784" s="1"/>
    </row>
    <row r="9785" spans="5:6">
      <c r="E9785" s="1"/>
      <c r="F9785" s="1"/>
    </row>
    <row r="9786" spans="5:6">
      <c r="E9786" s="1"/>
      <c r="F9786" s="1"/>
    </row>
    <row r="9787" spans="5:6">
      <c r="E9787" s="1"/>
      <c r="F9787" s="1"/>
    </row>
    <row r="9788" spans="5:6">
      <c r="E9788" s="1"/>
      <c r="F9788" s="1"/>
    </row>
    <row r="9789" spans="5:6">
      <c r="E9789" s="1"/>
      <c r="F9789" s="1"/>
    </row>
    <row r="9790" spans="5:6">
      <c r="E9790" s="1"/>
      <c r="F9790" s="1"/>
    </row>
    <row r="9791" spans="5:6">
      <c r="E9791" s="1"/>
      <c r="F9791" s="1"/>
    </row>
    <row r="9792" spans="5:6">
      <c r="E9792" s="1"/>
      <c r="F9792" s="1"/>
    </row>
    <row r="9793" spans="5:6">
      <c r="E9793" s="1"/>
      <c r="F9793" s="1"/>
    </row>
    <row r="9794" spans="5:6">
      <c r="E9794" s="1"/>
      <c r="F9794" s="1"/>
    </row>
    <row r="9795" spans="5:6">
      <c r="E9795" s="1"/>
      <c r="F9795" s="1"/>
    </row>
    <row r="9796" spans="5:6">
      <c r="E9796" s="1"/>
      <c r="F9796" s="1"/>
    </row>
    <row r="9797" spans="5:6">
      <c r="E9797" s="1"/>
      <c r="F9797" s="1"/>
    </row>
    <row r="9798" spans="5:6">
      <c r="E9798" s="1"/>
      <c r="F9798" s="1"/>
    </row>
    <row r="9799" spans="5:6">
      <c r="E9799" s="1"/>
      <c r="F9799" s="1"/>
    </row>
    <row r="9800" spans="5:6">
      <c r="E9800" s="1"/>
      <c r="F9800" s="1"/>
    </row>
    <row r="9801" spans="5:6">
      <c r="E9801" s="1"/>
      <c r="F9801" s="1"/>
    </row>
    <row r="9802" spans="5:6">
      <c r="E9802" s="1"/>
      <c r="F9802" s="1"/>
    </row>
    <row r="9803" spans="5:6">
      <c r="E9803" s="1"/>
      <c r="F9803" s="1"/>
    </row>
    <row r="9804" spans="5:6">
      <c r="E9804" s="1"/>
      <c r="F9804" s="1"/>
    </row>
    <row r="9805" spans="5:6">
      <c r="E9805" s="1"/>
      <c r="F9805" s="1"/>
    </row>
    <row r="9806" spans="5:6">
      <c r="E9806" s="1"/>
      <c r="F9806" s="1"/>
    </row>
    <row r="9807" spans="5:6">
      <c r="E9807" s="1"/>
      <c r="F9807" s="1"/>
    </row>
    <row r="9808" spans="5:6">
      <c r="E9808" s="1"/>
      <c r="F9808" s="1"/>
    </row>
    <row r="9809" spans="5:6">
      <c r="E9809" s="1"/>
      <c r="F9809" s="1"/>
    </row>
    <row r="9810" spans="5:6">
      <c r="E9810" s="1"/>
      <c r="F9810" s="1"/>
    </row>
    <row r="9811" spans="5:6">
      <c r="E9811" s="1"/>
      <c r="F9811" s="1"/>
    </row>
    <row r="9812" spans="5:6">
      <c r="E9812" s="1"/>
      <c r="F9812" s="1"/>
    </row>
    <row r="9813" spans="5:6">
      <c r="E9813" s="1"/>
      <c r="F9813" s="1"/>
    </row>
    <row r="9814" spans="5:6">
      <c r="E9814" s="1"/>
      <c r="F9814" s="1"/>
    </row>
    <row r="9815" spans="5:6">
      <c r="E9815" s="1"/>
      <c r="F9815" s="1"/>
    </row>
    <row r="9816" spans="5:6">
      <c r="E9816" s="1"/>
      <c r="F9816" s="1"/>
    </row>
    <row r="9817" spans="5:6">
      <c r="E9817" s="1"/>
      <c r="F9817" s="1"/>
    </row>
    <row r="9818" spans="5:6">
      <c r="E9818" s="1"/>
      <c r="F9818" s="1"/>
    </row>
    <row r="9819" spans="5:6">
      <c r="E9819" s="1"/>
      <c r="F9819" s="1"/>
    </row>
    <row r="9820" spans="5:6">
      <c r="E9820" s="1"/>
      <c r="F9820" s="1"/>
    </row>
    <row r="9821" spans="5:6">
      <c r="E9821" s="1"/>
      <c r="F9821" s="1"/>
    </row>
    <row r="9822" spans="5:6">
      <c r="E9822" s="1"/>
      <c r="F9822" s="1"/>
    </row>
    <row r="9823" spans="5:6">
      <c r="E9823" s="1"/>
      <c r="F9823" s="1"/>
    </row>
    <row r="9824" spans="5:6">
      <c r="E9824" s="1"/>
      <c r="F9824" s="1"/>
    </row>
    <row r="9825" spans="5:6">
      <c r="E9825" s="1"/>
      <c r="F9825" s="1"/>
    </row>
    <row r="9826" spans="5:6">
      <c r="E9826" s="1"/>
      <c r="F9826" s="1"/>
    </row>
    <row r="9827" spans="5:6">
      <c r="E9827" s="1"/>
      <c r="F9827" s="1"/>
    </row>
    <row r="9828" spans="5:6">
      <c r="E9828" s="1"/>
      <c r="F9828" s="1"/>
    </row>
    <row r="9829" spans="5:6">
      <c r="E9829" s="1"/>
      <c r="F9829" s="1"/>
    </row>
    <row r="9830" spans="5:6">
      <c r="E9830" s="1"/>
      <c r="F9830" s="1"/>
    </row>
    <row r="9831" spans="5:6">
      <c r="E9831" s="1"/>
      <c r="F9831" s="1"/>
    </row>
    <row r="9832" spans="5:6">
      <c r="E9832" s="1"/>
      <c r="F9832" s="1"/>
    </row>
    <row r="9833" spans="5:6">
      <c r="E9833" s="1"/>
      <c r="F9833" s="1"/>
    </row>
    <row r="9834" spans="5:6">
      <c r="E9834" s="1"/>
      <c r="F9834" s="1"/>
    </row>
    <row r="9835" spans="5:6">
      <c r="E9835" s="1"/>
      <c r="F9835" s="1"/>
    </row>
    <row r="9836" spans="5:6">
      <c r="E9836" s="1"/>
      <c r="F9836" s="1"/>
    </row>
    <row r="9837" spans="5:6">
      <c r="E9837" s="1"/>
      <c r="F9837" s="1"/>
    </row>
    <row r="9838" spans="5:6">
      <c r="E9838" s="1"/>
      <c r="F9838" s="1"/>
    </row>
    <row r="9839" spans="5:6">
      <c r="E9839" s="1"/>
      <c r="F9839" s="1"/>
    </row>
    <row r="9840" spans="5:6">
      <c r="E9840" s="1"/>
      <c r="F9840" s="1"/>
    </row>
    <row r="9841" spans="5:6">
      <c r="E9841" s="1"/>
      <c r="F9841" s="1"/>
    </row>
    <row r="9842" spans="5:6">
      <c r="E9842" s="1"/>
      <c r="F9842" s="1"/>
    </row>
    <row r="9843" spans="5:6">
      <c r="E9843" s="1"/>
      <c r="F9843" s="1"/>
    </row>
    <row r="9844" spans="5:6">
      <c r="E9844" s="1"/>
      <c r="F9844" s="1"/>
    </row>
    <row r="9845" spans="5:6">
      <c r="E9845" s="1"/>
      <c r="F9845" s="1"/>
    </row>
    <row r="9846" spans="5:6">
      <c r="E9846" s="1"/>
      <c r="F9846" s="1"/>
    </row>
    <row r="9847" spans="5:6">
      <c r="E9847" s="1"/>
      <c r="F9847" s="1"/>
    </row>
    <row r="9848" spans="5:6">
      <c r="E9848" s="1"/>
      <c r="F9848" s="1"/>
    </row>
    <row r="9849" spans="5:6">
      <c r="E9849" s="1"/>
      <c r="F9849" s="1"/>
    </row>
    <row r="9850" spans="5:6">
      <c r="E9850" s="1"/>
      <c r="F9850" s="1"/>
    </row>
    <row r="9851" spans="5:6">
      <c r="E9851" s="1"/>
      <c r="F9851" s="1"/>
    </row>
    <row r="9852" spans="5:6">
      <c r="E9852" s="1"/>
      <c r="F9852" s="1"/>
    </row>
    <row r="9853" spans="5:6">
      <c r="E9853" s="1"/>
      <c r="F9853" s="1"/>
    </row>
    <row r="9854" spans="5:6">
      <c r="E9854" s="1"/>
      <c r="F9854" s="1"/>
    </row>
    <row r="9855" spans="5:6">
      <c r="E9855" s="1"/>
      <c r="F9855" s="1"/>
    </row>
    <row r="9856" spans="5:6">
      <c r="E9856" s="1"/>
      <c r="F9856" s="1"/>
    </row>
    <row r="9857" spans="5:6">
      <c r="E9857" s="1"/>
      <c r="F9857" s="1"/>
    </row>
    <row r="9858" spans="5:6">
      <c r="E9858" s="1"/>
      <c r="F9858" s="1"/>
    </row>
    <row r="9859" spans="5:6">
      <c r="E9859" s="1"/>
      <c r="F9859" s="1"/>
    </row>
    <row r="9860" spans="5:6">
      <c r="E9860" s="1"/>
      <c r="F9860" s="1"/>
    </row>
    <row r="9861" spans="5:6">
      <c r="E9861" s="1"/>
      <c r="F9861" s="1"/>
    </row>
    <row r="9862" spans="5:6">
      <c r="E9862" s="1"/>
      <c r="F9862" s="1"/>
    </row>
    <row r="9863" spans="5:6">
      <c r="E9863" s="1"/>
      <c r="F9863" s="1"/>
    </row>
    <row r="9864" spans="5:6">
      <c r="E9864" s="1"/>
      <c r="F9864" s="1"/>
    </row>
    <row r="9865" spans="5:6">
      <c r="E9865" s="1"/>
      <c r="F9865" s="1"/>
    </row>
    <row r="9866" spans="5:6">
      <c r="E9866" s="1"/>
      <c r="F9866" s="1"/>
    </row>
    <row r="9867" spans="5:6">
      <c r="E9867" s="1"/>
      <c r="F9867" s="1"/>
    </row>
    <row r="9868" spans="5:6">
      <c r="E9868" s="1"/>
      <c r="F9868" s="1"/>
    </row>
    <row r="9869" spans="5:6">
      <c r="E9869" s="1"/>
      <c r="F9869" s="1"/>
    </row>
    <row r="9870" spans="5:6">
      <c r="E9870" s="1"/>
      <c r="F9870" s="1"/>
    </row>
    <row r="9871" spans="5:6">
      <c r="E9871" s="1"/>
      <c r="F9871" s="1"/>
    </row>
    <row r="9872" spans="5:6">
      <c r="E9872" s="1"/>
      <c r="F9872" s="1"/>
    </row>
    <row r="9873" spans="5:6">
      <c r="E9873" s="1"/>
      <c r="F9873" s="1"/>
    </row>
    <row r="9874" spans="5:6">
      <c r="E9874" s="1"/>
      <c r="F9874" s="1"/>
    </row>
    <row r="9875" spans="5:6">
      <c r="E9875" s="1"/>
      <c r="F9875" s="1"/>
    </row>
    <row r="9876" spans="5:6">
      <c r="E9876" s="1"/>
      <c r="F9876" s="1"/>
    </row>
    <row r="9877" spans="5:6">
      <c r="E9877" s="1"/>
      <c r="F9877" s="1"/>
    </row>
    <row r="9878" spans="5:6">
      <c r="E9878" s="1"/>
      <c r="F9878" s="1"/>
    </row>
    <row r="9879" spans="5:6">
      <c r="E9879" s="1"/>
      <c r="F9879" s="1"/>
    </row>
    <row r="9880" spans="5:6">
      <c r="E9880" s="1"/>
      <c r="F9880" s="1"/>
    </row>
    <row r="9881" spans="5:6">
      <c r="E9881" s="1"/>
      <c r="F9881" s="1"/>
    </row>
    <row r="9882" spans="5:6">
      <c r="E9882" s="1"/>
      <c r="F9882" s="1"/>
    </row>
    <row r="9883" spans="5:6">
      <c r="E9883" s="1"/>
      <c r="F9883" s="1"/>
    </row>
    <row r="9884" spans="5:6">
      <c r="E9884" s="1"/>
      <c r="F9884" s="1"/>
    </row>
    <row r="9885" spans="5:6">
      <c r="E9885" s="1"/>
      <c r="F9885" s="1"/>
    </row>
    <row r="9886" spans="5:6">
      <c r="E9886" s="1"/>
      <c r="F9886" s="1"/>
    </row>
    <row r="9887" spans="5:6">
      <c r="E9887" s="1"/>
      <c r="F9887" s="1"/>
    </row>
    <row r="9888" spans="5:6">
      <c r="E9888" s="1"/>
      <c r="F9888" s="1"/>
    </row>
    <row r="9889" spans="5:6">
      <c r="E9889" s="1"/>
      <c r="F9889" s="1"/>
    </row>
    <row r="9890" spans="5:6">
      <c r="E9890" s="1"/>
      <c r="F9890" s="1"/>
    </row>
    <row r="9891" spans="5:6">
      <c r="E9891" s="1"/>
      <c r="F9891" s="1"/>
    </row>
    <row r="9892" spans="5:6">
      <c r="E9892" s="1"/>
      <c r="F9892" s="1"/>
    </row>
    <row r="9893" spans="5:6">
      <c r="E9893" s="1"/>
      <c r="F9893" s="1"/>
    </row>
    <row r="9894" spans="5:6">
      <c r="E9894" s="1"/>
      <c r="F9894" s="1"/>
    </row>
    <row r="9895" spans="5:6">
      <c r="E9895" s="1"/>
      <c r="F9895" s="1"/>
    </row>
    <row r="9896" spans="5:6">
      <c r="E9896" s="1"/>
      <c r="F9896" s="1"/>
    </row>
    <row r="9897" spans="5:6">
      <c r="E9897" s="1"/>
      <c r="F9897" s="1"/>
    </row>
    <row r="9898" spans="5:6">
      <c r="E9898" s="1"/>
      <c r="F9898" s="1"/>
    </row>
    <row r="9899" spans="5:6">
      <c r="E9899" s="1"/>
      <c r="F9899" s="1"/>
    </row>
    <row r="9900" spans="5:6">
      <c r="E9900" s="1"/>
      <c r="F9900" s="1"/>
    </row>
    <row r="9901" spans="5:6">
      <c r="E9901" s="1"/>
      <c r="F9901" s="1"/>
    </row>
    <row r="9902" spans="5:6">
      <c r="E9902" s="1"/>
      <c r="F9902" s="1"/>
    </row>
    <row r="9903" spans="5:6">
      <c r="E9903" s="1"/>
      <c r="F9903" s="1"/>
    </row>
    <row r="9904" spans="5:6">
      <c r="E9904" s="1"/>
      <c r="F9904" s="1"/>
    </row>
    <row r="9905" spans="5:6">
      <c r="E9905" s="1"/>
      <c r="F9905" s="1"/>
    </row>
    <row r="9906" spans="5:6">
      <c r="E9906" s="1"/>
      <c r="F9906" s="1"/>
    </row>
    <row r="9907" spans="5:6">
      <c r="E9907" s="1"/>
      <c r="F9907" s="1"/>
    </row>
    <row r="9908" spans="5:6">
      <c r="E9908" s="1"/>
      <c r="F9908" s="1"/>
    </row>
    <row r="9909" spans="5:6">
      <c r="E9909" s="1"/>
      <c r="F9909" s="1"/>
    </row>
    <row r="9910" spans="5:6">
      <c r="E9910" s="1"/>
      <c r="F9910" s="1"/>
    </row>
    <row r="9911" spans="5:6">
      <c r="E9911" s="1"/>
      <c r="F9911" s="1"/>
    </row>
    <row r="9912" spans="5:6">
      <c r="E9912" s="1"/>
      <c r="F9912" s="1"/>
    </row>
    <row r="9913" spans="5:6">
      <c r="E9913" s="1"/>
      <c r="F9913" s="1"/>
    </row>
    <row r="9914" spans="5:6">
      <c r="E9914" s="1"/>
      <c r="F9914" s="1"/>
    </row>
    <row r="9915" spans="5:6">
      <c r="E9915" s="1"/>
      <c r="F9915" s="1"/>
    </row>
    <row r="9916" spans="5:6">
      <c r="E9916" s="1"/>
      <c r="F9916" s="1"/>
    </row>
    <row r="9917" spans="5:6">
      <c r="E9917" s="1"/>
      <c r="F9917" s="1"/>
    </row>
    <row r="9918" spans="5:6">
      <c r="E9918" s="1"/>
      <c r="F9918" s="1"/>
    </row>
    <row r="9919" spans="5:6">
      <c r="E9919" s="1"/>
      <c r="F9919" s="1"/>
    </row>
    <row r="9920" spans="5:6">
      <c r="E9920" s="1"/>
      <c r="F9920" s="1"/>
    </row>
    <row r="9921" spans="5:6">
      <c r="E9921" s="1"/>
      <c r="F9921" s="1"/>
    </row>
    <row r="9922" spans="5:6">
      <c r="E9922" s="1"/>
      <c r="F9922" s="1"/>
    </row>
    <row r="9923" spans="5:6">
      <c r="E9923" s="1"/>
      <c r="F9923" s="1"/>
    </row>
    <row r="9924" spans="5:6">
      <c r="E9924" s="1"/>
      <c r="F9924" s="1"/>
    </row>
    <row r="9925" spans="5:6">
      <c r="E9925" s="1"/>
      <c r="F9925" s="1"/>
    </row>
    <row r="9926" spans="5:6">
      <c r="E9926" s="1"/>
      <c r="F9926" s="1"/>
    </row>
    <row r="9927" spans="5:6">
      <c r="E9927" s="1"/>
      <c r="F9927" s="1"/>
    </row>
    <row r="9928" spans="5:6">
      <c r="E9928" s="1"/>
      <c r="F9928" s="1"/>
    </row>
    <row r="9929" spans="5:6">
      <c r="E9929" s="1"/>
      <c r="F9929" s="1"/>
    </row>
    <row r="9930" spans="5:6">
      <c r="E9930" s="1"/>
      <c r="F9930" s="1"/>
    </row>
    <row r="9931" spans="5:6">
      <c r="E9931" s="1"/>
      <c r="F9931" s="1"/>
    </row>
    <row r="9932" spans="5:6">
      <c r="E9932" s="1"/>
      <c r="F9932" s="1"/>
    </row>
    <row r="9933" spans="5:6">
      <c r="E9933" s="1"/>
      <c r="F9933" s="1"/>
    </row>
    <row r="9934" spans="5:6">
      <c r="E9934" s="1"/>
      <c r="F9934" s="1"/>
    </row>
    <row r="9935" spans="5:6">
      <c r="E9935" s="1"/>
      <c r="F9935" s="1"/>
    </row>
    <row r="9936" spans="5:6">
      <c r="E9936" s="1"/>
      <c r="F9936" s="1"/>
    </row>
    <row r="9937" spans="5:6">
      <c r="E9937" s="1"/>
      <c r="F9937" s="1"/>
    </row>
    <row r="9938" spans="5:6">
      <c r="E9938" s="1"/>
      <c r="F9938" s="1"/>
    </row>
    <row r="9939" spans="5:6">
      <c r="E9939" s="1"/>
      <c r="F9939" s="1"/>
    </row>
    <row r="9940" spans="5:6">
      <c r="E9940" s="1"/>
      <c r="F9940" s="1"/>
    </row>
    <row r="9941" spans="5:6">
      <c r="E9941" s="1"/>
      <c r="F9941" s="1"/>
    </row>
    <row r="9942" spans="5:6">
      <c r="E9942" s="1"/>
      <c r="F9942" s="1"/>
    </row>
    <row r="9943" spans="5:6">
      <c r="E9943" s="1"/>
      <c r="F9943" s="1"/>
    </row>
    <row r="9944" spans="5:6">
      <c r="E9944" s="1"/>
      <c r="F9944" s="1"/>
    </row>
    <row r="9945" spans="5:6">
      <c r="E9945" s="1"/>
      <c r="F9945" s="1"/>
    </row>
    <row r="9946" spans="5:6">
      <c r="E9946" s="1"/>
      <c r="F9946" s="1"/>
    </row>
    <row r="9947" spans="5:6">
      <c r="E9947" s="1"/>
      <c r="F9947" s="1"/>
    </row>
    <row r="9948" spans="5:6">
      <c r="E9948" s="1"/>
      <c r="F9948" s="1"/>
    </row>
    <row r="9949" spans="5:6">
      <c r="E9949" s="1"/>
      <c r="F9949" s="1"/>
    </row>
    <row r="9950" spans="5:6">
      <c r="E9950" s="1"/>
      <c r="F9950" s="1"/>
    </row>
    <row r="9951" spans="5:6">
      <c r="E9951" s="1"/>
      <c r="F9951" s="1"/>
    </row>
    <row r="9952" spans="5:6">
      <c r="E9952" s="1"/>
      <c r="F9952" s="1"/>
    </row>
    <row r="9953" spans="5:6">
      <c r="E9953" s="1"/>
      <c r="F9953" s="1"/>
    </row>
    <row r="9954" spans="5:6">
      <c r="E9954" s="1"/>
      <c r="F9954" s="1"/>
    </row>
    <row r="9955" spans="5:6">
      <c r="E9955" s="1"/>
      <c r="F9955" s="1"/>
    </row>
    <row r="9956" spans="5:6">
      <c r="E9956" s="1"/>
      <c r="F9956" s="1"/>
    </row>
    <row r="9957" spans="5:6">
      <c r="E9957" s="1"/>
      <c r="F9957" s="1"/>
    </row>
    <row r="9958" spans="5:6">
      <c r="E9958" s="1"/>
      <c r="F9958" s="1"/>
    </row>
    <row r="9959" spans="5:6">
      <c r="E9959" s="1"/>
      <c r="F9959" s="1"/>
    </row>
    <row r="9960" spans="5:6">
      <c r="E9960" s="1"/>
      <c r="F9960" s="1"/>
    </row>
    <row r="9961" spans="5:6">
      <c r="E9961" s="1"/>
      <c r="F9961" s="1"/>
    </row>
    <row r="9962" spans="5:6">
      <c r="E9962" s="1"/>
      <c r="F9962" s="1"/>
    </row>
    <row r="9963" spans="5:6">
      <c r="E9963" s="1"/>
      <c r="F9963" s="1"/>
    </row>
    <row r="9964" spans="5:6">
      <c r="E9964" s="1"/>
      <c r="F9964" s="1"/>
    </row>
    <row r="9965" spans="5:6">
      <c r="E9965" s="1"/>
      <c r="F9965" s="1"/>
    </row>
    <row r="9966" spans="5:6">
      <c r="E9966" s="1"/>
      <c r="F9966" s="1"/>
    </row>
    <row r="9967" spans="5:6">
      <c r="E9967" s="1"/>
      <c r="F9967" s="1"/>
    </row>
    <row r="9968" spans="5:6">
      <c r="E9968" s="1"/>
      <c r="F9968" s="1"/>
    </row>
    <row r="9969" spans="5:6">
      <c r="E9969" s="1"/>
      <c r="F9969" s="1"/>
    </row>
    <row r="9970" spans="5:6">
      <c r="E9970" s="1"/>
      <c r="F9970" s="1"/>
    </row>
    <row r="9971" spans="5:6">
      <c r="E9971" s="1"/>
      <c r="F9971" s="1"/>
    </row>
    <row r="9972" spans="5:6">
      <c r="E9972" s="1"/>
      <c r="F9972" s="1"/>
    </row>
    <row r="9973" spans="5:6">
      <c r="E9973" s="1"/>
      <c r="F9973" s="1"/>
    </row>
    <row r="9974" spans="5:6">
      <c r="E9974" s="1"/>
      <c r="F9974" s="1"/>
    </row>
    <row r="9975" spans="5:6">
      <c r="E9975" s="1"/>
      <c r="F9975" s="1"/>
    </row>
    <row r="9976" spans="5:6">
      <c r="E9976" s="1"/>
      <c r="F9976" s="1"/>
    </row>
    <row r="9977" spans="5:6">
      <c r="E9977" s="1"/>
      <c r="F9977" s="1"/>
    </row>
    <row r="9978" spans="5:6">
      <c r="E9978" s="1"/>
      <c r="F9978" s="1"/>
    </row>
    <row r="9979" spans="5:6">
      <c r="E9979" s="1"/>
      <c r="F9979" s="1"/>
    </row>
    <row r="9980" spans="5:6">
      <c r="E9980" s="1"/>
      <c r="F9980" s="1"/>
    </row>
    <row r="9981" spans="5:6">
      <c r="E9981" s="1"/>
      <c r="F9981" s="1"/>
    </row>
    <row r="9982" spans="5:6">
      <c r="E9982" s="1"/>
      <c r="F9982" s="1"/>
    </row>
    <row r="9983" spans="5:6">
      <c r="E9983" s="1"/>
      <c r="F9983" s="1"/>
    </row>
    <row r="9984" spans="5:6">
      <c r="E9984" s="1"/>
      <c r="F9984" s="1"/>
    </row>
    <row r="9985" spans="5:6">
      <c r="E9985" s="1"/>
      <c r="F9985" s="1"/>
    </row>
    <row r="9986" spans="5:6">
      <c r="E9986" s="1"/>
      <c r="F9986" s="1"/>
    </row>
    <row r="9987" spans="5:6">
      <c r="E9987" s="1"/>
      <c r="F9987" s="1"/>
    </row>
    <row r="9988" spans="5:6">
      <c r="E9988" s="1"/>
      <c r="F9988" s="1"/>
    </row>
    <row r="9989" spans="5:6">
      <c r="E9989" s="1"/>
      <c r="F9989" s="1"/>
    </row>
    <row r="9990" spans="5:6">
      <c r="E9990" s="1"/>
      <c r="F9990" s="1"/>
    </row>
    <row r="9991" spans="5:6">
      <c r="E9991" s="1"/>
      <c r="F9991" s="1"/>
    </row>
    <row r="9992" spans="5:6">
      <c r="E9992" s="1"/>
      <c r="F9992" s="1"/>
    </row>
    <row r="9993" spans="5:6">
      <c r="E9993" s="1"/>
      <c r="F9993" s="1"/>
    </row>
    <row r="9994" spans="5:6">
      <c r="E9994" s="1"/>
      <c r="F9994" s="1"/>
    </row>
    <row r="9995" spans="5:6">
      <c r="E9995" s="1"/>
      <c r="F9995" s="1"/>
    </row>
    <row r="9996" spans="5:6">
      <c r="E9996" s="1"/>
      <c r="F9996" s="1"/>
    </row>
    <row r="9997" spans="5:6">
      <c r="E9997" s="1"/>
      <c r="F9997" s="1"/>
    </row>
    <row r="9998" spans="5:6">
      <c r="E9998" s="1"/>
      <c r="F9998" s="1"/>
    </row>
    <row r="9999" spans="5:6">
      <c r="E9999" s="1"/>
      <c r="F9999" s="1"/>
    </row>
    <row r="10000" spans="5:6">
      <c r="E10000" s="1"/>
      <c r="F10000" s="1"/>
    </row>
    <row r="10001" spans="5:6">
      <c r="E10001" s="1"/>
      <c r="F10001" s="1"/>
    </row>
    <row r="10002" spans="5:6">
      <c r="E10002" s="1"/>
      <c r="F10002" s="1"/>
    </row>
    <row r="10003" spans="5:6">
      <c r="E10003" s="1"/>
      <c r="F10003" s="1"/>
    </row>
    <row r="10004" spans="5:6">
      <c r="E10004" s="1"/>
      <c r="F10004" s="1"/>
    </row>
    <row r="10005" spans="5:6">
      <c r="E10005" s="1"/>
      <c r="F10005" s="1"/>
    </row>
    <row r="10006" spans="5:6">
      <c r="E10006" s="1"/>
      <c r="F10006" s="1"/>
    </row>
    <row r="10007" spans="5:6">
      <c r="E10007" s="1"/>
      <c r="F10007" s="1"/>
    </row>
    <row r="10008" spans="5:6">
      <c r="E10008" s="1"/>
      <c r="F10008" s="1"/>
    </row>
    <row r="10009" spans="5:6">
      <c r="E10009" s="1"/>
      <c r="F10009" s="1"/>
    </row>
    <row r="10010" spans="5:6">
      <c r="E10010" s="1"/>
      <c r="F10010" s="1"/>
    </row>
    <row r="10011" spans="5:6">
      <c r="E10011" s="1"/>
      <c r="F10011" s="1"/>
    </row>
    <row r="10012" spans="5:6">
      <c r="E10012" s="1"/>
      <c r="F10012" s="1"/>
    </row>
    <row r="10013" spans="5:6">
      <c r="E10013" s="1"/>
      <c r="F10013" s="1"/>
    </row>
    <row r="10014" spans="5:6">
      <c r="E10014" s="1"/>
      <c r="F10014" s="1"/>
    </row>
    <row r="10015" spans="5:6">
      <c r="E10015" s="1"/>
      <c r="F10015" s="1"/>
    </row>
    <row r="10016" spans="5:6">
      <c r="E10016" s="1"/>
      <c r="F10016" s="1"/>
    </row>
    <row r="10017" spans="5:6">
      <c r="E10017" s="1"/>
      <c r="F10017" s="1"/>
    </row>
    <row r="10018" spans="5:6">
      <c r="E10018" s="1"/>
      <c r="F10018" s="1"/>
    </row>
    <row r="10019" spans="5:6">
      <c r="E10019" s="1"/>
      <c r="F10019" s="1"/>
    </row>
    <row r="10020" spans="5:6">
      <c r="E10020" s="1"/>
      <c r="F10020" s="1"/>
    </row>
    <row r="10021" spans="5:6">
      <c r="E10021" s="1"/>
      <c r="F10021" s="1"/>
    </row>
    <row r="10022" spans="5:6">
      <c r="E10022" s="1"/>
      <c r="F10022" s="1"/>
    </row>
    <row r="10023" spans="5:6">
      <c r="E10023" s="1"/>
      <c r="F10023" s="1"/>
    </row>
    <row r="10024" spans="5:6">
      <c r="E10024" s="1"/>
      <c r="F10024" s="1"/>
    </row>
    <row r="10025" spans="5:6">
      <c r="E10025" s="1"/>
      <c r="F10025" s="1"/>
    </row>
    <row r="10026" spans="5:6">
      <c r="E10026" s="1"/>
      <c r="F10026" s="1"/>
    </row>
    <row r="10027" spans="5:6">
      <c r="E10027" s="1"/>
      <c r="F10027" s="1"/>
    </row>
    <row r="10028" spans="5:6">
      <c r="E10028" s="1"/>
      <c r="F10028" s="1"/>
    </row>
    <row r="10029" spans="5:6">
      <c r="E10029" s="1"/>
      <c r="F10029" s="1"/>
    </row>
    <row r="10030" spans="5:6">
      <c r="E10030" s="1"/>
      <c r="F10030" s="1"/>
    </row>
    <row r="10031" spans="5:6">
      <c r="E10031" s="1"/>
      <c r="F10031" s="1"/>
    </row>
    <row r="10032" spans="5:6">
      <c r="E10032" s="1"/>
      <c r="F10032" s="1"/>
    </row>
    <row r="10033" spans="5:6">
      <c r="E10033" s="1"/>
      <c r="F10033" s="1"/>
    </row>
    <row r="10034" spans="5:6">
      <c r="E10034" s="1"/>
      <c r="F10034" s="1"/>
    </row>
    <row r="10035" spans="5:6">
      <c r="E10035" s="1"/>
      <c r="F10035" s="1"/>
    </row>
    <row r="10036" spans="5:6">
      <c r="E10036" s="1"/>
      <c r="F10036" s="1"/>
    </row>
    <row r="10037" spans="5:6">
      <c r="E10037" s="1"/>
      <c r="F10037" s="1"/>
    </row>
    <row r="10038" spans="5:6">
      <c r="E10038" s="1"/>
      <c r="F10038" s="1"/>
    </row>
    <row r="10039" spans="5:6">
      <c r="E10039" s="1"/>
      <c r="F10039" s="1"/>
    </row>
    <row r="10040" spans="5:6">
      <c r="E10040" s="1"/>
      <c r="F10040" s="1"/>
    </row>
    <row r="10041" spans="5:6">
      <c r="E10041" s="1"/>
      <c r="F10041" s="1"/>
    </row>
    <row r="10042" spans="5:6">
      <c r="E10042" s="1"/>
      <c r="F10042" s="1"/>
    </row>
    <row r="10043" spans="5:6">
      <c r="E10043" s="1"/>
      <c r="F10043" s="1"/>
    </row>
    <row r="10044" spans="5:6">
      <c r="E10044" s="1"/>
      <c r="F10044" s="1"/>
    </row>
    <row r="10045" spans="5:6">
      <c r="E10045" s="1"/>
      <c r="F10045" s="1"/>
    </row>
    <row r="10046" spans="5:6">
      <c r="E10046" s="1"/>
      <c r="F10046" s="1"/>
    </row>
    <row r="10047" spans="5:6">
      <c r="E10047" s="1"/>
      <c r="F10047" s="1"/>
    </row>
    <row r="10048" spans="5:6">
      <c r="E10048" s="1"/>
      <c r="F10048" s="1"/>
    </row>
    <row r="10049" spans="5:6">
      <c r="E10049" s="1"/>
      <c r="F10049" s="1"/>
    </row>
    <row r="10050" spans="5:6">
      <c r="E10050" s="1"/>
      <c r="F10050" s="1"/>
    </row>
    <row r="10051" spans="5:6">
      <c r="E10051" s="1"/>
      <c r="F10051" s="1"/>
    </row>
    <row r="10052" spans="5:6">
      <c r="E10052" s="1"/>
      <c r="F10052" s="1"/>
    </row>
    <row r="10053" spans="5:6">
      <c r="E10053" s="1"/>
      <c r="F10053" s="1"/>
    </row>
    <row r="10054" spans="5:6">
      <c r="E10054" s="1"/>
      <c r="F10054" s="1"/>
    </row>
    <row r="10055" spans="5:6">
      <c r="E10055" s="1"/>
      <c r="F10055" s="1"/>
    </row>
    <row r="10056" spans="5:6">
      <c r="E10056" s="1"/>
      <c r="F10056" s="1"/>
    </row>
    <row r="10057" spans="5:6">
      <c r="E10057" s="1"/>
      <c r="F10057" s="1"/>
    </row>
    <row r="10058" spans="5:6">
      <c r="E10058" s="1"/>
      <c r="F10058" s="1"/>
    </row>
    <row r="10059" spans="5:6">
      <c r="E10059" s="1"/>
      <c r="F10059" s="1"/>
    </row>
    <row r="10060" spans="5:6">
      <c r="E10060" s="1"/>
      <c r="F10060" s="1"/>
    </row>
    <row r="10061" spans="5:6">
      <c r="E10061" s="1"/>
      <c r="F10061" s="1"/>
    </row>
    <row r="10062" spans="5:6">
      <c r="E10062" s="1"/>
      <c r="F10062" s="1"/>
    </row>
    <row r="10063" spans="5:6">
      <c r="E10063" s="1"/>
      <c r="F10063" s="1"/>
    </row>
    <row r="10064" spans="5:6">
      <c r="E10064" s="1"/>
      <c r="F10064" s="1"/>
    </row>
    <row r="10065" spans="5:6">
      <c r="E10065" s="1"/>
      <c r="F10065" s="1"/>
    </row>
    <row r="10066" spans="5:6">
      <c r="E10066" s="1"/>
      <c r="F10066" s="1"/>
    </row>
    <row r="10067" spans="5:6">
      <c r="E10067" s="1"/>
      <c r="F10067" s="1"/>
    </row>
    <row r="10068" spans="5:6">
      <c r="E10068" s="1"/>
      <c r="F10068" s="1"/>
    </row>
    <row r="10069" spans="5:6">
      <c r="E10069" s="1"/>
      <c r="F10069" s="1"/>
    </row>
    <row r="10070" spans="5:6">
      <c r="E10070" s="1"/>
      <c r="F10070" s="1"/>
    </row>
    <row r="10071" spans="5:6">
      <c r="E10071" s="1"/>
      <c r="F10071" s="1"/>
    </row>
    <row r="10072" spans="5:6">
      <c r="E10072" s="1"/>
      <c r="F10072" s="1"/>
    </row>
    <row r="10073" spans="5:6">
      <c r="E10073" s="1"/>
      <c r="F10073" s="1"/>
    </row>
    <row r="10074" spans="5:6">
      <c r="E10074" s="1"/>
      <c r="F10074" s="1"/>
    </row>
    <row r="10075" spans="5:6">
      <c r="E10075" s="1"/>
      <c r="F10075" s="1"/>
    </row>
    <row r="10076" spans="5:6">
      <c r="E10076" s="1"/>
      <c r="F10076" s="1"/>
    </row>
    <row r="10077" spans="5:6">
      <c r="E10077" s="1"/>
      <c r="F10077" s="1"/>
    </row>
    <row r="10078" spans="5:6">
      <c r="E10078" s="1"/>
      <c r="F10078" s="1"/>
    </row>
    <row r="10079" spans="5:6">
      <c r="E10079" s="1"/>
      <c r="F10079" s="1"/>
    </row>
    <row r="10080" spans="5:6">
      <c r="E10080" s="1"/>
      <c r="F10080" s="1"/>
    </row>
    <row r="10081" spans="5:6">
      <c r="E10081" s="1"/>
      <c r="F10081" s="1"/>
    </row>
    <row r="10082" spans="5:6">
      <c r="E10082" s="1"/>
      <c r="F10082" s="1"/>
    </row>
    <row r="10083" spans="5:6">
      <c r="E10083" s="1"/>
      <c r="F10083" s="1"/>
    </row>
    <row r="10084" spans="5:6">
      <c r="E10084" s="1"/>
      <c r="F10084" s="1"/>
    </row>
    <row r="10085" spans="5:6">
      <c r="E10085" s="1"/>
      <c r="F10085" s="1"/>
    </row>
    <row r="10086" spans="5:6">
      <c r="E10086" s="1"/>
      <c r="F10086" s="1"/>
    </row>
    <row r="10087" spans="5:6">
      <c r="E10087" s="1"/>
      <c r="F10087" s="1"/>
    </row>
    <row r="10088" spans="5:6">
      <c r="E10088" s="1"/>
      <c r="F10088" s="1"/>
    </row>
    <row r="10089" spans="5:6">
      <c r="E10089" s="1"/>
      <c r="F10089" s="1"/>
    </row>
    <row r="10090" spans="5:6">
      <c r="E10090" s="1"/>
      <c r="F10090" s="1"/>
    </row>
    <row r="10091" spans="5:6">
      <c r="E10091" s="1"/>
      <c r="F10091" s="1"/>
    </row>
    <row r="10092" spans="5:6">
      <c r="E10092" s="1"/>
      <c r="F10092" s="1"/>
    </row>
    <row r="10093" spans="5:6">
      <c r="E10093" s="1"/>
      <c r="F10093" s="1"/>
    </row>
    <row r="10094" spans="5:6">
      <c r="E10094" s="1"/>
      <c r="F10094" s="1"/>
    </row>
    <row r="10095" spans="5:6">
      <c r="E10095" s="1"/>
      <c r="F10095" s="1"/>
    </row>
    <row r="10096" spans="5:6">
      <c r="E10096" s="1"/>
      <c r="F10096" s="1"/>
    </row>
    <row r="10097" spans="5:6">
      <c r="E10097" s="1"/>
      <c r="F10097" s="1"/>
    </row>
    <row r="10098" spans="5:6">
      <c r="E10098" s="1"/>
      <c r="F10098" s="1"/>
    </row>
    <row r="10099" spans="5:6">
      <c r="E10099" s="1"/>
      <c r="F10099" s="1"/>
    </row>
    <row r="10100" spans="5:6">
      <c r="E10100" s="1"/>
      <c r="F10100" s="1"/>
    </row>
    <row r="10101" spans="5:6">
      <c r="E10101" s="1"/>
      <c r="F10101" s="1"/>
    </row>
    <row r="10102" spans="5:6">
      <c r="E10102" s="1"/>
      <c r="F10102" s="1"/>
    </row>
    <row r="10103" spans="5:6">
      <c r="E10103" s="1"/>
      <c r="F10103" s="1"/>
    </row>
    <row r="10104" spans="5:6">
      <c r="E10104" s="1"/>
      <c r="F10104" s="1"/>
    </row>
    <row r="10105" spans="5:6">
      <c r="E10105" s="1"/>
      <c r="F10105" s="1"/>
    </row>
    <row r="10106" spans="5:6">
      <c r="E10106" s="1"/>
      <c r="F10106" s="1"/>
    </row>
    <row r="10107" spans="5:6">
      <c r="E10107" s="1"/>
      <c r="F10107" s="1"/>
    </row>
    <row r="10108" spans="5:6">
      <c r="E10108" s="1"/>
      <c r="F10108" s="1"/>
    </row>
    <row r="10109" spans="5:6">
      <c r="E10109" s="1"/>
      <c r="F10109" s="1"/>
    </row>
    <row r="10110" spans="5:6">
      <c r="E10110" s="1"/>
      <c r="F10110" s="1"/>
    </row>
    <row r="10111" spans="5:6">
      <c r="E10111" s="1"/>
      <c r="F10111" s="1"/>
    </row>
    <row r="10112" spans="5:6">
      <c r="E10112" s="1"/>
      <c r="F10112" s="1"/>
    </row>
    <row r="10113" spans="5:6">
      <c r="E10113" s="1"/>
      <c r="F10113" s="1"/>
    </row>
    <row r="10114" spans="5:6">
      <c r="E10114" s="1"/>
      <c r="F10114" s="1"/>
    </row>
    <row r="10115" spans="5:6">
      <c r="E10115" s="1"/>
      <c r="F10115" s="1"/>
    </row>
    <row r="10116" spans="5:6">
      <c r="E10116" s="1"/>
      <c r="F10116" s="1"/>
    </row>
    <row r="10117" spans="5:6">
      <c r="E10117" s="1"/>
      <c r="F10117" s="1"/>
    </row>
    <row r="10118" spans="5:6">
      <c r="E10118" s="1"/>
      <c r="F10118" s="1"/>
    </row>
    <row r="10119" spans="5:6">
      <c r="E10119" s="1"/>
      <c r="F10119" s="1"/>
    </row>
    <row r="10120" spans="5:6">
      <c r="E10120" s="1"/>
      <c r="F10120" s="1"/>
    </row>
    <row r="10121" spans="5:6">
      <c r="E10121" s="1"/>
      <c r="F10121" s="1"/>
    </row>
    <row r="10122" spans="5:6">
      <c r="E10122" s="1"/>
      <c r="F10122" s="1"/>
    </row>
    <row r="10123" spans="5:6">
      <c r="E10123" s="1"/>
      <c r="F10123" s="1"/>
    </row>
    <row r="10124" spans="5:6">
      <c r="E10124" s="1"/>
      <c r="F10124" s="1"/>
    </row>
    <row r="10125" spans="5:6">
      <c r="E10125" s="1"/>
      <c r="F10125" s="1"/>
    </row>
    <row r="10126" spans="5:6">
      <c r="E10126" s="1"/>
      <c r="F10126" s="1"/>
    </row>
    <row r="10127" spans="5:6">
      <c r="E10127" s="1"/>
      <c r="F10127" s="1"/>
    </row>
    <row r="10128" spans="5:6">
      <c r="E10128" s="1"/>
      <c r="F10128" s="1"/>
    </row>
    <row r="10129" spans="5:6">
      <c r="E10129" s="1"/>
      <c r="F10129" s="1"/>
    </row>
    <row r="10130" spans="5:6">
      <c r="E10130" s="1"/>
      <c r="F10130" s="1"/>
    </row>
    <row r="10131" spans="5:6">
      <c r="E10131" s="1"/>
      <c r="F10131" s="1"/>
    </row>
    <row r="10132" spans="5:6">
      <c r="E10132" s="1"/>
      <c r="F10132" s="1"/>
    </row>
    <row r="10133" spans="5:6">
      <c r="E10133" s="1"/>
      <c r="F10133" s="1"/>
    </row>
    <row r="10134" spans="5:6">
      <c r="E10134" s="1"/>
      <c r="F10134" s="1"/>
    </row>
    <row r="10135" spans="5:6">
      <c r="E10135" s="1"/>
      <c r="F10135" s="1"/>
    </row>
    <row r="10136" spans="5:6">
      <c r="E10136" s="1"/>
      <c r="F10136" s="1"/>
    </row>
    <row r="10137" spans="5:6">
      <c r="E10137" s="1"/>
      <c r="F10137" s="1"/>
    </row>
    <row r="10138" spans="5:6">
      <c r="E10138" s="1"/>
      <c r="F10138" s="1"/>
    </row>
    <row r="10139" spans="5:6">
      <c r="E10139" s="1"/>
      <c r="F10139" s="1"/>
    </row>
    <row r="10140" spans="5:6">
      <c r="E10140" s="1"/>
      <c r="F10140" s="1"/>
    </row>
    <row r="10141" spans="5:6">
      <c r="E10141" s="1"/>
      <c r="F10141" s="1"/>
    </row>
    <row r="10142" spans="5:6">
      <c r="E10142" s="1"/>
      <c r="F10142" s="1"/>
    </row>
    <row r="10143" spans="5:6">
      <c r="E10143" s="1"/>
      <c r="F10143" s="1"/>
    </row>
    <row r="10144" spans="5:6">
      <c r="E10144" s="1"/>
      <c r="F10144" s="1"/>
    </row>
    <row r="10145" spans="5:6">
      <c r="E10145" s="1"/>
      <c r="F10145" s="1"/>
    </row>
    <row r="10146" spans="5:6">
      <c r="E10146" s="1"/>
      <c r="F10146" s="1"/>
    </row>
    <row r="10147" spans="5:6">
      <c r="E10147" s="1"/>
      <c r="F10147" s="1"/>
    </row>
    <row r="10148" spans="5:6">
      <c r="E10148" s="1"/>
      <c r="F10148" s="1"/>
    </row>
    <row r="10149" spans="5:6">
      <c r="E10149" s="1"/>
      <c r="F10149" s="1"/>
    </row>
    <row r="10150" spans="5:6">
      <c r="E10150" s="1"/>
      <c r="F10150" s="1"/>
    </row>
    <row r="10151" spans="5:6">
      <c r="E10151" s="1"/>
      <c r="F10151" s="1"/>
    </row>
    <row r="10152" spans="5:6">
      <c r="E10152" s="1"/>
      <c r="F10152" s="1"/>
    </row>
    <row r="10153" spans="5:6">
      <c r="E10153" s="1"/>
      <c r="F10153" s="1"/>
    </row>
    <row r="10154" spans="5:6">
      <c r="E10154" s="1"/>
      <c r="F10154" s="1"/>
    </row>
    <row r="10155" spans="5:6">
      <c r="E10155" s="1"/>
      <c r="F10155" s="1"/>
    </row>
    <row r="10156" spans="5:6">
      <c r="E10156" s="1"/>
      <c r="F10156" s="1"/>
    </row>
    <row r="10157" spans="5:6">
      <c r="E10157" s="1"/>
      <c r="F10157" s="1"/>
    </row>
    <row r="10158" spans="5:6">
      <c r="E10158" s="1"/>
      <c r="F10158" s="1"/>
    </row>
    <row r="10159" spans="5:6">
      <c r="E10159" s="1"/>
      <c r="F10159" s="1"/>
    </row>
    <row r="10160" spans="5:6">
      <c r="E10160" s="1"/>
      <c r="F10160" s="1"/>
    </row>
    <row r="10161" spans="5:6">
      <c r="E10161" s="1"/>
      <c r="F10161" s="1"/>
    </row>
    <row r="10162" spans="5:6">
      <c r="E10162" s="1"/>
      <c r="F10162" s="1"/>
    </row>
    <row r="10163" spans="5:6">
      <c r="E10163" s="1"/>
      <c r="F10163" s="1"/>
    </row>
    <row r="10164" spans="5:6">
      <c r="E10164" s="1"/>
      <c r="F10164" s="1"/>
    </row>
    <row r="10165" spans="5:6">
      <c r="E10165" s="1"/>
      <c r="F10165" s="1"/>
    </row>
    <row r="10166" spans="5:6">
      <c r="E10166" s="1"/>
      <c r="F10166" s="1"/>
    </row>
    <row r="10167" spans="5:6">
      <c r="E10167" s="1"/>
      <c r="F10167" s="1"/>
    </row>
    <row r="10168" spans="5:6">
      <c r="E10168" s="1"/>
      <c r="F10168" s="1"/>
    </row>
    <row r="10169" spans="5:6">
      <c r="E10169" s="1"/>
      <c r="F10169" s="1"/>
    </row>
    <row r="10170" spans="5:6">
      <c r="E10170" s="1"/>
      <c r="F10170" s="1"/>
    </row>
    <row r="10171" spans="5:6">
      <c r="E10171" s="1"/>
      <c r="F10171" s="1"/>
    </row>
    <row r="10172" spans="5:6">
      <c r="E10172" s="1"/>
      <c r="F10172" s="1"/>
    </row>
    <row r="10173" spans="5:6">
      <c r="E10173" s="1"/>
      <c r="F10173" s="1"/>
    </row>
    <row r="10174" spans="5:6">
      <c r="E10174" s="1"/>
      <c r="F10174" s="1"/>
    </row>
    <row r="10175" spans="5:6">
      <c r="E10175" s="1"/>
      <c r="F10175" s="1"/>
    </row>
    <row r="10176" spans="5:6">
      <c r="E10176" s="1"/>
      <c r="F10176" s="1"/>
    </row>
    <row r="10177" spans="5:6">
      <c r="E10177" s="1"/>
      <c r="F10177" s="1"/>
    </row>
    <row r="10178" spans="5:6">
      <c r="E10178" s="1"/>
      <c r="F10178" s="1"/>
    </row>
    <row r="10179" spans="5:6">
      <c r="E10179" s="1"/>
      <c r="F10179" s="1"/>
    </row>
    <row r="10180" spans="5:6">
      <c r="E10180" s="1"/>
      <c r="F10180" s="1"/>
    </row>
    <row r="10181" spans="5:6">
      <c r="E10181" s="1"/>
      <c r="F10181" s="1"/>
    </row>
    <row r="10182" spans="5:6">
      <c r="E10182" s="1"/>
      <c r="F10182" s="1"/>
    </row>
    <row r="10183" spans="5:6">
      <c r="E10183" s="1"/>
      <c r="F10183" s="1"/>
    </row>
    <row r="10184" spans="5:6">
      <c r="E10184" s="1"/>
      <c r="F10184" s="1"/>
    </row>
    <row r="10185" spans="5:6">
      <c r="E10185" s="1"/>
      <c r="F10185" s="1"/>
    </row>
    <row r="10186" spans="5:6">
      <c r="E10186" s="1"/>
      <c r="F10186" s="1"/>
    </row>
    <row r="10187" spans="5:6">
      <c r="E10187" s="1"/>
      <c r="F10187" s="1"/>
    </row>
    <row r="10188" spans="5:6">
      <c r="E10188" s="1"/>
      <c r="F10188" s="1"/>
    </row>
    <row r="10189" spans="5:6">
      <c r="E10189" s="1"/>
      <c r="F10189" s="1"/>
    </row>
    <row r="10190" spans="5:6">
      <c r="E10190" s="1"/>
      <c r="F10190" s="1"/>
    </row>
    <row r="10191" spans="5:6">
      <c r="E10191" s="1"/>
      <c r="F10191" s="1"/>
    </row>
    <row r="10192" spans="5:6">
      <c r="E10192" s="1"/>
      <c r="F10192" s="1"/>
    </row>
    <row r="10193" spans="5:6">
      <c r="E10193" s="1"/>
      <c r="F10193" s="1"/>
    </row>
    <row r="10194" spans="5:6">
      <c r="E10194" s="1"/>
      <c r="F10194" s="1"/>
    </row>
    <row r="10195" spans="5:6">
      <c r="E10195" s="1"/>
      <c r="F10195" s="1"/>
    </row>
    <row r="10196" spans="5:6">
      <c r="E10196" s="1"/>
      <c r="F10196" s="1"/>
    </row>
    <row r="10197" spans="5:6">
      <c r="E10197" s="1"/>
      <c r="F10197" s="1"/>
    </row>
    <row r="10198" spans="5:6">
      <c r="E10198" s="1"/>
      <c r="F10198" s="1"/>
    </row>
    <row r="10199" spans="5:6">
      <c r="E10199" s="1"/>
      <c r="F10199" s="1"/>
    </row>
    <row r="10200" spans="5:6">
      <c r="E10200" s="1"/>
      <c r="F10200" s="1"/>
    </row>
    <row r="10201" spans="5:6">
      <c r="E10201" s="1"/>
      <c r="F10201" s="1"/>
    </row>
    <row r="10202" spans="5:6">
      <c r="E10202" s="1"/>
      <c r="F10202" s="1"/>
    </row>
    <row r="10203" spans="5:6">
      <c r="E10203" s="1"/>
      <c r="F10203" s="1"/>
    </row>
    <row r="10204" spans="5:6">
      <c r="E10204" s="1"/>
      <c r="F10204" s="1"/>
    </row>
    <row r="10205" spans="5:6">
      <c r="E10205" s="1"/>
      <c r="F10205" s="1"/>
    </row>
    <row r="10206" spans="5:6">
      <c r="E10206" s="1"/>
      <c r="F10206" s="1"/>
    </row>
    <row r="10207" spans="5:6">
      <c r="E10207" s="1"/>
      <c r="F10207" s="1"/>
    </row>
    <row r="10208" spans="5:6">
      <c r="E10208" s="1"/>
      <c r="F10208" s="1"/>
    </row>
    <row r="10209" spans="5:6">
      <c r="E10209" s="1"/>
      <c r="F10209" s="1"/>
    </row>
    <row r="10210" spans="5:6">
      <c r="E10210" s="1"/>
      <c r="F10210" s="1"/>
    </row>
    <row r="10211" spans="5:6">
      <c r="E10211" s="1"/>
      <c r="F10211" s="1"/>
    </row>
    <row r="10212" spans="5:6">
      <c r="E10212" s="1"/>
      <c r="F10212" s="1"/>
    </row>
    <row r="10213" spans="5:6">
      <c r="E10213" s="1"/>
      <c r="F10213" s="1"/>
    </row>
    <row r="10214" spans="5:6">
      <c r="E10214" s="1"/>
      <c r="F10214" s="1"/>
    </row>
    <row r="10215" spans="5:6">
      <c r="E10215" s="1"/>
      <c r="F10215" s="1"/>
    </row>
    <row r="10216" spans="5:6">
      <c r="E10216" s="1"/>
      <c r="F10216" s="1"/>
    </row>
    <row r="10217" spans="5:6">
      <c r="E10217" s="1"/>
      <c r="F10217" s="1"/>
    </row>
    <row r="10218" spans="5:6">
      <c r="E10218" s="1"/>
      <c r="F10218" s="1"/>
    </row>
    <row r="10219" spans="5:6">
      <c r="E10219" s="1"/>
      <c r="F10219" s="1"/>
    </row>
    <row r="10220" spans="5:6">
      <c r="E10220" s="1"/>
      <c r="F10220" s="1"/>
    </row>
    <row r="10221" spans="5:6">
      <c r="E10221" s="1"/>
      <c r="F10221" s="1"/>
    </row>
    <row r="10222" spans="5:6">
      <c r="E10222" s="1"/>
      <c r="F10222" s="1"/>
    </row>
    <row r="10223" spans="5:6">
      <c r="E10223" s="1"/>
      <c r="F10223" s="1"/>
    </row>
    <row r="10224" spans="5:6">
      <c r="E10224" s="1"/>
      <c r="F10224" s="1"/>
    </row>
    <row r="10225" spans="5:6">
      <c r="E10225" s="1"/>
      <c r="F10225" s="1"/>
    </row>
    <row r="10226" spans="5:6">
      <c r="E10226" s="1"/>
      <c r="F10226" s="1"/>
    </row>
    <row r="10227" spans="5:6">
      <c r="E10227" s="1"/>
      <c r="F10227" s="1"/>
    </row>
    <row r="10228" spans="5:6">
      <c r="E10228" s="1"/>
      <c r="F10228" s="1"/>
    </row>
    <row r="10229" spans="5:6">
      <c r="E10229" s="1"/>
      <c r="F10229" s="1"/>
    </row>
    <row r="10230" spans="5:6">
      <c r="E10230" s="1"/>
      <c r="F10230" s="1"/>
    </row>
    <row r="10231" spans="5:6">
      <c r="E10231" s="1"/>
      <c r="F10231" s="1"/>
    </row>
    <row r="10232" spans="5:6">
      <c r="E10232" s="1"/>
      <c r="F10232" s="1"/>
    </row>
    <row r="10233" spans="5:6">
      <c r="E10233" s="1"/>
      <c r="F10233" s="1"/>
    </row>
    <row r="10234" spans="5:6">
      <c r="E10234" s="1"/>
      <c r="F10234" s="1"/>
    </row>
    <row r="10235" spans="5:6">
      <c r="E10235" s="1"/>
      <c r="F10235" s="1"/>
    </row>
    <row r="10236" spans="5:6">
      <c r="E10236" s="1"/>
      <c r="F10236" s="1"/>
    </row>
    <row r="10237" spans="5:6">
      <c r="E10237" s="1"/>
      <c r="F10237" s="1"/>
    </row>
    <row r="10238" spans="5:6">
      <c r="E10238" s="1"/>
      <c r="F10238" s="1"/>
    </row>
    <row r="10239" spans="5:6">
      <c r="E10239" s="1"/>
      <c r="F10239" s="1"/>
    </row>
    <row r="10240" spans="5:6">
      <c r="E10240" s="1"/>
      <c r="F10240" s="1"/>
    </row>
    <row r="10241" spans="5:6">
      <c r="E10241" s="1"/>
      <c r="F10241" s="1"/>
    </row>
    <row r="10242" spans="5:6">
      <c r="E10242" s="1"/>
      <c r="F10242" s="1"/>
    </row>
    <row r="10243" spans="5:6">
      <c r="E10243" s="1"/>
      <c r="F10243" s="1"/>
    </row>
    <row r="10244" spans="5:6">
      <c r="E10244" s="1"/>
      <c r="F10244" s="1"/>
    </row>
    <row r="10245" spans="5:6">
      <c r="E10245" s="1"/>
      <c r="F10245" s="1"/>
    </row>
    <row r="10246" spans="5:6">
      <c r="E10246" s="1"/>
      <c r="F10246" s="1"/>
    </row>
    <row r="10247" spans="5:6">
      <c r="E10247" s="1"/>
      <c r="F10247" s="1"/>
    </row>
    <row r="10248" spans="5:6">
      <c r="E10248" s="1"/>
      <c r="F10248" s="1"/>
    </row>
    <row r="10249" spans="5:6">
      <c r="E10249" s="1"/>
      <c r="F10249" s="1"/>
    </row>
    <row r="10250" spans="5:6">
      <c r="E10250" s="1"/>
      <c r="F10250" s="1"/>
    </row>
    <row r="10251" spans="5:6">
      <c r="E10251" s="1"/>
      <c r="F10251" s="1"/>
    </row>
    <row r="10252" spans="5:6">
      <c r="E10252" s="1"/>
      <c r="F10252" s="1"/>
    </row>
    <row r="10253" spans="5:6">
      <c r="E10253" s="1"/>
      <c r="F10253" s="1"/>
    </row>
    <row r="10254" spans="5:6">
      <c r="E10254" s="1"/>
      <c r="F10254" s="1"/>
    </row>
    <row r="10255" spans="5:6">
      <c r="E10255" s="1"/>
      <c r="F10255" s="1"/>
    </row>
    <row r="10256" spans="5:6">
      <c r="E10256" s="1"/>
      <c r="F10256" s="1"/>
    </row>
    <row r="10257" spans="5:6">
      <c r="E10257" s="1"/>
      <c r="F10257" s="1"/>
    </row>
    <row r="10258" spans="5:6">
      <c r="E10258" s="1"/>
      <c r="F10258" s="1"/>
    </row>
    <row r="10259" spans="5:6">
      <c r="E10259" s="1"/>
      <c r="F10259" s="1"/>
    </row>
    <row r="10260" spans="5:6">
      <c r="E10260" s="1"/>
      <c r="F10260" s="1"/>
    </row>
    <row r="10261" spans="5:6">
      <c r="E10261" s="1"/>
      <c r="F10261" s="1"/>
    </row>
    <row r="10262" spans="5:6">
      <c r="E10262" s="1"/>
      <c r="F10262" s="1"/>
    </row>
    <row r="10263" spans="5:6">
      <c r="E10263" s="1"/>
      <c r="F10263" s="1"/>
    </row>
    <row r="10264" spans="5:6">
      <c r="E10264" s="1"/>
      <c r="F10264" s="1"/>
    </row>
    <row r="10265" spans="5:6">
      <c r="E10265" s="1"/>
      <c r="F10265" s="1"/>
    </row>
    <row r="10266" spans="5:6">
      <c r="E10266" s="1"/>
      <c r="F10266" s="1"/>
    </row>
    <row r="10267" spans="5:6">
      <c r="E10267" s="1"/>
      <c r="F10267" s="1"/>
    </row>
    <row r="10268" spans="5:6">
      <c r="E10268" s="1"/>
      <c r="F10268" s="1"/>
    </row>
    <row r="10269" spans="5:6">
      <c r="E10269" s="1"/>
      <c r="F10269" s="1"/>
    </row>
    <row r="10270" spans="5:6">
      <c r="E10270" s="1"/>
      <c r="F10270" s="1"/>
    </row>
    <row r="10271" spans="5:6">
      <c r="E10271" s="1"/>
      <c r="F10271" s="1"/>
    </row>
    <row r="10272" spans="5:6">
      <c r="E10272" s="1"/>
      <c r="F10272" s="1"/>
    </row>
    <row r="10273" spans="5:6">
      <c r="E10273" s="1"/>
      <c r="F10273" s="1"/>
    </row>
    <row r="10274" spans="5:6">
      <c r="E10274" s="1"/>
      <c r="F10274" s="1"/>
    </row>
    <row r="10275" spans="5:6">
      <c r="E10275" s="1"/>
      <c r="F10275" s="1"/>
    </row>
    <row r="10276" spans="5:6">
      <c r="E10276" s="1"/>
      <c r="F10276" s="1"/>
    </row>
    <row r="10277" spans="5:6">
      <c r="E10277" s="1"/>
      <c r="F10277" s="1"/>
    </row>
    <row r="10278" spans="5:6">
      <c r="E10278" s="1"/>
      <c r="F10278" s="1"/>
    </row>
    <row r="10279" spans="5:6">
      <c r="E10279" s="1"/>
      <c r="F10279" s="1"/>
    </row>
    <row r="10280" spans="5:6">
      <c r="E10280" s="1"/>
      <c r="F10280" s="1"/>
    </row>
    <row r="10281" spans="5:6">
      <c r="E10281" s="1"/>
      <c r="F10281" s="1"/>
    </row>
    <row r="10282" spans="5:6">
      <c r="E10282" s="1"/>
      <c r="F10282" s="1"/>
    </row>
    <row r="10283" spans="5:6">
      <c r="E10283" s="1"/>
      <c r="F10283" s="1"/>
    </row>
    <row r="10284" spans="5:6">
      <c r="E10284" s="1"/>
      <c r="F10284" s="1"/>
    </row>
    <row r="10285" spans="5:6">
      <c r="E10285" s="1"/>
      <c r="F10285" s="1"/>
    </row>
    <row r="10286" spans="5:6">
      <c r="E10286" s="1"/>
      <c r="F10286" s="1"/>
    </row>
    <row r="10287" spans="5:6">
      <c r="E10287" s="1"/>
      <c r="F10287" s="1"/>
    </row>
    <row r="10288" spans="5:6">
      <c r="E10288" s="1"/>
      <c r="F10288" s="1"/>
    </row>
    <row r="10289" spans="5:6">
      <c r="E10289" s="1"/>
      <c r="F10289" s="1"/>
    </row>
    <row r="10290" spans="5:6">
      <c r="E10290" s="1"/>
      <c r="F10290" s="1"/>
    </row>
    <row r="10291" spans="5:6">
      <c r="E10291" s="1"/>
      <c r="F10291" s="1"/>
    </row>
    <row r="10292" spans="5:6">
      <c r="E10292" s="1"/>
      <c r="F10292" s="1"/>
    </row>
    <row r="10293" spans="5:6">
      <c r="E10293" s="1"/>
      <c r="F10293" s="1"/>
    </row>
    <row r="10294" spans="5:6">
      <c r="E10294" s="1"/>
      <c r="F10294" s="1"/>
    </row>
    <row r="10295" spans="5:6">
      <c r="E10295" s="1"/>
      <c r="F10295" s="1"/>
    </row>
    <row r="10296" spans="5:6">
      <c r="E10296" s="1"/>
      <c r="F10296" s="1"/>
    </row>
    <row r="10297" spans="5:6">
      <c r="E10297" s="1"/>
      <c r="F10297" s="1"/>
    </row>
    <row r="10298" spans="5:6">
      <c r="E10298" s="1"/>
      <c r="F10298" s="1"/>
    </row>
    <row r="10299" spans="5:6">
      <c r="E10299" s="1"/>
      <c r="F10299" s="1"/>
    </row>
    <row r="10300" spans="5:6">
      <c r="E10300" s="1"/>
      <c r="F10300" s="1"/>
    </row>
    <row r="10301" spans="5:6">
      <c r="E10301" s="1"/>
      <c r="F10301" s="1"/>
    </row>
    <row r="10302" spans="5:6">
      <c r="E10302" s="1"/>
      <c r="F10302" s="1"/>
    </row>
    <row r="10303" spans="5:6">
      <c r="E10303" s="1"/>
      <c r="F10303" s="1"/>
    </row>
    <row r="10304" spans="5:6">
      <c r="E10304" s="1"/>
      <c r="F10304" s="1"/>
    </row>
    <row r="10305" spans="5:6">
      <c r="E10305" s="1"/>
      <c r="F10305" s="1"/>
    </row>
    <row r="10306" spans="5:6">
      <c r="E10306" s="1"/>
      <c r="F10306" s="1"/>
    </row>
    <row r="10307" spans="5:6">
      <c r="E10307" s="1"/>
      <c r="F10307" s="1"/>
    </row>
    <row r="10308" spans="5:6">
      <c r="E10308" s="1"/>
      <c r="F10308" s="1"/>
    </row>
    <row r="10309" spans="5:6">
      <c r="E10309" s="1"/>
      <c r="F10309" s="1"/>
    </row>
    <row r="10310" spans="5:6">
      <c r="E10310" s="1"/>
      <c r="F10310" s="1"/>
    </row>
    <row r="10311" spans="5:6">
      <c r="E10311" s="1"/>
      <c r="F10311" s="1"/>
    </row>
    <row r="10312" spans="5:6">
      <c r="E10312" s="1"/>
      <c r="F10312" s="1"/>
    </row>
    <row r="10313" spans="5:6">
      <c r="E10313" s="1"/>
      <c r="F10313" s="1"/>
    </row>
    <row r="10314" spans="5:6">
      <c r="E10314" s="1"/>
      <c r="F10314" s="1"/>
    </row>
    <row r="10315" spans="5:6">
      <c r="E10315" s="1"/>
      <c r="F10315" s="1"/>
    </row>
    <row r="10316" spans="5:6">
      <c r="E10316" s="1"/>
      <c r="F10316" s="1"/>
    </row>
    <row r="10317" spans="5:6">
      <c r="E10317" s="1"/>
      <c r="F10317" s="1"/>
    </row>
    <row r="10318" spans="5:6">
      <c r="E10318" s="1"/>
      <c r="F10318" s="1"/>
    </row>
    <row r="10319" spans="5:6">
      <c r="E10319" s="1"/>
      <c r="F10319" s="1"/>
    </row>
    <row r="10320" spans="5:6">
      <c r="E10320" s="1"/>
      <c r="F10320" s="1"/>
    </row>
    <row r="10321" spans="5:6">
      <c r="E10321" s="1"/>
      <c r="F10321" s="1"/>
    </row>
    <row r="10322" spans="5:6">
      <c r="E10322" s="1"/>
      <c r="F10322" s="1"/>
    </row>
    <row r="10323" spans="5:6">
      <c r="E10323" s="1"/>
      <c r="F10323" s="1"/>
    </row>
    <row r="10324" spans="5:6">
      <c r="E10324" s="1"/>
      <c r="F10324" s="1"/>
    </row>
    <row r="10325" spans="5:6">
      <c r="E10325" s="1"/>
      <c r="F10325" s="1"/>
    </row>
    <row r="10326" spans="5:6">
      <c r="E10326" s="1"/>
      <c r="F10326" s="1"/>
    </row>
    <row r="10327" spans="5:6">
      <c r="E10327" s="1"/>
      <c r="F10327" s="1"/>
    </row>
    <row r="10328" spans="5:6">
      <c r="E10328" s="1"/>
      <c r="F10328" s="1"/>
    </row>
    <row r="10329" spans="5:6">
      <c r="E10329" s="1"/>
      <c r="F10329" s="1"/>
    </row>
    <row r="10330" spans="5:6">
      <c r="E10330" s="1"/>
      <c r="F10330" s="1"/>
    </row>
    <row r="10331" spans="5:6">
      <c r="E10331" s="1"/>
      <c r="F10331" s="1"/>
    </row>
    <row r="10332" spans="5:6">
      <c r="E10332" s="1"/>
      <c r="F10332" s="1"/>
    </row>
    <row r="10333" spans="5:6">
      <c r="E10333" s="1"/>
      <c r="F10333" s="1"/>
    </row>
    <row r="10334" spans="5:6">
      <c r="E10334" s="1"/>
      <c r="F10334" s="1"/>
    </row>
    <row r="10335" spans="5:6">
      <c r="E10335" s="1"/>
      <c r="F10335" s="1"/>
    </row>
    <row r="10336" spans="5:6">
      <c r="E10336" s="1"/>
      <c r="F10336" s="1"/>
    </row>
    <row r="10337" spans="5:6">
      <c r="E10337" s="1"/>
      <c r="F10337" s="1"/>
    </row>
    <row r="10338" spans="5:6">
      <c r="E10338" s="1"/>
      <c r="F10338" s="1"/>
    </row>
    <row r="10339" spans="5:6">
      <c r="E10339" s="1"/>
      <c r="F10339" s="1"/>
    </row>
    <row r="10340" spans="5:6">
      <c r="E10340" s="1"/>
      <c r="F10340" s="1"/>
    </row>
    <row r="10341" spans="5:6">
      <c r="E10341" s="1"/>
      <c r="F10341" s="1"/>
    </row>
    <row r="10342" spans="5:6">
      <c r="E10342" s="1"/>
      <c r="F10342" s="1"/>
    </row>
    <row r="10343" spans="5:6">
      <c r="E10343" s="1"/>
      <c r="F10343" s="1"/>
    </row>
    <row r="10344" spans="5:6">
      <c r="E10344" s="1"/>
      <c r="F10344" s="1"/>
    </row>
    <row r="10345" spans="5:6">
      <c r="E10345" s="1"/>
      <c r="F10345" s="1"/>
    </row>
    <row r="10346" spans="5:6">
      <c r="E10346" s="1"/>
      <c r="F10346" s="1"/>
    </row>
    <row r="10347" spans="5:6">
      <c r="E10347" s="1"/>
      <c r="F10347" s="1"/>
    </row>
    <row r="10348" spans="5:6">
      <c r="E10348" s="1"/>
      <c r="F10348" s="1"/>
    </row>
    <row r="10349" spans="5:6">
      <c r="E10349" s="1"/>
      <c r="F10349" s="1"/>
    </row>
    <row r="10350" spans="5:6">
      <c r="E10350" s="1"/>
      <c r="F10350" s="1"/>
    </row>
    <row r="10351" spans="5:6">
      <c r="E10351" s="1"/>
      <c r="F10351" s="1"/>
    </row>
    <row r="10352" spans="5:6">
      <c r="E10352" s="1"/>
      <c r="F10352" s="1"/>
    </row>
    <row r="10353" spans="5:6">
      <c r="E10353" s="1"/>
      <c r="F10353" s="1"/>
    </row>
    <row r="10354" spans="5:6">
      <c r="E10354" s="1"/>
      <c r="F10354" s="1"/>
    </row>
    <row r="10355" spans="5:6">
      <c r="E10355" s="1"/>
      <c r="F10355" s="1"/>
    </row>
    <row r="10356" spans="5:6">
      <c r="E10356" s="1"/>
      <c r="F10356" s="1"/>
    </row>
    <row r="10357" spans="5:6">
      <c r="E10357" s="1"/>
      <c r="F10357" s="1"/>
    </row>
    <row r="10358" spans="5:6">
      <c r="E10358" s="1"/>
      <c r="F10358" s="1"/>
    </row>
    <row r="10359" spans="5:6">
      <c r="E10359" s="1"/>
      <c r="F10359" s="1"/>
    </row>
    <row r="10360" spans="5:6">
      <c r="E10360" s="1"/>
      <c r="F10360" s="1"/>
    </row>
    <row r="10361" spans="5:6">
      <c r="E10361" s="1"/>
      <c r="F10361" s="1"/>
    </row>
    <row r="10362" spans="5:6">
      <c r="E10362" s="1"/>
      <c r="F10362" s="1"/>
    </row>
    <row r="10363" spans="5:6">
      <c r="E10363" s="1"/>
      <c r="F10363" s="1"/>
    </row>
    <row r="10364" spans="5:6">
      <c r="E10364" s="1"/>
      <c r="F10364" s="1"/>
    </row>
    <row r="10365" spans="5:6">
      <c r="E10365" s="1"/>
      <c r="F10365" s="1"/>
    </row>
    <row r="10366" spans="5:6">
      <c r="E10366" s="1"/>
      <c r="F10366" s="1"/>
    </row>
    <row r="10367" spans="5:6">
      <c r="E10367" s="1"/>
      <c r="F10367" s="1"/>
    </row>
    <row r="10368" spans="5:6">
      <c r="E10368" s="1"/>
      <c r="F10368" s="1"/>
    </row>
    <row r="10369" spans="5:6">
      <c r="E10369" s="1"/>
      <c r="F10369" s="1"/>
    </row>
    <row r="10370" spans="5:6">
      <c r="E10370" s="1"/>
      <c r="F10370" s="1"/>
    </row>
    <row r="10371" spans="5:6">
      <c r="E10371" s="1"/>
      <c r="F10371" s="1"/>
    </row>
    <row r="10372" spans="5:6">
      <c r="E10372" s="1"/>
      <c r="F10372" s="1"/>
    </row>
    <row r="10373" spans="5:6">
      <c r="E10373" s="1"/>
      <c r="F10373" s="1"/>
    </row>
    <row r="10374" spans="5:6">
      <c r="E10374" s="1"/>
      <c r="F10374" s="1"/>
    </row>
    <row r="10375" spans="5:6">
      <c r="E10375" s="1"/>
      <c r="F10375" s="1"/>
    </row>
    <row r="10376" spans="5:6">
      <c r="E10376" s="1"/>
      <c r="F10376" s="1"/>
    </row>
    <row r="10377" spans="5:6">
      <c r="E10377" s="1"/>
      <c r="F10377" s="1"/>
    </row>
    <row r="10378" spans="5:6">
      <c r="E10378" s="1"/>
      <c r="F10378" s="1"/>
    </row>
    <row r="10379" spans="5:6">
      <c r="E10379" s="1"/>
      <c r="F10379" s="1"/>
    </row>
    <row r="10380" spans="5:6">
      <c r="E10380" s="1"/>
      <c r="F10380" s="1"/>
    </row>
    <row r="10381" spans="5:6">
      <c r="E10381" s="1"/>
      <c r="F10381" s="1"/>
    </row>
    <row r="10382" spans="5:6">
      <c r="E10382" s="1"/>
      <c r="F10382" s="1"/>
    </row>
    <row r="10383" spans="5:6">
      <c r="E10383" s="1"/>
      <c r="F10383" s="1"/>
    </row>
    <row r="10384" spans="5:6">
      <c r="E10384" s="1"/>
      <c r="F10384" s="1"/>
    </row>
    <row r="10385" spans="5:6">
      <c r="E10385" s="1"/>
      <c r="F10385" s="1"/>
    </row>
    <row r="10386" spans="5:6">
      <c r="E10386" s="1"/>
      <c r="F10386" s="1"/>
    </row>
    <row r="10387" spans="5:6">
      <c r="E10387" s="1"/>
      <c r="F10387" s="1"/>
    </row>
    <row r="10388" spans="5:6">
      <c r="E10388" s="1"/>
      <c r="F10388" s="1"/>
    </row>
    <row r="10389" spans="5:6">
      <c r="E10389" s="1"/>
      <c r="F10389" s="1"/>
    </row>
    <row r="10390" spans="5:6">
      <c r="E10390" s="1"/>
      <c r="F10390" s="1"/>
    </row>
    <row r="10391" spans="5:6">
      <c r="E10391" s="1"/>
      <c r="F10391" s="1"/>
    </row>
    <row r="10392" spans="5:6">
      <c r="E10392" s="1"/>
      <c r="F10392" s="1"/>
    </row>
    <row r="10393" spans="5:6">
      <c r="E10393" s="1"/>
      <c r="F10393" s="1"/>
    </row>
    <row r="10394" spans="5:6">
      <c r="E10394" s="1"/>
      <c r="F10394" s="1"/>
    </row>
    <row r="10395" spans="5:6">
      <c r="E10395" s="1"/>
      <c r="F10395" s="1"/>
    </row>
    <row r="10396" spans="5:6">
      <c r="E10396" s="1"/>
      <c r="F10396" s="1"/>
    </row>
    <row r="10397" spans="5:6">
      <c r="E10397" s="1"/>
      <c r="F10397" s="1"/>
    </row>
    <row r="10398" spans="5:6">
      <c r="E10398" s="1"/>
      <c r="F10398" s="1"/>
    </row>
    <row r="10399" spans="5:6">
      <c r="E10399" s="1"/>
      <c r="F10399" s="1"/>
    </row>
    <row r="10400" spans="5:6">
      <c r="E10400" s="1"/>
      <c r="F10400" s="1"/>
    </row>
    <row r="10401" spans="5:6">
      <c r="E10401" s="1"/>
      <c r="F10401" s="1"/>
    </row>
    <row r="10402" spans="5:6">
      <c r="E10402" s="1"/>
      <c r="F10402" s="1"/>
    </row>
    <row r="10403" spans="5:6">
      <c r="E10403" s="1"/>
      <c r="F10403" s="1"/>
    </row>
    <row r="10404" spans="5:6">
      <c r="E10404" s="1"/>
      <c r="F10404" s="1"/>
    </row>
    <row r="10405" spans="5:6">
      <c r="E10405" s="1"/>
      <c r="F10405" s="1"/>
    </row>
    <row r="10406" spans="5:6">
      <c r="E10406" s="1"/>
      <c r="F10406" s="1"/>
    </row>
    <row r="10407" spans="5:6">
      <c r="E10407" s="1"/>
      <c r="F10407" s="1"/>
    </row>
    <row r="10408" spans="5:6">
      <c r="E10408" s="1"/>
      <c r="F10408" s="1"/>
    </row>
    <row r="10409" spans="5:6">
      <c r="E10409" s="1"/>
      <c r="F10409" s="1"/>
    </row>
    <row r="10410" spans="5:6">
      <c r="E10410" s="1"/>
      <c r="F10410" s="1"/>
    </row>
    <row r="10411" spans="5:6">
      <c r="E10411" s="1"/>
      <c r="F10411" s="1"/>
    </row>
    <row r="10412" spans="5:6">
      <c r="E10412" s="1"/>
      <c r="F10412" s="1"/>
    </row>
    <row r="10413" spans="5:6">
      <c r="E10413" s="1"/>
      <c r="F10413" s="1"/>
    </row>
    <row r="10414" spans="5:6">
      <c r="E10414" s="1"/>
      <c r="F10414" s="1"/>
    </row>
    <row r="10415" spans="5:6">
      <c r="E10415" s="1"/>
      <c r="F10415" s="1"/>
    </row>
    <row r="10416" spans="5:6">
      <c r="E10416" s="1"/>
      <c r="F10416" s="1"/>
    </row>
    <row r="10417" spans="5:6">
      <c r="E10417" s="1"/>
      <c r="F10417" s="1"/>
    </row>
    <row r="10418" spans="5:6">
      <c r="E10418" s="1"/>
      <c r="F10418" s="1"/>
    </row>
    <row r="10419" spans="5:6">
      <c r="E10419" s="1"/>
      <c r="F10419" s="1"/>
    </row>
    <row r="10420" spans="5:6">
      <c r="E10420" s="1"/>
      <c r="F10420" s="1"/>
    </row>
    <row r="10421" spans="5:6">
      <c r="E10421" s="1"/>
      <c r="F10421" s="1"/>
    </row>
    <row r="10422" spans="5:6">
      <c r="E10422" s="1"/>
      <c r="F10422" s="1"/>
    </row>
    <row r="10423" spans="5:6">
      <c r="E10423" s="1"/>
      <c r="F10423" s="1"/>
    </row>
    <row r="10424" spans="5:6">
      <c r="E10424" s="1"/>
      <c r="F10424" s="1"/>
    </row>
    <row r="10425" spans="5:6">
      <c r="E10425" s="1"/>
      <c r="F10425" s="1"/>
    </row>
    <row r="10426" spans="5:6">
      <c r="E10426" s="1"/>
      <c r="F10426" s="1"/>
    </row>
    <row r="10427" spans="5:6">
      <c r="E10427" s="1"/>
      <c r="F10427" s="1"/>
    </row>
    <row r="10428" spans="5:6">
      <c r="E10428" s="1"/>
      <c r="F10428" s="1"/>
    </row>
    <row r="10429" spans="5:6">
      <c r="E10429" s="1"/>
      <c r="F10429" s="1"/>
    </row>
    <row r="10430" spans="5:6">
      <c r="E10430" s="1"/>
      <c r="F10430" s="1"/>
    </row>
    <row r="10431" spans="5:6">
      <c r="E10431" s="1"/>
      <c r="F10431" s="1"/>
    </row>
    <row r="10432" spans="5:6">
      <c r="E10432" s="1"/>
      <c r="F10432" s="1"/>
    </row>
    <row r="10433" spans="5:6">
      <c r="E10433" s="1"/>
      <c r="F10433" s="1"/>
    </row>
    <row r="10434" spans="5:6">
      <c r="E10434" s="1"/>
      <c r="F10434" s="1"/>
    </row>
    <row r="10435" spans="5:6">
      <c r="E10435" s="1"/>
      <c r="F10435" s="1"/>
    </row>
    <row r="10436" spans="5:6">
      <c r="E10436" s="1"/>
      <c r="F10436" s="1"/>
    </row>
    <row r="10437" spans="5:6">
      <c r="E10437" s="1"/>
      <c r="F10437" s="1"/>
    </row>
    <row r="10438" spans="5:6">
      <c r="E10438" s="1"/>
      <c r="F10438" s="1"/>
    </row>
    <row r="10439" spans="5:6">
      <c r="E10439" s="1"/>
      <c r="F10439" s="1"/>
    </row>
    <row r="10440" spans="5:6">
      <c r="E10440" s="1"/>
      <c r="F10440" s="1"/>
    </row>
    <row r="10441" spans="5:6">
      <c r="E10441" s="1"/>
      <c r="F10441" s="1"/>
    </row>
    <row r="10442" spans="5:6">
      <c r="E10442" s="1"/>
      <c r="F10442" s="1"/>
    </row>
    <row r="10443" spans="5:6">
      <c r="E10443" s="1"/>
      <c r="F10443" s="1"/>
    </row>
    <row r="10444" spans="5:6">
      <c r="E10444" s="1"/>
      <c r="F10444" s="1"/>
    </row>
    <row r="10445" spans="5:6">
      <c r="E10445" s="1"/>
      <c r="F10445" s="1"/>
    </row>
    <row r="10446" spans="5:6">
      <c r="E10446" s="1"/>
      <c r="F10446" s="1"/>
    </row>
    <row r="10447" spans="5:6">
      <c r="E10447" s="1"/>
      <c r="F10447" s="1"/>
    </row>
    <row r="10448" spans="5:6">
      <c r="E10448" s="1"/>
      <c r="F10448" s="1"/>
    </row>
    <row r="10449" spans="5:6">
      <c r="E10449" s="1"/>
      <c r="F10449" s="1"/>
    </row>
    <row r="10450" spans="5:6">
      <c r="E10450" s="1"/>
      <c r="F10450" s="1"/>
    </row>
    <row r="10451" spans="5:6">
      <c r="E10451" s="1"/>
      <c r="F10451" s="1"/>
    </row>
    <row r="10452" spans="5:6">
      <c r="E10452" s="1"/>
      <c r="F10452" s="1"/>
    </row>
    <row r="10453" spans="5:6">
      <c r="E10453" s="1"/>
      <c r="F10453" s="1"/>
    </row>
    <row r="10454" spans="5:6">
      <c r="E10454" s="1"/>
      <c r="F10454" s="1"/>
    </row>
    <row r="10455" spans="5:6">
      <c r="E10455" s="1"/>
      <c r="F10455" s="1"/>
    </row>
    <row r="10456" spans="5:6">
      <c r="E10456" s="1"/>
      <c r="F10456" s="1"/>
    </row>
    <row r="10457" spans="5:6">
      <c r="E10457" s="1"/>
      <c r="F10457" s="1"/>
    </row>
    <row r="10458" spans="5:6">
      <c r="E10458" s="1"/>
      <c r="F10458" s="1"/>
    </row>
    <row r="10459" spans="5:6">
      <c r="E10459" s="1"/>
      <c r="F10459" s="1"/>
    </row>
    <row r="10460" spans="5:6">
      <c r="E10460" s="1"/>
      <c r="F10460" s="1"/>
    </row>
    <row r="10461" spans="5:6">
      <c r="E10461" s="1"/>
      <c r="F10461" s="1"/>
    </row>
    <row r="10462" spans="5:6">
      <c r="E10462" s="1"/>
      <c r="F10462" s="1"/>
    </row>
    <row r="10463" spans="5:6">
      <c r="E10463" s="1"/>
      <c r="F10463" s="1"/>
    </row>
    <row r="10464" spans="5:6">
      <c r="E10464" s="1"/>
      <c r="F10464" s="1"/>
    </row>
    <row r="10465" spans="5:6">
      <c r="E10465" s="1"/>
      <c r="F10465" s="1"/>
    </row>
    <row r="10466" spans="5:6">
      <c r="E10466" s="1"/>
      <c r="F10466" s="1"/>
    </row>
    <row r="10467" spans="5:6">
      <c r="E10467" s="1"/>
      <c r="F10467" s="1"/>
    </row>
    <row r="10468" spans="5:6">
      <c r="E10468" s="1"/>
      <c r="F10468" s="1"/>
    </row>
    <row r="10469" spans="5:6">
      <c r="E10469" s="1"/>
      <c r="F10469" s="1"/>
    </row>
    <row r="10470" spans="5:6">
      <c r="E10470" s="1"/>
      <c r="F10470" s="1"/>
    </row>
    <row r="10471" spans="5:6">
      <c r="E10471" s="1"/>
      <c r="F10471" s="1"/>
    </row>
    <row r="10472" spans="5:6">
      <c r="E10472" s="1"/>
      <c r="F10472" s="1"/>
    </row>
    <row r="10473" spans="5:6">
      <c r="E10473" s="1"/>
      <c r="F10473" s="1"/>
    </row>
    <row r="10474" spans="5:6">
      <c r="E10474" s="1"/>
      <c r="F10474" s="1"/>
    </row>
    <row r="10475" spans="5:6">
      <c r="E10475" s="1"/>
      <c r="F10475" s="1"/>
    </row>
    <row r="10476" spans="5:6">
      <c r="E10476" s="1"/>
      <c r="F10476" s="1"/>
    </row>
    <row r="10477" spans="5:6">
      <c r="E10477" s="1"/>
      <c r="F10477" s="1"/>
    </row>
    <row r="10478" spans="5:6">
      <c r="E10478" s="1"/>
      <c r="F10478" s="1"/>
    </row>
    <row r="10479" spans="5:6">
      <c r="E10479" s="1"/>
      <c r="F10479" s="1"/>
    </row>
    <row r="10480" spans="5:6">
      <c r="E10480" s="1"/>
      <c r="F10480" s="1"/>
    </row>
    <row r="10481" spans="5:6">
      <c r="E10481" s="1"/>
      <c r="F10481" s="1"/>
    </row>
    <row r="10482" spans="5:6">
      <c r="E10482" s="1"/>
      <c r="F10482" s="1"/>
    </row>
    <row r="10483" spans="5:6">
      <c r="E10483" s="1"/>
      <c r="F10483" s="1"/>
    </row>
    <row r="10484" spans="5:6">
      <c r="E10484" s="1"/>
      <c r="F10484" s="1"/>
    </row>
    <row r="10485" spans="5:6">
      <c r="E10485" s="1"/>
      <c r="F10485" s="1"/>
    </row>
    <row r="10486" spans="5:6">
      <c r="E10486" s="1"/>
      <c r="F10486" s="1"/>
    </row>
    <row r="10487" spans="5:6">
      <c r="E10487" s="1"/>
      <c r="F10487" s="1"/>
    </row>
    <row r="10488" spans="5:6">
      <c r="E10488" s="1"/>
      <c r="F10488" s="1"/>
    </row>
    <row r="10489" spans="5:6">
      <c r="E10489" s="1"/>
      <c r="F10489" s="1"/>
    </row>
    <row r="10490" spans="5:6">
      <c r="E10490" s="1"/>
      <c r="F10490" s="1"/>
    </row>
    <row r="10491" spans="5:6">
      <c r="E10491" s="1"/>
      <c r="F10491" s="1"/>
    </row>
    <row r="10492" spans="5:6">
      <c r="E10492" s="1"/>
      <c r="F10492" s="1"/>
    </row>
    <row r="10493" spans="5:6">
      <c r="E10493" s="1"/>
      <c r="F10493" s="1"/>
    </row>
    <row r="10494" spans="5:6">
      <c r="E10494" s="1"/>
      <c r="F10494" s="1"/>
    </row>
    <row r="10495" spans="5:6">
      <c r="E10495" s="1"/>
      <c r="F10495" s="1"/>
    </row>
    <row r="10496" spans="5:6">
      <c r="E10496" s="1"/>
      <c r="F10496" s="1"/>
    </row>
    <row r="10497" spans="5:6">
      <c r="E10497" s="1"/>
      <c r="F10497" s="1"/>
    </row>
    <row r="10498" spans="5:6">
      <c r="E10498" s="1"/>
      <c r="F10498" s="1"/>
    </row>
    <row r="10499" spans="5:6">
      <c r="E10499" s="1"/>
      <c r="F10499" s="1"/>
    </row>
    <row r="10500" spans="5:6">
      <c r="E10500" s="1"/>
      <c r="F10500" s="1"/>
    </row>
    <row r="10501" spans="5:6">
      <c r="E10501" s="1"/>
      <c r="F10501" s="1"/>
    </row>
    <row r="10502" spans="5:6">
      <c r="E10502" s="1"/>
      <c r="F10502" s="1"/>
    </row>
    <row r="10503" spans="5:6">
      <c r="E10503" s="1"/>
      <c r="F10503" s="1"/>
    </row>
    <row r="10504" spans="5:6">
      <c r="E10504" s="1"/>
      <c r="F10504" s="1"/>
    </row>
    <row r="10505" spans="5:6">
      <c r="E10505" s="1"/>
      <c r="F10505" s="1"/>
    </row>
    <row r="10506" spans="5:6">
      <c r="E10506" s="1"/>
      <c r="F10506" s="1"/>
    </row>
    <row r="10507" spans="5:6">
      <c r="E10507" s="1"/>
      <c r="F10507" s="1"/>
    </row>
    <row r="10508" spans="5:6">
      <c r="E10508" s="1"/>
      <c r="F10508" s="1"/>
    </row>
    <row r="10509" spans="5:6">
      <c r="E10509" s="1"/>
      <c r="F10509" s="1"/>
    </row>
    <row r="10510" spans="5:6">
      <c r="E10510" s="1"/>
      <c r="F10510" s="1"/>
    </row>
    <row r="10511" spans="5:6">
      <c r="E10511" s="1"/>
      <c r="F10511" s="1"/>
    </row>
    <row r="10512" spans="5:6">
      <c r="E10512" s="1"/>
      <c r="F10512" s="1"/>
    </row>
    <row r="10513" spans="5:6">
      <c r="E10513" s="1"/>
      <c r="F10513" s="1"/>
    </row>
    <row r="10514" spans="5:6">
      <c r="E10514" s="1"/>
      <c r="F10514" s="1"/>
    </row>
    <row r="10515" spans="5:6">
      <c r="E10515" s="1"/>
      <c r="F10515" s="1"/>
    </row>
    <row r="10516" spans="5:6">
      <c r="E10516" s="1"/>
      <c r="F10516" s="1"/>
    </row>
    <row r="10517" spans="5:6">
      <c r="E10517" s="1"/>
      <c r="F10517" s="1"/>
    </row>
    <row r="10518" spans="5:6">
      <c r="E10518" s="1"/>
      <c r="F10518" s="1"/>
    </row>
    <row r="10519" spans="5:6">
      <c r="E10519" s="1"/>
      <c r="F10519" s="1"/>
    </row>
    <row r="10520" spans="5:6">
      <c r="E10520" s="1"/>
      <c r="F10520" s="1"/>
    </row>
    <row r="10521" spans="5:6">
      <c r="E10521" s="1"/>
      <c r="F10521" s="1"/>
    </row>
    <row r="10522" spans="5:6">
      <c r="E10522" s="1"/>
      <c r="F10522" s="1"/>
    </row>
    <row r="10523" spans="5:6">
      <c r="E10523" s="1"/>
      <c r="F10523" s="1"/>
    </row>
    <row r="10524" spans="5:6">
      <c r="E10524" s="1"/>
      <c r="F10524" s="1"/>
    </row>
    <row r="10525" spans="5:6">
      <c r="E10525" s="1"/>
      <c r="F10525" s="1"/>
    </row>
    <row r="10526" spans="5:6">
      <c r="E10526" s="1"/>
      <c r="F10526" s="1"/>
    </row>
    <row r="10527" spans="5:6">
      <c r="E10527" s="1"/>
      <c r="F10527" s="1"/>
    </row>
    <row r="10528" spans="5:6">
      <c r="E10528" s="1"/>
      <c r="F10528" s="1"/>
    </row>
    <row r="10529" spans="5:6">
      <c r="E10529" s="1"/>
      <c r="F10529" s="1"/>
    </row>
    <row r="10530" spans="5:6">
      <c r="E10530" s="1"/>
      <c r="F10530" s="1"/>
    </row>
    <row r="10531" spans="5:6">
      <c r="E10531" s="1"/>
      <c r="F10531" s="1"/>
    </row>
    <row r="10532" spans="5:6">
      <c r="E10532" s="1"/>
      <c r="F10532" s="1"/>
    </row>
    <row r="10533" spans="5:6">
      <c r="E10533" s="1"/>
      <c r="F10533" s="1"/>
    </row>
    <row r="10534" spans="5:6">
      <c r="E10534" s="1"/>
      <c r="F10534" s="1"/>
    </row>
    <row r="10535" spans="5:6">
      <c r="E10535" s="1"/>
      <c r="F10535" s="1"/>
    </row>
    <row r="10536" spans="5:6">
      <c r="E10536" s="1"/>
      <c r="F10536" s="1"/>
    </row>
    <row r="10537" spans="5:6">
      <c r="E10537" s="1"/>
      <c r="F10537" s="1"/>
    </row>
    <row r="10538" spans="5:6">
      <c r="E10538" s="1"/>
      <c r="F10538" s="1"/>
    </row>
    <row r="10539" spans="5:6">
      <c r="E10539" s="1"/>
      <c r="F10539" s="1"/>
    </row>
    <row r="10540" spans="5:6">
      <c r="E10540" s="1"/>
      <c r="F10540" s="1"/>
    </row>
    <row r="10541" spans="5:6">
      <c r="E10541" s="1"/>
      <c r="F10541" s="1"/>
    </row>
    <row r="10542" spans="5:6">
      <c r="E10542" s="1"/>
      <c r="F10542" s="1"/>
    </row>
    <row r="10543" spans="5:6">
      <c r="E10543" s="1"/>
      <c r="F10543" s="1"/>
    </row>
    <row r="10544" spans="5:6">
      <c r="E10544" s="1"/>
      <c r="F10544" s="1"/>
    </row>
    <row r="10545" spans="5:6">
      <c r="E10545" s="1"/>
      <c r="F10545" s="1"/>
    </row>
    <row r="10546" spans="5:6">
      <c r="E10546" s="1"/>
      <c r="F10546" s="1"/>
    </row>
    <row r="10547" spans="5:6">
      <c r="E10547" s="1"/>
      <c r="F10547" s="1"/>
    </row>
    <row r="10548" spans="5:6">
      <c r="E10548" s="1"/>
      <c r="F10548" s="1"/>
    </row>
    <row r="10549" spans="5:6">
      <c r="E10549" s="1"/>
      <c r="F10549" s="1"/>
    </row>
    <row r="10550" spans="5:6">
      <c r="E10550" s="1"/>
      <c r="F10550" s="1"/>
    </row>
    <row r="10551" spans="5:6">
      <c r="E10551" s="1"/>
      <c r="F10551" s="1"/>
    </row>
    <row r="10552" spans="5:6">
      <c r="E10552" s="1"/>
      <c r="F10552" s="1"/>
    </row>
    <row r="10553" spans="5:6">
      <c r="E10553" s="1"/>
      <c r="F10553" s="1"/>
    </row>
    <row r="10554" spans="5:6">
      <c r="E10554" s="1"/>
      <c r="F10554" s="1"/>
    </row>
    <row r="10555" spans="5:6">
      <c r="E10555" s="1"/>
      <c r="F10555" s="1"/>
    </row>
    <row r="10556" spans="5:6">
      <c r="E10556" s="1"/>
      <c r="F10556" s="1"/>
    </row>
    <row r="10557" spans="5:6">
      <c r="E10557" s="1"/>
      <c r="F10557" s="1"/>
    </row>
    <row r="10558" spans="5:6">
      <c r="E10558" s="1"/>
      <c r="F10558" s="1"/>
    </row>
    <row r="10559" spans="5:6">
      <c r="E10559" s="1"/>
      <c r="F10559" s="1"/>
    </row>
    <row r="10560" spans="5:6">
      <c r="E10560" s="1"/>
      <c r="F10560" s="1"/>
    </row>
    <row r="10561" spans="5:6">
      <c r="E10561" s="1"/>
      <c r="F10561" s="1"/>
    </row>
    <row r="10562" spans="5:6">
      <c r="E10562" s="1"/>
      <c r="F10562" s="1"/>
    </row>
    <row r="10563" spans="5:6">
      <c r="E10563" s="1"/>
      <c r="F10563" s="1"/>
    </row>
    <row r="10564" spans="5:6">
      <c r="E10564" s="1"/>
      <c r="F10564" s="1"/>
    </row>
    <row r="10565" spans="5:6">
      <c r="E10565" s="1"/>
      <c r="F10565" s="1"/>
    </row>
    <row r="10566" spans="5:6">
      <c r="E10566" s="1"/>
      <c r="F10566" s="1"/>
    </row>
    <row r="10567" spans="5:6">
      <c r="E10567" s="1"/>
      <c r="F10567" s="1"/>
    </row>
    <row r="10568" spans="5:6">
      <c r="E10568" s="1"/>
      <c r="F10568" s="1"/>
    </row>
    <row r="10569" spans="5:6">
      <c r="E10569" s="1"/>
      <c r="F10569" s="1"/>
    </row>
    <row r="10570" spans="5:6">
      <c r="E10570" s="1"/>
      <c r="F10570" s="1"/>
    </row>
    <row r="10571" spans="5:6">
      <c r="E10571" s="1"/>
      <c r="F10571" s="1"/>
    </row>
    <row r="10572" spans="5:6">
      <c r="E10572" s="1"/>
      <c r="F10572" s="1"/>
    </row>
    <row r="10573" spans="5:6">
      <c r="E10573" s="1"/>
      <c r="F10573" s="1"/>
    </row>
    <row r="10574" spans="5:6">
      <c r="E10574" s="1"/>
      <c r="F10574" s="1"/>
    </row>
    <row r="10575" spans="5:6">
      <c r="E10575" s="1"/>
      <c r="F10575" s="1"/>
    </row>
    <row r="10576" spans="5:6">
      <c r="E10576" s="1"/>
      <c r="F10576" s="1"/>
    </row>
    <row r="10577" spans="5:6">
      <c r="E10577" s="1"/>
      <c r="F10577" s="1"/>
    </row>
    <row r="10578" spans="5:6">
      <c r="E10578" s="1"/>
      <c r="F10578" s="1"/>
    </row>
    <row r="10579" spans="5:6">
      <c r="E10579" s="1"/>
      <c r="F10579" s="1"/>
    </row>
    <row r="10580" spans="5:6">
      <c r="E10580" s="1"/>
      <c r="F10580" s="1"/>
    </row>
    <row r="10581" spans="5:6">
      <c r="E10581" s="1"/>
      <c r="F10581" s="1"/>
    </row>
    <row r="10582" spans="5:6">
      <c r="E10582" s="1"/>
      <c r="F10582" s="1"/>
    </row>
    <row r="10583" spans="5:6">
      <c r="E10583" s="1"/>
      <c r="F10583" s="1"/>
    </row>
    <row r="10584" spans="5:6">
      <c r="E10584" s="1"/>
      <c r="F10584" s="1"/>
    </row>
    <row r="10585" spans="5:6">
      <c r="E10585" s="1"/>
      <c r="F10585" s="1"/>
    </row>
    <row r="10586" spans="5:6">
      <c r="E10586" s="1"/>
      <c r="F10586" s="1"/>
    </row>
    <row r="10587" spans="5:6">
      <c r="E10587" s="1"/>
      <c r="F10587" s="1"/>
    </row>
    <row r="10588" spans="5:6">
      <c r="E10588" s="1"/>
      <c r="F10588" s="1"/>
    </row>
    <row r="10589" spans="5:6">
      <c r="E10589" s="1"/>
      <c r="F10589" s="1"/>
    </row>
    <row r="10590" spans="5:6">
      <c r="E10590" s="1"/>
      <c r="F10590" s="1"/>
    </row>
    <row r="10591" spans="5:6">
      <c r="E10591" s="1"/>
      <c r="F10591" s="1"/>
    </row>
    <row r="10592" spans="5:6">
      <c r="E10592" s="1"/>
      <c r="F10592" s="1"/>
    </row>
    <row r="10593" spans="5:6">
      <c r="E10593" s="1"/>
      <c r="F10593" s="1"/>
    </row>
    <row r="10594" spans="5:6">
      <c r="E10594" s="1"/>
      <c r="F10594" s="1"/>
    </row>
    <row r="10595" spans="5:6">
      <c r="E10595" s="1"/>
      <c r="F10595" s="1"/>
    </row>
    <row r="10596" spans="5:6">
      <c r="E10596" s="1"/>
      <c r="F10596" s="1"/>
    </row>
    <row r="10597" spans="5:6">
      <c r="E10597" s="1"/>
      <c r="F10597" s="1"/>
    </row>
    <row r="10598" spans="5:6">
      <c r="E10598" s="1"/>
      <c r="F10598" s="1"/>
    </row>
    <row r="10599" spans="5:6">
      <c r="E10599" s="1"/>
      <c r="F10599" s="1"/>
    </row>
    <row r="10600" spans="5:6">
      <c r="E10600" s="1"/>
      <c r="F10600" s="1"/>
    </row>
    <row r="10601" spans="5:6">
      <c r="E10601" s="1"/>
      <c r="F10601" s="1"/>
    </row>
    <row r="10602" spans="5:6">
      <c r="E10602" s="1"/>
      <c r="F10602" s="1"/>
    </row>
    <row r="10603" spans="5:6">
      <c r="E10603" s="1"/>
      <c r="F10603" s="1"/>
    </row>
    <row r="10604" spans="5:6">
      <c r="E10604" s="1"/>
      <c r="F10604" s="1"/>
    </row>
    <row r="10605" spans="5:6">
      <c r="E10605" s="1"/>
      <c r="F10605" s="1"/>
    </row>
    <row r="10606" spans="5:6">
      <c r="E10606" s="1"/>
      <c r="F10606" s="1"/>
    </row>
    <row r="10607" spans="5:6">
      <c r="E10607" s="1"/>
      <c r="F10607" s="1"/>
    </row>
    <row r="10608" spans="5:6">
      <c r="E10608" s="1"/>
      <c r="F10608" s="1"/>
    </row>
    <row r="10609" spans="5:6">
      <c r="E10609" s="1"/>
      <c r="F10609" s="1"/>
    </row>
    <row r="10610" spans="5:6">
      <c r="E10610" s="1"/>
      <c r="F10610" s="1"/>
    </row>
    <row r="10611" spans="5:6">
      <c r="E10611" s="1"/>
      <c r="F10611" s="1"/>
    </row>
    <row r="10612" spans="5:6">
      <c r="E10612" s="1"/>
      <c r="F10612" s="1"/>
    </row>
    <row r="10613" spans="5:6">
      <c r="E10613" s="1"/>
      <c r="F10613" s="1"/>
    </row>
    <row r="10614" spans="5:6">
      <c r="E10614" s="1"/>
      <c r="F10614" s="1"/>
    </row>
    <row r="10615" spans="5:6">
      <c r="E10615" s="1"/>
      <c r="F10615" s="1"/>
    </row>
    <row r="10616" spans="5:6">
      <c r="E10616" s="1"/>
      <c r="F10616" s="1"/>
    </row>
    <row r="10617" spans="5:6">
      <c r="E10617" s="1"/>
      <c r="F10617" s="1"/>
    </row>
    <row r="10618" spans="5:6">
      <c r="E10618" s="1"/>
      <c r="F10618" s="1"/>
    </row>
    <row r="10619" spans="5:6">
      <c r="E10619" s="1"/>
      <c r="F10619" s="1"/>
    </row>
    <row r="10620" spans="5:6">
      <c r="E10620" s="1"/>
      <c r="F10620" s="1"/>
    </row>
    <row r="10621" spans="5:6">
      <c r="E10621" s="1"/>
      <c r="F10621" s="1"/>
    </row>
    <row r="10622" spans="5:6">
      <c r="E10622" s="1"/>
      <c r="F10622" s="1"/>
    </row>
    <row r="10623" spans="5:6">
      <c r="E10623" s="1"/>
      <c r="F10623" s="1"/>
    </row>
    <row r="10624" spans="5:6">
      <c r="E10624" s="1"/>
      <c r="F10624" s="1"/>
    </row>
    <row r="10625" spans="5:6">
      <c r="E10625" s="1"/>
      <c r="F10625" s="1"/>
    </row>
    <row r="10626" spans="5:6">
      <c r="E10626" s="1"/>
      <c r="F10626" s="1"/>
    </row>
    <row r="10627" spans="5:6">
      <c r="E10627" s="1"/>
      <c r="F10627" s="1"/>
    </row>
    <row r="10628" spans="5:6">
      <c r="E10628" s="1"/>
      <c r="F10628" s="1"/>
    </row>
    <row r="10629" spans="5:6">
      <c r="E10629" s="1"/>
      <c r="F10629" s="1"/>
    </row>
    <row r="10630" spans="5:6">
      <c r="E10630" s="1"/>
      <c r="F10630" s="1"/>
    </row>
    <row r="10631" spans="5:6">
      <c r="E10631" s="1"/>
      <c r="F10631" s="1"/>
    </row>
    <row r="10632" spans="5:6">
      <c r="E10632" s="1"/>
      <c r="F10632" s="1"/>
    </row>
    <row r="10633" spans="5:6">
      <c r="E10633" s="1"/>
      <c r="F10633" s="1"/>
    </row>
    <row r="10634" spans="5:6">
      <c r="E10634" s="1"/>
      <c r="F10634" s="1"/>
    </row>
    <row r="10635" spans="5:6">
      <c r="E10635" s="1"/>
      <c r="F10635" s="1"/>
    </row>
    <row r="10636" spans="5:6">
      <c r="E10636" s="1"/>
      <c r="F10636" s="1"/>
    </row>
    <row r="10637" spans="5:6">
      <c r="E10637" s="1"/>
      <c r="F10637" s="1"/>
    </row>
    <row r="10638" spans="5:6">
      <c r="E10638" s="1"/>
      <c r="F10638" s="1"/>
    </row>
    <row r="10639" spans="5:6">
      <c r="E10639" s="1"/>
      <c r="F10639" s="1"/>
    </row>
    <row r="10640" spans="5:6">
      <c r="E10640" s="1"/>
      <c r="F10640" s="1"/>
    </row>
    <row r="10641" spans="5:6">
      <c r="E10641" s="1"/>
      <c r="F10641" s="1"/>
    </row>
    <row r="10642" spans="5:6">
      <c r="E10642" s="1"/>
      <c r="F10642" s="1"/>
    </row>
    <row r="10643" spans="5:6">
      <c r="E10643" s="1"/>
      <c r="F10643" s="1"/>
    </row>
    <row r="10644" spans="5:6">
      <c r="E10644" s="1"/>
      <c r="F10644" s="1"/>
    </row>
    <row r="10645" spans="5:6">
      <c r="E10645" s="1"/>
      <c r="F10645" s="1"/>
    </row>
    <row r="10646" spans="5:6">
      <c r="E10646" s="1"/>
      <c r="F10646" s="1"/>
    </row>
    <row r="10647" spans="5:6">
      <c r="E10647" s="1"/>
      <c r="F10647" s="1"/>
    </row>
    <row r="10648" spans="5:6">
      <c r="E10648" s="1"/>
      <c r="F10648" s="1"/>
    </row>
    <row r="10649" spans="5:6">
      <c r="E10649" s="1"/>
      <c r="F10649" s="1"/>
    </row>
    <row r="10650" spans="5:6">
      <c r="E10650" s="1"/>
      <c r="F10650" s="1"/>
    </row>
    <row r="10651" spans="5:6">
      <c r="E10651" s="1"/>
      <c r="F10651" s="1"/>
    </row>
    <row r="10652" spans="5:6">
      <c r="E10652" s="1"/>
      <c r="F10652" s="1"/>
    </row>
    <row r="10653" spans="5:6">
      <c r="E10653" s="1"/>
      <c r="F10653" s="1"/>
    </row>
    <row r="10654" spans="5:6">
      <c r="E10654" s="1"/>
      <c r="F10654" s="1"/>
    </row>
    <row r="10655" spans="5:6">
      <c r="E10655" s="1"/>
      <c r="F10655" s="1"/>
    </row>
    <row r="10656" spans="5:6">
      <c r="E10656" s="1"/>
      <c r="F10656" s="1"/>
    </row>
    <row r="10657" spans="5:6">
      <c r="E10657" s="1"/>
      <c r="F10657" s="1"/>
    </row>
    <row r="10658" spans="5:6">
      <c r="E10658" s="1"/>
      <c r="F10658" s="1"/>
    </row>
    <row r="10659" spans="5:6">
      <c r="E10659" s="1"/>
      <c r="F10659" s="1"/>
    </row>
    <row r="10660" spans="5:6">
      <c r="E10660" s="1"/>
      <c r="F10660" s="1"/>
    </row>
    <row r="10661" spans="5:6">
      <c r="E10661" s="1"/>
      <c r="F10661" s="1"/>
    </row>
    <row r="10662" spans="5:6">
      <c r="E10662" s="1"/>
      <c r="F10662" s="1"/>
    </row>
    <row r="10663" spans="5:6">
      <c r="E10663" s="1"/>
      <c r="F10663" s="1"/>
    </row>
    <row r="10664" spans="5:6">
      <c r="E10664" s="1"/>
      <c r="F10664" s="1"/>
    </row>
    <row r="10665" spans="5:6">
      <c r="E10665" s="1"/>
      <c r="F10665" s="1"/>
    </row>
    <row r="10666" spans="5:6">
      <c r="E10666" s="1"/>
      <c r="F10666" s="1"/>
    </row>
    <row r="10667" spans="5:6">
      <c r="E10667" s="1"/>
      <c r="F10667" s="1"/>
    </row>
    <row r="10668" spans="5:6">
      <c r="E10668" s="1"/>
      <c r="F10668" s="1"/>
    </row>
    <row r="10669" spans="5:6">
      <c r="E10669" s="1"/>
      <c r="F10669" s="1"/>
    </row>
    <row r="10670" spans="5:6">
      <c r="E10670" s="1"/>
      <c r="F10670" s="1"/>
    </row>
    <row r="10671" spans="5:6">
      <c r="E10671" s="1"/>
      <c r="F10671" s="1"/>
    </row>
    <row r="10672" spans="5:6">
      <c r="E10672" s="1"/>
      <c r="F10672" s="1"/>
    </row>
    <row r="10673" spans="5:6">
      <c r="E10673" s="1"/>
      <c r="F10673" s="1"/>
    </row>
    <row r="10674" spans="5:6">
      <c r="E10674" s="1"/>
      <c r="F10674" s="1"/>
    </row>
    <row r="10675" spans="5:6">
      <c r="E10675" s="1"/>
      <c r="F10675" s="1"/>
    </row>
    <row r="10676" spans="5:6">
      <c r="E10676" s="1"/>
      <c r="F10676" s="1"/>
    </row>
    <row r="10677" spans="5:6">
      <c r="E10677" s="1"/>
      <c r="F10677" s="1"/>
    </row>
    <row r="10678" spans="5:6">
      <c r="E10678" s="1"/>
      <c r="F10678" s="1"/>
    </row>
    <row r="10679" spans="5:6">
      <c r="E10679" s="1"/>
      <c r="F10679" s="1"/>
    </row>
    <row r="10680" spans="5:6">
      <c r="E10680" s="1"/>
      <c r="F10680" s="1"/>
    </row>
    <row r="10681" spans="5:6">
      <c r="E10681" s="1"/>
      <c r="F10681" s="1"/>
    </row>
    <row r="10682" spans="5:6">
      <c r="E10682" s="1"/>
      <c r="F10682" s="1"/>
    </row>
    <row r="10683" spans="5:6">
      <c r="E10683" s="1"/>
      <c r="F10683" s="1"/>
    </row>
    <row r="10684" spans="5:6">
      <c r="E10684" s="1"/>
      <c r="F10684" s="1"/>
    </row>
    <row r="10685" spans="5:6">
      <c r="E10685" s="1"/>
      <c r="F10685" s="1"/>
    </row>
    <row r="10686" spans="5:6">
      <c r="E10686" s="1"/>
      <c r="F10686" s="1"/>
    </row>
    <row r="10687" spans="5:6">
      <c r="E10687" s="1"/>
      <c r="F10687" s="1"/>
    </row>
    <row r="10688" spans="5:6">
      <c r="E10688" s="1"/>
      <c r="F10688" s="1"/>
    </row>
    <row r="10689" spans="5:6">
      <c r="E10689" s="1"/>
      <c r="F10689" s="1"/>
    </row>
    <row r="10690" spans="5:6">
      <c r="E10690" s="1"/>
      <c r="F10690" s="1"/>
    </row>
    <row r="10691" spans="5:6">
      <c r="E10691" s="1"/>
      <c r="F10691" s="1"/>
    </row>
    <row r="10692" spans="5:6">
      <c r="E10692" s="1"/>
      <c r="F10692" s="1"/>
    </row>
    <row r="10693" spans="5:6">
      <c r="E10693" s="1"/>
      <c r="F10693" s="1"/>
    </row>
    <row r="10694" spans="5:6">
      <c r="E10694" s="1"/>
      <c r="F10694" s="1"/>
    </row>
    <row r="10695" spans="5:6">
      <c r="E10695" s="1"/>
      <c r="F10695" s="1"/>
    </row>
    <row r="10696" spans="5:6">
      <c r="E10696" s="1"/>
      <c r="F10696" s="1"/>
    </row>
    <row r="10697" spans="5:6">
      <c r="E10697" s="1"/>
      <c r="F10697" s="1"/>
    </row>
    <row r="10698" spans="5:6">
      <c r="E10698" s="1"/>
      <c r="F10698" s="1"/>
    </row>
    <row r="10699" spans="5:6">
      <c r="E10699" s="1"/>
      <c r="F10699" s="1"/>
    </row>
    <row r="10700" spans="5:6">
      <c r="E10700" s="1"/>
      <c r="F10700" s="1"/>
    </row>
    <row r="10701" spans="5:6">
      <c r="E10701" s="1"/>
      <c r="F10701" s="1"/>
    </row>
    <row r="10702" spans="5:6">
      <c r="E10702" s="1"/>
      <c r="F10702" s="1"/>
    </row>
    <row r="10703" spans="5:6">
      <c r="E10703" s="1"/>
      <c r="F10703" s="1"/>
    </row>
    <row r="10704" spans="5:6">
      <c r="E10704" s="1"/>
      <c r="F10704" s="1"/>
    </row>
    <row r="10705" spans="5:6">
      <c r="E10705" s="1"/>
      <c r="F10705" s="1"/>
    </row>
    <row r="10706" spans="5:6">
      <c r="E10706" s="1"/>
      <c r="F10706" s="1"/>
    </row>
    <row r="10707" spans="5:6">
      <c r="E10707" s="1"/>
      <c r="F10707" s="1"/>
    </row>
    <row r="10708" spans="5:6">
      <c r="E10708" s="1"/>
      <c r="F10708" s="1"/>
    </row>
    <row r="10709" spans="5:6">
      <c r="E10709" s="1"/>
      <c r="F10709" s="1"/>
    </row>
    <row r="10710" spans="5:6">
      <c r="E10710" s="1"/>
      <c r="F10710" s="1"/>
    </row>
    <row r="10711" spans="5:6">
      <c r="E10711" s="1"/>
      <c r="F10711" s="1"/>
    </row>
    <row r="10712" spans="5:6">
      <c r="E10712" s="1"/>
      <c r="F10712" s="1"/>
    </row>
    <row r="10713" spans="5:6">
      <c r="E10713" s="1"/>
      <c r="F10713" s="1"/>
    </row>
    <row r="10714" spans="5:6">
      <c r="E10714" s="1"/>
      <c r="F10714" s="1"/>
    </row>
    <row r="10715" spans="5:6">
      <c r="E10715" s="1"/>
      <c r="F10715" s="1"/>
    </row>
    <row r="10716" spans="5:6">
      <c r="E10716" s="1"/>
      <c r="F10716" s="1"/>
    </row>
    <row r="10717" spans="5:6">
      <c r="E10717" s="1"/>
      <c r="F10717" s="1"/>
    </row>
    <row r="10718" spans="5:6">
      <c r="E10718" s="1"/>
      <c r="F10718" s="1"/>
    </row>
    <row r="10719" spans="5:6">
      <c r="E10719" s="1"/>
      <c r="F10719" s="1"/>
    </row>
    <row r="10720" spans="5:6">
      <c r="E10720" s="1"/>
      <c r="F10720" s="1"/>
    </row>
    <row r="10721" spans="5:6">
      <c r="E10721" s="1"/>
      <c r="F10721" s="1"/>
    </row>
    <row r="10722" spans="5:6">
      <c r="E10722" s="1"/>
      <c r="F10722" s="1"/>
    </row>
    <row r="10723" spans="5:6">
      <c r="E10723" s="1"/>
      <c r="F10723" s="1"/>
    </row>
    <row r="10724" spans="5:6">
      <c r="E10724" s="1"/>
      <c r="F10724" s="1"/>
    </row>
    <row r="10725" spans="5:6">
      <c r="E10725" s="1"/>
      <c r="F10725" s="1"/>
    </row>
    <row r="10726" spans="5:6">
      <c r="E10726" s="1"/>
      <c r="F10726" s="1"/>
    </row>
    <row r="10727" spans="5:6">
      <c r="E10727" s="1"/>
      <c r="F10727" s="1"/>
    </row>
    <row r="10728" spans="5:6">
      <c r="E10728" s="1"/>
      <c r="F10728" s="1"/>
    </row>
    <row r="10729" spans="5:6">
      <c r="E10729" s="1"/>
      <c r="F10729" s="1"/>
    </row>
    <row r="10730" spans="5:6">
      <c r="E10730" s="1"/>
      <c r="F10730" s="1"/>
    </row>
    <row r="10731" spans="5:6">
      <c r="E10731" s="1"/>
      <c r="F10731" s="1"/>
    </row>
    <row r="10732" spans="5:6">
      <c r="E10732" s="1"/>
      <c r="F10732" s="1"/>
    </row>
    <row r="10733" spans="5:6">
      <c r="E10733" s="1"/>
      <c r="F10733" s="1"/>
    </row>
    <row r="10734" spans="5:6">
      <c r="E10734" s="1"/>
      <c r="F10734" s="1"/>
    </row>
    <row r="10735" spans="5:6">
      <c r="E10735" s="1"/>
      <c r="F10735" s="1"/>
    </row>
    <row r="10736" spans="5:6">
      <c r="E10736" s="1"/>
      <c r="F10736" s="1"/>
    </row>
    <row r="10737" spans="5:6">
      <c r="E10737" s="1"/>
      <c r="F10737" s="1"/>
    </row>
    <row r="10738" spans="5:6">
      <c r="E10738" s="1"/>
      <c r="F10738" s="1"/>
    </row>
    <row r="10739" spans="5:6">
      <c r="E10739" s="1"/>
      <c r="F10739" s="1"/>
    </row>
    <row r="10740" spans="5:6">
      <c r="E10740" s="1"/>
      <c r="F10740" s="1"/>
    </row>
    <row r="10741" spans="5:6">
      <c r="E10741" s="1"/>
      <c r="F10741" s="1"/>
    </row>
    <row r="10742" spans="5:6">
      <c r="E10742" s="1"/>
      <c r="F10742" s="1"/>
    </row>
    <row r="10743" spans="5:6">
      <c r="E10743" s="1"/>
      <c r="F10743" s="1"/>
    </row>
    <row r="10744" spans="5:6">
      <c r="E10744" s="1"/>
      <c r="F10744" s="1"/>
    </row>
    <row r="10745" spans="5:6">
      <c r="E10745" s="1"/>
      <c r="F10745" s="1"/>
    </row>
    <row r="10746" spans="5:6">
      <c r="E10746" s="1"/>
      <c r="F10746" s="1"/>
    </row>
    <row r="10747" spans="5:6">
      <c r="E10747" s="1"/>
      <c r="F10747" s="1"/>
    </row>
    <row r="10748" spans="5:6">
      <c r="E10748" s="1"/>
      <c r="F10748" s="1"/>
    </row>
    <row r="10749" spans="5:6">
      <c r="E10749" s="1"/>
      <c r="F10749" s="1"/>
    </row>
    <row r="10750" spans="5:6">
      <c r="E10750" s="1"/>
      <c r="F10750" s="1"/>
    </row>
    <row r="10751" spans="5:6">
      <c r="E10751" s="1"/>
      <c r="F10751" s="1"/>
    </row>
    <row r="10752" spans="5:6">
      <c r="E10752" s="1"/>
      <c r="F10752" s="1"/>
    </row>
    <row r="10753" spans="5:6">
      <c r="E10753" s="1"/>
      <c r="F10753" s="1"/>
    </row>
    <row r="10754" spans="5:6">
      <c r="E10754" s="1"/>
      <c r="F10754" s="1"/>
    </row>
    <row r="10755" spans="5:6">
      <c r="E10755" s="1"/>
      <c r="F10755" s="1"/>
    </row>
    <row r="10756" spans="5:6">
      <c r="E10756" s="1"/>
      <c r="F10756" s="1"/>
    </row>
    <row r="10757" spans="5:6">
      <c r="E10757" s="1"/>
      <c r="F10757" s="1"/>
    </row>
    <row r="10758" spans="5:6">
      <c r="E10758" s="1"/>
      <c r="F10758" s="1"/>
    </row>
    <row r="10759" spans="5:6">
      <c r="E10759" s="1"/>
      <c r="F10759" s="1"/>
    </row>
    <row r="10760" spans="5:6">
      <c r="E10760" s="1"/>
      <c r="F10760" s="1"/>
    </row>
    <row r="10761" spans="5:6">
      <c r="E10761" s="1"/>
      <c r="F10761" s="1"/>
    </row>
    <row r="10762" spans="5:6">
      <c r="E10762" s="1"/>
      <c r="F10762" s="1"/>
    </row>
    <row r="10763" spans="5:6">
      <c r="E10763" s="1"/>
      <c r="F10763" s="1"/>
    </row>
    <row r="10764" spans="5:6">
      <c r="E10764" s="1"/>
      <c r="F10764" s="1"/>
    </row>
    <row r="10765" spans="5:6">
      <c r="E10765" s="1"/>
      <c r="F10765" s="1"/>
    </row>
    <row r="10766" spans="5:6">
      <c r="E10766" s="1"/>
      <c r="F10766" s="1"/>
    </row>
    <row r="10767" spans="5:6">
      <c r="E10767" s="1"/>
      <c r="F10767" s="1"/>
    </row>
    <row r="10768" spans="5:6">
      <c r="E10768" s="1"/>
      <c r="F10768" s="1"/>
    </row>
    <row r="10769" spans="5:6">
      <c r="E10769" s="1"/>
      <c r="F10769" s="1"/>
    </row>
    <row r="10770" spans="5:6">
      <c r="E10770" s="1"/>
      <c r="F10770" s="1"/>
    </row>
    <row r="10771" spans="5:6">
      <c r="E10771" s="1"/>
      <c r="F10771" s="1"/>
    </row>
    <row r="10772" spans="5:6">
      <c r="E10772" s="1"/>
      <c r="F10772" s="1"/>
    </row>
    <row r="10773" spans="5:6">
      <c r="E10773" s="1"/>
      <c r="F10773" s="1"/>
    </row>
    <row r="10774" spans="5:6">
      <c r="E10774" s="1"/>
      <c r="F10774" s="1"/>
    </row>
    <row r="10775" spans="5:6">
      <c r="E10775" s="1"/>
      <c r="F10775" s="1"/>
    </row>
    <row r="10776" spans="5:6">
      <c r="E10776" s="1"/>
      <c r="F10776" s="1"/>
    </row>
    <row r="10777" spans="5:6">
      <c r="E10777" s="1"/>
      <c r="F10777" s="1"/>
    </row>
    <row r="10778" spans="5:6">
      <c r="E10778" s="1"/>
      <c r="F10778" s="1"/>
    </row>
    <row r="10779" spans="5:6">
      <c r="E10779" s="1"/>
      <c r="F10779" s="1"/>
    </row>
    <row r="10780" spans="5:6">
      <c r="E10780" s="1"/>
      <c r="F10780" s="1"/>
    </row>
    <row r="10781" spans="5:6">
      <c r="E10781" s="1"/>
      <c r="F10781" s="1"/>
    </row>
    <row r="10782" spans="5:6">
      <c r="E10782" s="1"/>
      <c r="F10782" s="1"/>
    </row>
    <row r="10783" spans="5:6">
      <c r="E10783" s="1"/>
      <c r="F10783" s="1"/>
    </row>
    <row r="10784" spans="5:6">
      <c r="E10784" s="1"/>
      <c r="F10784" s="1"/>
    </row>
    <row r="10785" spans="5:6">
      <c r="E10785" s="1"/>
      <c r="F10785" s="1"/>
    </row>
    <row r="10786" spans="5:6">
      <c r="E10786" s="1"/>
      <c r="F10786" s="1"/>
    </row>
    <row r="10787" spans="5:6">
      <c r="E10787" s="1"/>
      <c r="F10787" s="1"/>
    </row>
    <row r="10788" spans="5:6">
      <c r="E10788" s="1"/>
      <c r="F10788" s="1"/>
    </row>
    <row r="10789" spans="5:6">
      <c r="E10789" s="1"/>
      <c r="F10789" s="1"/>
    </row>
    <row r="10790" spans="5:6">
      <c r="E10790" s="1"/>
      <c r="F10790" s="1"/>
    </row>
    <row r="10791" spans="5:6">
      <c r="E10791" s="1"/>
      <c r="F10791" s="1"/>
    </row>
    <row r="10792" spans="5:6">
      <c r="E10792" s="1"/>
      <c r="F10792" s="1"/>
    </row>
    <row r="10793" spans="5:6">
      <c r="E10793" s="1"/>
      <c r="F10793" s="1"/>
    </row>
    <row r="10794" spans="5:6">
      <c r="E10794" s="1"/>
      <c r="F10794" s="1"/>
    </row>
    <row r="10795" spans="5:6">
      <c r="E10795" s="1"/>
      <c r="F10795" s="1"/>
    </row>
    <row r="10796" spans="5:6">
      <c r="E10796" s="1"/>
      <c r="F10796" s="1"/>
    </row>
    <row r="10797" spans="5:6">
      <c r="E10797" s="1"/>
      <c r="F10797" s="1"/>
    </row>
    <row r="10798" spans="5:6">
      <c r="E10798" s="1"/>
      <c r="F10798" s="1"/>
    </row>
    <row r="10799" spans="5:6">
      <c r="E10799" s="1"/>
      <c r="F10799" s="1"/>
    </row>
    <row r="10800" spans="5:6">
      <c r="E10800" s="1"/>
      <c r="F10800" s="1"/>
    </row>
    <row r="10801" spans="5:6">
      <c r="E10801" s="1"/>
      <c r="F10801" s="1"/>
    </row>
    <row r="10802" spans="5:6">
      <c r="E10802" s="1"/>
      <c r="F10802" s="1"/>
    </row>
    <row r="10803" spans="5:6">
      <c r="E10803" s="1"/>
      <c r="F10803" s="1"/>
    </row>
    <row r="10804" spans="5:6">
      <c r="E10804" s="1"/>
      <c r="F10804" s="1"/>
    </row>
    <row r="10805" spans="5:6">
      <c r="E10805" s="1"/>
      <c r="F10805" s="1"/>
    </row>
    <row r="10806" spans="5:6">
      <c r="E10806" s="1"/>
      <c r="F10806" s="1"/>
    </row>
    <row r="10807" spans="5:6">
      <c r="E10807" s="1"/>
      <c r="F10807" s="1"/>
    </row>
    <row r="10808" spans="5:6">
      <c r="E10808" s="1"/>
      <c r="F10808" s="1"/>
    </row>
    <row r="10809" spans="5:6">
      <c r="E10809" s="1"/>
      <c r="F10809" s="1"/>
    </row>
    <row r="10810" spans="5:6">
      <c r="E10810" s="1"/>
      <c r="F10810" s="1"/>
    </row>
    <row r="10811" spans="5:6">
      <c r="E10811" s="1"/>
      <c r="F10811" s="1"/>
    </row>
    <row r="10812" spans="5:6">
      <c r="E10812" s="1"/>
      <c r="F10812" s="1"/>
    </row>
    <row r="10813" spans="5:6">
      <c r="E10813" s="1"/>
      <c r="F10813" s="1"/>
    </row>
    <row r="10814" spans="5:6">
      <c r="E10814" s="1"/>
      <c r="F10814" s="1"/>
    </row>
    <row r="10815" spans="5:6">
      <c r="E10815" s="1"/>
      <c r="F10815" s="1"/>
    </row>
    <row r="10816" spans="5:6">
      <c r="E10816" s="1"/>
      <c r="F10816" s="1"/>
    </row>
    <row r="10817" spans="5:6">
      <c r="E10817" s="1"/>
      <c r="F10817" s="1"/>
    </row>
    <row r="10818" spans="5:6">
      <c r="E10818" s="1"/>
      <c r="F10818" s="1"/>
    </row>
    <row r="10819" spans="5:6">
      <c r="E10819" s="1"/>
      <c r="F10819" s="1"/>
    </row>
    <row r="10820" spans="5:6">
      <c r="E10820" s="1"/>
      <c r="F10820" s="1"/>
    </row>
    <row r="10821" spans="5:6">
      <c r="E10821" s="1"/>
      <c r="F10821" s="1"/>
    </row>
    <row r="10822" spans="5:6">
      <c r="E10822" s="1"/>
      <c r="F10822" s="1"/>
    </row>
    <row r="10823" spans="5:6">
      <c r="E10823" s="1"/>
      <c r="F10823" s="1"/>
    </row>
    <row r="10824" spans="5:6">
      <c r="E10824" s="1"/>
      <c r="F10824" s="1"/>
    </row>
    <row r="10825" spans="5:6">
      <c r="E10825" s="1"/>
      <c r="F10825" s="1"/>
    </row>
    <row r="10826" spans="5:6">
      <c r="E10826" s="1"/>
      <c r="F10826" s="1"/>
    </row>
    <row r="10827" spans="5:6">
      <c r="E10827" s="1"/>
      <c r="F10827" s="1"/>
    </row>
    <row r="10828" spans="5:6">
      <c r="E10828" s="1"/>
      <c r="F10828" s="1"/>
    </row>
    <row r="10829" spans="5:6">
      <c r="E10829" s="1"/>
      <c r="F10829" s="1"/>
    </row>
    <row r="10830" spans="5:6">
      <c r="E10830" s="1"/>
      <c r="F10830" s="1"/>
    </row>
    <row r="10831" spans="5:6">
      <c r="E10831" s="1"/>
      <c r="F10831" s="1"/>
    </row>
    <row r="10832" spans="5:6">
      <c r="E10832" s="1"/>
      <c r="F10832" s="1"/>
    </row>
    <row r="10833" spans="5:6">
      <c r="E10833" s="1"/>
      <c r="F10833" s="1"/>
    </row>
    <row r="10834" spans="5:6">
      <c r="E10834" s="1"/>
      <c r="F10834" s="1"/>
    </row>
    <row r="10835" spans="5:6">
      <c r="E10835" s="1"/>
      <c r="F10835" s="1"/>
    </row>
    <row r="10836" spans="5:6">
      <c r="E10836" s="1"/>
      <c r="F10836" s="1"/>
    </row>
    <row r="10837" spans="5:6">
      <c r="E10837" s="1"/>
      <c r="F10837" s="1"/>
    </row>
    <row r="10838" spans="5:6">
      <c r="E10838" s="1"/>
      <c r="F10838" s="1"/>
    </row>
    <row r="10839" spans="5:6">
      <c r="E10839" s="1"/>
      <c r="F10839" s="1"/>
    </row>
    <row r="10840" spans="5:6">
      <c r="E10840" s="1"/>
      <c r="F10840" s="1"/>
    </row>
    <row r="10841" spans="5:6">
      <c r="E10841" s="1"/>
      <c r="F10841" s="1"/>
    </row>
    <row r="10842" spans="5:6">
      <c r="E10842" s="1"/>
      <c r="F10842" s="1"/>
    </row>
    <row r="10843" spans="5:6">
      <c r="E10843" s="1"/>
      <c r="F10843" s="1"/>
    </row>
    <row r="10844" spans="5:6">
      <c r="E10844" s="1"/>
      <c r="F10844" s="1"/>
    </row>
    <row r="10845" spans="5:6">
      <c r="E10845" s="1"/>
      <c r="F10845" s="1"/>
    </row>
    <row r="10846" spans="5:6">
      <c r="E10846" s="1"/>
      <c r="F10846" s="1"/>
    </row>
    <row r="10847" spans="5:6">
      <c r="E10847" s="1"/>
      <c r="F10847" s="1"/>
    </row>
    <row r="10848" spans="5:6">
      <c r="E10848" s="1"/>
      <c r="F10848" s="1"/>
    </row>
    <row r="10849" spans="5:6">
      <c r="E10849" s="1"/>
      <c r="F10849" s="1"/>
    </row>
    <row r="10850" spans="5:6">
      <c r="E10850" s="1"/>
      <c r="F10850" s="1"/>
    </row>
    <row r="10851" spans="5:6">
      <c r="E10851" s="1"/>
      <c r="F10851" s="1"/>
    </row>
    <row r="10852" spans="5:6">
      <c r="E10852" s="1"/>
      <c r="F10852" s="1"/>
    </row>
    <row r="10853" spans="5:6">
      <c r="E10853" s="1"/>
      <c r="F10853" s="1"/>
    </row>
    <row r="10854" spans="5:6">
      <c r="E10854" s="1"/>
      <c r="F10854" s="1"/>
    </row>
    <row r="10855" spans="5:6">
      <c r="E10855" s="1"/>
      <c r="F10855" s="1"/>
    </row>
    <row r="10856" spans="5:6">
      <c r="E10856" s="1"/>
      <c r="F10856" s="1"/>
    </row>
    <row r="10857" spans="5:6">
      <c r="E10857" s="1"/>
      <c r="F10857" s="1"/>
    </row>
    <row r="10858" spans="5:6">
      <c r="E10858" s="1"/>
      <c r="F10858" s="1"/>
    </row>
    <row r="10859" spans="5:6">
      <c r="E10859" s="1"/>
      <c r="F10859" s="1"/>
    </row>
    <row r="10860" spans="5:6">
      <c r="E10860" s="1"/>
      <c r="F10860" s="1"/>
    </row>
    <row r="10861" spans="5:6">
      <c r="E10861" s="1"/>
      <c r="F10861" s="1"/>
    </row>
    <row r="10862" spans="5:6">
      <c r="E10862" s="1"/>
      <c r="F10862" s="1"/>
    </row>
    <row r="10863" spans="5:6">
      <c r="E10863" s="1"/>
      <c r="F10863" s="1"/>
    </row>
    <row r="10864" spans="5:6">
      <c r="E10864" s="1"/>
      <c r="F10864" s="1"/>
    </row>
    <row r="10865" spans="5:6">
      <c r="E10865" s="1"/>
      <c r="F10865" s="1"/>
    </row>
    <row r="10866" spans="5:6">
      <c r="E10866" s="1"/>
      <c r="F10866" s="1"/>
    </row>
    <row r="10867" spans="5:6">
      <c r="E10867" s="1"/>
      <c r="F10867" s="1"/>
    </row>
    <row r="10868" spans="5:6">
      <c r="E10868" s="1"/>
      <c r="F10868" s="1"/>
    </row>
    <row r="10869" spans="5:6">
      <c r="E10869" s="1"/>
      <c r="F10869" s="1"/>
    </row>
    <row r="10870" spans="5:6">
      <c r="E10870" s="1"/>
      <c r="F10870" s="1"/>
    </row>
    <row r="10871" spans="5:6">
      <c r="E10871" s="1"/>
      <c r="F10871" s="1"/>
    </row>
    <row r="10872" spans="5:6">
      <c r="E10872" s="1"/>
      <c r="F10872" s="1"/>
    </row>
    <row r="10873" spans="5:6">
      <c r="E10873" s="1"/>
      <c r="F10873" s="1"/>
    </row>
    <row r="10874" spans="5:6">
      <c r="E10874" s="1"/>
      <c r="F10874" s="1"/>
    </row>
    <row r="10875" spans="5:6">
      <c r="E10875" s="1"/>
      <c r="F10875" s="1"/>
    </row>
    <row r="10876" spans="5:6">
      <c r="E10876" s="1"/>
      <c r="F10876" s="1"/>
    </row>
    <row r="10877" spans="5:6">
      <c r="E10877" s="1"/>
      <c r="F10877" s="1"/>
    </row>
    <row r="10878" spans="5:6">
      <c r="E10878" s="1"/>
      <c r="F10878" s="1"/>
    </row>
    <row r="10879" spans="5:6">
      <c r="E10879" s="1"/>
      <c r="F10879" s="1"/>
    </row>
    <row r="10880" spans="5:6">
      <c r="E10880" s="1"/>
      <c r="F10880" s="1"/>
    </row>
    <row r="10881" spans="5:6">
      <c r="E10881" s="1"/>
      <c r="F10881" s="1"/>
    </row>
    <row r="10882" spans="5:6">
      <c r="E10882" s="1"/>
      <c r="F10882" s="1"/>
    </row>
    <row r="10883" spans="5:6">
      <c r="E10883" s="1"/>
      <c r="F10883" s="1"/>
    </row>
    <row r="10884" spans="5:6">
      <c r="E10884" s="1"/>
      <c r="F10884" s="1"/>
    </row>
    <row r="10885" spans="5:6">
      <c r="E10885" s="1"/>
      <c r="F10885" s="1"/>
    </row>
    <row r="10886" spans="5:6">
      <c r="E10886" s="1"/>
      <c r="F10886" s="1"/>
    </row>
    <row r="10887" spans="5:6">
      <c r="E10887" s="1"/>
      <c r="F10887" s="1"/>
    </row>
    <row r="10888" spans="5:6">
      <c r="E10888" s="1"/>
      <c r="F10888" s="1"/>
    </row>
    <row r="10889" spans="5:6">
      <c r="E10889" s="1"/>
      <c r="F10889" s="1"/>
    </row>
    <row r="10890" spans="5:6">
      <c r="E10890" s="1"/>
      <c r="F10890" s="1"/>
    </row>
    <row r="10891" spans="5:6">
      <c r="E10891" s="1"/>
      <c r="F10891" s="1"/>
    </row>
    <row r="10892" spans="5:6">
      <c r="E10892" s="1"/>
      <c r="F10892" s="1"/>
    </row>
    <row r="10893" spans="5:6">
      <c r="E10893" s="1"/>
      <c r="F10893" s="1"/>
    </row>
    <row r="10894" spans="5:6">
      <c r="E10894" s="1"/>
      <c r="F10894" s="1"/>
    </row>
    <row r="10895" spans="5:6">
      <c r="E10895" s="1"/>
      <c r="F10895" s="1"/>
    </row>
    <row r="10896" spans="5:6">
      <c r="E10896" s="1"/>
      <c r="F10896" s="1"/>
    </row>
    <row r="10897" spans="5:6">
      <c r="E10897" s="1"/>
      <c r="F10897" s="1"/>
    </row>
    <row r="10898" spans="5:6">
      <c r="E10898" s="1"/>
      <c r="F10898" s="1"/>
    </row>
    <row r="10899" spans="5:6">
      <c r="E10899" s="1"/>
      <c r="F10899" s="1"/>
    </row>
    <row r="10900" spans="5:6">
      <c r="E10900" s="1"/>
      <c r="F10900" s="1"/>
    </row>
    <row r="10901" spans="5:6">
      <c r="E10901" s="1"/>
      <c r="F10901" s="1"/>
    </row>
    <row r="10902" spans="5:6">
      <c r="E10902" s="1"/>
      <c r="F10902" s="1"/>
    </row>
    <row r="10903" spans="5:6">
      <c r="E10903" s="1"/>
      <c r="F10903" s="1"/>
    </row>
    <row r="10904" spans="5:6">
      <c r="E10904" s="1"/>
      <c r="F10904" s="1"/>
    </row>
    <row r="10905" spans="5:6">
      <c r="E10905" s="1"/>
      <c r="F10905" s="1"/>
    </row>
    <row r="10906" spans="5:6">
      <c r="E10906" s="1"/>
      <c r="F10906" s="1"/>
    </row>
    <row r="10907" spans="5:6">
      <c r="E10907" s="1"/>
      <c r="F10907" s="1"/>
    </row>
    <row r="10908" spans="5:6">
      <c r="E10908" s="1"/>
      <c r="F10908" s="1"/>
    </row>
    <row r="10909" spans="5:6">
      <c r="E10909" s="1"/>
      <c r="F10909" s="1"/>
    </row>
    <row r="10910" spans="5:6">
      <c r="E10910" s="1"/>
      <c r="F10910" s="1"/>
    </row>
    <row r="10911" spans="5:6">
      <c r="E10911" s="1"/>
      <c r="F10911" s="1"/>
    </row>
    <row r="10912" spans="5:6">
      <c r="E10912" s="1"/>
      <c r="F10912" s="1"/>
    </row>
    <row r="10913" spans="5:6">
      <c r="E10913" s="1"/>
      <c r="F10913" s="1"/>
    </row>
    <row r="10914" spans="5:6">
      <c r="E10914" s="1"/>
      <c r="F10914" s="1"/>
    </row>
    <row r="10915" spans="5:6">
      <c r="E10915" s="1"/>
      <c r="F10915" s="1"/>
    </row>
    <row r="10916" spans="5:6">
      <c r="E10916" s="1"/>
      <c r="F10916" s="1"/>
    </row>
    <row r="10917" spans="5:6">
      <c r="E10917" s="1"/>
      <c r="F10917" s="1"/>
    </row>
    <row r="10918" spans="5:6">
      <c r="E10918" s="1"/>
      <c r="F10918" s="1"/>
    </row>
    <row r="10919" spans="5:6">
      <c r="E10919" s="1"/>
      <c r="F10919" s="1"/>
    </row>
    <row r="10920" spans="5:6">
      <c r="E10920" s="1"/>
      <c r="F10920" s="1"/>
    </row>
    <row r="10921" spans="5:6">
      <c r="E10921" s="1"/>
      <c r="F10921" s="1"/>
    </row>
    <row r="10922" spans="5:6">
      <c r="E10922" s="1"/>
      <c r="F10922" s="1"/>
    </row>
    <row r="10923" spans="5:6">
      <c r="E10923" s="1"/>
      <c r="F10923" s="1"/>
    </row>
    <row r="10924" spans="5:6">
      <c r="E10924" s="1"/>
      <c r="F10924" s="1"/>
    </row>
    <row r="10925" spans="5:6">
      <c r="E10925" s="1"/>
      <c r="F10925" s="1"/>
    </row>
    <row r="10926" spans="5:6">
      <c r="E10926" s="1"/>
      <c r="F10926" s="1"/>
    </row>
    <row r="10927" spans="5:6">
      <c r="E10927" s="1"/>
      <c r="F10927" s="1"/>
    </row>
    <row r="10928" spans="5:6">
      <c r="E10928" s="1"/>
      <c r="F10928" s="1"/>
    </row>
    <row r="10929" spans="5:6">
      <c r="E10929" s="1"/>
      <c r="F10929" s="1"/>
    </row>
    <row r="10930" spans="5:6">
      <c r="E10930" s="1"/>
      <c r="F10930" s="1"/>
    </row>
    <row r="10931" spans="5:6">
      <c r="E10931" s="1"/>
      <c r="F10931" s="1"/>
    </row>
    <row r="10932" spans="5:6">
      <c r="E10932" s="1"/>
      <c r="F10932" s="1"/>
    </row>
    <row r="10933" spans="5:6">
      <c r="E10933" s="1"/>
      <c r="F10933" s="1"/>
    </row>
    <row r="10934" spans="5:6">
      <c r="E10934" s="1"/>
      <c r="F10934" s="1"/>
    </row>
    <row r="10935" spans="5:6">
      <c r="E10935" s="1"/>
      <c r="F10935" s="1"/>
    </row>
    <row r="10936" spans="5:6">
      <c r="E10936" s="1"/>
      <c r="F10936" s="1"/>
    </row>
    <row r="10937" spans="5:6">
      <c r="E10937" s="1"/>
      <c r="F10937" s="1"/>
    </row>
    <row r="10938" spans="5:6">
      <c r="E10938" s="1"/>
      <c r="F10938" s="1"/>
    </row>
    <row r="10939" spans="5:6">
      <c r="E10939" s="1"/>
      <c r="F10939" s="1"/>
    </row>
    <row r="10940" spans="5:6">
      <c r="E10940" s="1"/>
      <c r="F10940" s="1"/>
    </row>
    <row r="10941" spans="5:6">
      <c r="E10941" s="1"/>
      <c r="F10941" s="1"/>
    </row>
    <row r="10942" spans="5:6">
      <c r="E10942" s="1"/>
      <c r="F10942" s="1"/>
    </row>
    <row r="10943" spans="5:6">
      <c r="E10943" s="1"/>
      <c r="F10943" s="1"/>
    </row>
    <row r="10944" spans="5:6">
      <c r="E10944" s="1"/>
      <c r="F10944" s="1"/>
    </row>
    <row r="10945" spans="5:6">
      <c r="E10945" s="1"/>
      <c r="F10945" s="1"/>
    </row>
    <row r="10946" spans="5:6">
      <c r="E10946" s="1"/>
      <c r="F10946" s="1"/>
    </row>
    <row r="10947" spans="5:6">
      <c r="E10947" s="1"/>
      <c r="F10947" s="1"/>
    </row>
    <row r="10948" spans="5:6">
      <c r="E10948" s="1"/>
      <c r="F10948" s="1"/>
    </row>
    <row r="10949" spans="5:6">
      <c r="E10949" s="1"/>
      <c r="F10949" s="1"/>
    </row>
    <row r="10950" spans="5:6">
      <c r="E10950" s="1"/>
      <c r="F10950" s="1"/>
    </row>
    <row r="10951" spans="5:6">
      <c r="E10951" s="1"/>
      <c r="F10951" s="1"/>
    </row>
    <row r="10952" spans="5:6">
      <c r="E10952" s="1"/>
      <c r="F10952" s="1"/>
    </row>
    <row r="10953" spans="5:6">
      <c r="E10953" s="1"/>
      <c r="F10953" s="1"/>
    </row>
    <row r="10954" spans="5:6">
      <c r="E10954" s="1"/>
      <c r="F10954" s="1"/>
    </row>
    <row r="10955" spans="5:6">
      <c r="E10955" s="1"/>
      <c r="F10955" s="1"/>
    </row>
    <row r="10956" spans="5:6">
      <c r="E10956" s="1"/>
      <c r="F10956" s="1"/>
    </row>
    <row r="10957" spans="5:6">
      <c r="E10957" s="1"/>
      <c r="F10957" s="1"/>
    </row>
    <row r="10958" spans="5:6">
      <c r="E10958" s="1"/>
      <c r="F10958" s="1"/>
    </row>
    <row r="10959" spans="5:6">
      <c r="E10959" s="1"/>
      <c r="F10959" s="1"/>
    </row>
    <row r="10960" spans="5:6">
      <c r="E10960" s="1"/>
      <c r="F10960" s="1"/>
    </row>
    <row r="10961" spans="5:6">
      <c r="E10961" s="1"/>
      <c r="F10961" s="1"/>
    </row>
    <row r="10962" spans="5:6">
      <c r="E10962" s="1"/>
      <c r="F10962" s="1"/>
    </row>
    <row r="10963" spans="5:6">
      <c r="E10963" s="1"/>
      <c r="F10963" s="1"/>
    </row>
    <row r="10964" spans="5:6">
      <c r="E10964" s="1"/>
      <c r="F10964" s="1"/>
    </row>
    <row r="10965" spans="5:6">
      <c r="E10965" s="1"/>
      <c r="F10965" s="1"/>
    </row>
    <row r="10966" spans="5:6">
      <c r="E10966" s="1"/>
      <c r="F10966" s="1"/>
    </row>
    <row r="10967" spans="5:6">
      <c r="E10967" s="1"/>
      <c r="F10967" s="1"/>
    </row>
    <row r="10968" spans="5:6">
      <c r="E10968" s="1"/>
      <c r="F10968" s="1"/>
    </row>
    <row r="10969" spans="5:6">
      <c r="E10969" s="1"/>
      <c r="F10969" s="1"/>
    </row>
    <row r="10970" spans="5:6">
      <c r="E10970" s="1"/>
      <c r="F10970" s="1"/>
    </row>
    <row r="10971" spans="5:6">
      <c r="E10971" s="1"/>
      <c r="F10971" s="1"/>
    </row>
    <row r="10972" spans="5:6">
      <c r="E10972" s="1"/>
      <c r="F10972" s="1"/>
    </row>
    <row r="10973" spans="5:6">
      <c r="E10973" s="1"/>
      <c r="F10973" s="1"/>
    </row>
    <row r="10974" spans="5:6">
      <c r="E10974" s="1"/>
      <c r="F10974" s="1"/>
    </row>
    <row r="10975" spans="5:6">
      <c r="E10975" s="1"/>
      <c r="F10975" s="1"/>
    </row>
    <row r="10976" spans="5:6">
      <c r="E10976" s="1"/>
      <c r="F10976" s="1"/>
    </row>
    <row r="10977" spans="5:6">
      <c r="E10977" s="1"/>
      <c r="F10977" s="1"/>
    </row>
    <row r="10978" spans="5:6">
      <c r="E10978" s="1"/>
      <c r="F10978" s="1"/>
    </row>
    <row r="10979" spans="5:6">
      <c r="E10979" s="1"/>
      <c r="F10979" s="1"/>
    </row>
    <row r="10980" spans="5:6">
      <c r="E10980" s="1"/>
      <c r="F10980" s="1"/>
    </row>
    <row r="10981" spans="5:6">
      <c r="E10981" s="1"/>
      <c r="F10981" s="1"/>
    </row>
    <row r="10982" spans="5:6">
      <c r="E10982" s="1"/>
      <c r="F10982" s="1"/>
    </row>
    <row r="10983" spans="5:6">
      <c r="E10983" s="1"/>
      <c r="F10983" s="1"/>
    </row>
    <row r="10984" spans="5:6">
      <c r="E10984" s="1"/>
      <c r="F10984" s="1"/>
    </row>
    <row r="10985" spans="5:6">
      <c r="E10985" s="1"/>
      <c r="F10985" s="1"/>
    </row>
    <row r="10986" spans="5:6">
      <c r="E10986" s="1"/>
      <c r="F10986" s="1"/>
    </row>
    <row r="10987" spans="5:6">
      <c r="E10987" s="1"/>
      <c r="F10987" s="1"/>
    </row>
    <row r="10988" spans="5:6">
      <c r="E10988" s="1"/>
      <c r="F10988" s="1"/>
    </row>
    <row r="10989" spans="5:6">
      <c r="E10989" s="1"/>
      <c r="F10989" s="1"/>
    </row>
    <row r="10990" spans="5:6">
      <c r="E10990" s="1"/>
      <c r="F10990" s="1"/>
    </row>
    <row r="10991" spans="5:6">
      <c r="E10991" s="1"/>
      <c r="F10991" s="1"/>
    </row>
    <row r="10992" spans="5:6">
      <c r="E10992" s="1"/>
      <c r="F10992" s="1"/>
    </row>
    <row r="10993" spans="5:6">
      <c r="E10993" s="1"/>
      <c r="F10993" s="1"/>
    </row>
    <row r="10994" spans="5:6">
      <c r="E10994" s="1"/>
      <c r="F10994" s="1"/>
    </row>
    <row r="10995" spans="5:6">
      <c r="E10995" s="1"/>
      <c r="F10995" s="1"/>
    </row>
    <row r="10996" spans="5:6">
      <c r="E10996" s="1"/>
      <c r="F10996" s="1"/>
    </row>
    <row r="10997" spans="5:6">
      <c r="E10997" s="1"/>
      <c r="F10997" s="1"/>
    </row>
    <row r="10998" spans="5:6">
      <c r="E10998" s="1"/>
      <c r="F10998" s="1"/>
    </row>
    <row r="10999" spans="5:6">
      <c r="E10999" s="1"/>
      <c r="F10999" s="1"/>
    </row>
    <row r="11000" spans="5:6">
      <c r="E11000" s="1"/>
      <c r="F11000" s="1"/>
    </row>
    <row r="11001" spans="5:6">
      <c r="E11001" s="1"/>
      <c r="F11001" s="1"/>
    </row>
    <row r="11002" spans="5:6">
      <c r="E11002" s="1"/>
      <c r="F11002" s="1"/>
    </row>
    <row r="11003" spans="5:6">
      <c r="E11003" s="1"/>
      <c r="F11003" s="1"/>
    </row>
    <row r="11004" spans="5:6">
      <c r="E11004" s="1"/>
      <c r="F11004" s="1"/>
    </row>
    <row r="11005" spans="5:6">
      <c r="E11005" s="1"/>
      <c r="F11005" s="1"/>
    </row>
    <row r="11006" spans="5:6">
      <c r="E11006" s="1"/>
      <c r="F11006" s="1"/>
    </row>
    <row r="11007" spans="5:6">
      <c r="E11007" s="1"/>
      <c r="F11007" s="1"/>
    </row>
    <row r="11008" spans="5:6">
      <c r="E11008" s="1"/>
      <c r="F11008" s="1"/>
    </row>
    <row r="11009" spans="5:6">
      <c r="E11009" s="1"/>
      <c r="F11009" s="1"/>
    </row>
    <row r="11010" spans="5:6">
      <c r="E11010" s="1"/>
      <c r="F11010" s="1"/>
    </row>
    <row r="11011" spans="5:6">
      <c r="E11011" s="1"/>
      <c r="F11011" s="1"/>
    </row>
    <row r="11012" spans="5:6">
      <c r="E11012" s="1"/>
      <c r="F11012" s="1"/>
    </row>
    <row r="11013" spans="5:6">
      <c r="E11013" s="1"/>
      <c r="F11013" s="1"/>
    </row>
    <row r="11014" spans="5:6">
      <c r="E11014" s="1"/>
      <c r="F11014" s="1"/>
    </row>
    <row r="11015" spans="5:6">
      <c r="E11015" s="1"/>
      <c r="F11015" s="1"/>
    </row>
    <row r="11016" spans="5:6">
      <c r="E11016" s="1"/>
      <c r="F11016" s="1"/>
    </row>
    <row r="11017" spans="5:6">
      <c r="E11017" s="1"/>
      <c r="F11017" s="1"/>
    </row>
    <row r="11018" spans="5:6">
      <c r="E11018" s="1"/>
      <c r="F11018" s="1"/>
    </row>
    <row r="11019" spans="5:6">
      <c r="E11019" s="1"/>
      <c r="F11019" s="1"/>
    </row>
    <row r="11020" spans="5:6">
      <c r="E11020" s="1"/>
      <c r="F11020" s="1"/>
    </row>
    <row r="11021" spans="5:6">
      <c r="E11021" s="1"/>
      <c r="F11021" s="1"/>
    </row>
    <row r="11022" spans="5:6">
      <c r="E11022" s="1"/>
      <c r="F11022" s="1"/>
    </row>
    <row r="11023" spans="5:6">
      <c r="E11023" s="1"/>
      <c r="F11023" s="1"/>
    </row>
    <row r="11024" spans="5:6">
      <c r="E11024" s="1"/>
      <c r="F11024" s="1"/>
    </row>
    <row r="11025" spans="5:6">
      <c r="E11025" s="1"/>
      <c r="F11025" s="1"/>
    </row>
    <row r="11026" spans="5:6">
      <c r="E11026" s="1"/>
      <c r="F11026" s="1"/>
    </row>
    <row r="11027" spans="5:6">
      <c r="E11027" s="1"/>
      <c r="F11027" s="1"/>
    </row>
    <row r="11028" spans="5:6">
      <c r="E11028" s="1"/>
      <c r="F11028" s="1"/>
    </row>
    <row r="11029" spans="5:6">
      <c r="E11029" s="1"/>
      <c r="F11029" s="1"/>
    </row>
    <row r="11030" spans="5:6">
      <c r="E11030" s="1"/>
      <c r="F11030" s="1"/>
    </row>
    <row r="11031" spans="5:6">
      <c r="E11031" s="1"/>
      <c r="F11031" s="1"/>
    </row>
    <row r="11032" spans="5:6">
      <c r="E11032" s="1"/>
      <c r="F11032" s="1"/>
    </row>
    <row r="11033" spans="5:6">
      <c r="E11033" s="1"/>
      <c r="F11033" s="1"/>
    </row>
    <row r="11034" spans="5:6">
      <c r="E11034" s="1"/>
      <c r="F11034" s="1"/>
    </row>
    <row r="11035" spans="5:6">
      <c r="E11035" s="1"/>
      <c r="F11035" s="1"/>
    </row>
    <row r="11036" spans="5:6">
      <c r="E11036" s="1"/>
      <c r="F11036" s="1"/>
    </row>
    <row r="11037" spans="5:6">
      <c r="E11037" s="1"/>
      <c r="F11037" s="1"/>
    </row>
    <row r="11038" spans="5:6">
      <c r="E11038" s="1"/>
      <c r="F11038" s="1"/>
    </row>
    <row r="11039" spans="5:6">
      <c r="E11039" s="1"/>
      <c r="F11039" s="1"/>
    </row>
    <row r="11040" spans="5:6">
      <c r="E11040" s="1"/>
      <c r="F11040" s="1"/>
    </row>
    <row r="11041" spans="5:6">
      <c r="E11041" s="1"/>
      <c r="F11041" s="1"/>
    </row>
    <row r="11042" spans="5:6">
      <c r="E11042" s="1"/>
      <c r="F11042" s="1"/>
    </row>
    <row r="11043" spans="5:6">
      <c r="E11043" s="1"/>
      <c r="F11043" s="1"/>
    </row>
    <row r="11044" spans="5:6">
      <c r="E11044" s="1"/>
      <c r="F11044" s="1"/>
    </row>
    <row r="11045" spans="5:6">
      <c r="E11045" s="1"/>
      <c r="F11045" s="1"/>
    </row>
    <row r="11046" spans="5:6">
      <c r="E11046" s="1"/>
      <c r="F11046" s="1"/>
    </row>
    <row r="11047" spans="5:6">
      <c r="E11047" s="1"/>
      <c r="F11047" s="1"/>
    </row>
    <row r="11048" spans="5:6">
      <c r="E11048" s="1"/>
      <c r="F11048" s="1"/>
    </row>
    <row r="11049" spans="5:6">
      <c r="E11049" s="1"/>
      <c r="F11049" s="1"/>
    </row>
    <row r="11050" spans="5:6">
      <c r="E11050" s="1"/>
      <c r="F11050" s="1"/>
    </row>
    <row r="11051" spans="5:6">
      <c r="E11051" s="1"/>
      <c r="F11051" s="1"/>
    </row>
    <row r="11052" spans="5:6">
      <c r="E11052" s="1"/>
      <c r="F11052" s="1"/>
    </row>
    <row r="11053" spans="5:6">
      <c r="E11053" s="1"/>
      <c r="F11053" s="1"/>
    </row>
    <row r="11054" spans="5:6">
      <c r="E11054" s="1"/>
      <c r="F11054" s="1"/>
    </row>
    <row r="11055" spans="5:6">
      <c r="E11055" s="1"/>
      <c r="F11055" s="1"/>
    </row>
    <row r="11056" spans="5:6">
      <c r="E11056" s="1"/>
      <c r="F11056" s="1"/>
    </row>
    <row r="11057" spans="5:6">
      <c r="E11057" s="1"/>
      <c r="F11057" s="1"/>
    </row>
    <row r="11058" spans="5:6">
      <c r="E11058" s="1"/>
      <c r="F11058" s="1"/>
    </row>
    <row r="11059" spans="5:6">
      <c r="E11059" s="1"/>
      <c r="F11059" s="1"/>
    </row>
    <row r="11060" spans="5:6">
      <c r="E11060" s="1"/>
      <c r="F11060" s="1"/>
    </row>
    <row r="11061" spans="5:6">
      <c r="E11061" s="1"/>
      <c r="F11061" s="1"/>
    </row>
    <row r="11062" spans="5:6">
      <c r="E11062" s="1"/>
      <c r="F11062" s="1"/>
    </row>
    <row r="11063" spans="5:6">
      <c r="E11063" s="1"/>
      <c r="F11063" s="1"/>
    </row>
    <row r="11064" spans="5:6">
      <c r="E11064" s="1"/>
      <c r="F11064" s="1"/>
    </row>
    <row r="11065" spans="5:6">
      <c r="E11065" s="1"/>
      <c r="F11065" s="1"/>
    </row>
    <row r="11066" spans="5:6">
      <c r="E11066" s="1"/>
      <c r="F11066" s="1"/>
    </row>
    <row r="11067" spans="5:6">
      <c r="E11067" s="1"/>
      <c r="F11067" s="1"/>
    </row>
    <row r="11068" spans="5:6">
      <c r="E11068" s="1"/>
      <c r="F11068" s="1"/>
    </row>
    <row r="11069" spans="5:6">
      <c r="E11069" s="1"/>
      <c r="F11069" s="1"/>
    </row>
    <row r="11070" spans="5:6">
      <c r="E11070" s="1"/>
      <c r="F11070" s="1"/>
    </row>
    <row r="11071" spans="5:6">
      <c r="E11071" s="1"/>
      <c r="F11071" s="1"/>
    </row>
    <row r="11072" spans="5:6">
      <c r="E11072" s="1"/>
      <c r="F11072" s="1"/>
    </row>
    <row r="11073" spans="5:6">
      <c r="E11073" s="1"/>
      <c r="F11073" s="1"/>
    </row>
    <row r="11074" spans="5:6">
      <c r="E11074" s="1"/>
      <c r="F11074" s="1"/>
    </row>
    <row r="11075" spans="5:6">
      <c r="E11075" s="1"/>
      <c r="F11075" s="1"/>
    </row>
    <row r="11076" spans="5:6">
      <c r="E11076" s="1"/>
      <c r="F11076" s="1"/>
    </row>
    <row r="11077" spans="5:6">
      <c r="E11077" s="1"/>
      <c r="F11077" s="1"/>
    </row>
    <row r="11078" spans="5:6">
      <c r="E11078" s="1"/>
      <c r="F11078" s="1"/>
    </row>
    <row r="11079" spans="5:6">
      <c r="E11079" s="1"/>
      <c r="F11079" s="1"/>
    </row>
    <row r="11080" spans="5:6">
      <c r="E11080" s="1"/>
      <c r="F11080" s="1"/>
    </row>
    <row r="11081" spans="5:6">
      <c r="E11081" s="1"/>
      <c r="F11081" s="1"/>
    </row>
    <row r="11082" spans="5:6">
      <c r="E11082" s="1"/>
      <c r="F11082" s="1"/>
    </row>
    <row r="11083" spans="5:6">
      <c r="E11083" s="1"/>
      <c r="F11083" s="1"/>
    </row>
    <row r="11084" spans="5:6">
      <c r="E11084" s="1"/>
      <c r="F11084" s="1"/>
    </row>
    <row r="11085" spans="5:6">
      <c r="E11085" s="1"/>
      <c r="F11085" s="1"/>
    </row>
    <row r="11086" spans="5:6">
      <c r="E11086" s="1"/>
      <c r="F11086" s="1"/>
    </row>
    <row r="11087" spans="5:6">
      <c r="E11087" s="1"/>
      <c r="F11087" s="1"/>
    </row>
    <row r="11088" spans="5:6">
      <c r="E11088" s="1"/>
      <c r="F11088" s="1"/>
    </row>
    <row r="11089" spans="5:6">
      <c r="E11089" s="1"/>
      <c r="F11089" s="1"/>
    </row>
    <row r="11090" spans="5:6">
      <c r="E11090" s="1"/>
      <c r="F11090" s="1"/>
    </row>
    <row r="11091" spans="5:6">
      <c r="E11091" s="1"/>
      <c r="F11091" s="1"/>
    </row>
    <row r="11092" spans="5:6">
      <c r="E11092" s="1"/>
      <c r="F11092" s="1"/>
    </row>
    <row r="11093" spans="5:6">
      <c r="E11093" s="1"/>
      <c r="F11093" s="1"/>
    </row>
    <row r="11094" spans="5:6">
      <c r="E11094" s="1"/>
      <c r="F11094" s="1"/>
    </row>
    <row r="11095" spans="5:6">
      <c r="E11095" s="1"/>
      <c r="F11095" s="1"/>
    </row>
    <row r="11096" spans="5:6">
      <c r="E11096" s="1"/>
      <c r="F11096" s="1"/>
    </row>
    <row r="11097" spans="5:6">
      <c r="E11097" s="1"/>
      <c r="F11097" s="1"/>
    </row>
    <row r="11098" spans="5:6">
      <c r="E11098" s="1"/>
      <c r="F11098" s="1"/>
    </row>
    <row r="11099" spans="5:6">
      <c r="E11099" s="1"/>
      <c r="F11099" s="1"/>
    </row>
    <row r="11100" spans="5:6">
      <c r="E11100" s="1"/>
      <c r="F11100" s="1"/>
    </row>
    <row r="11101" spans="5:6">
      <c r="E11101" s="1"/>
      <c r="F11101" s="1"/>
    </row>
    <row r="11102" spans="5:6">
      <c r="E11102" s="1"/>
      <c r="F11102" s="1"/>
    </row>
    <row r="11103" spans="5:6">
      <c r="E11103" s="1"/>
      <c r="F11103" s="1"/>
    </row>
    <row r="11104" spans="5:6">
      <c r="E11104" s="1"/>
      <c r="F11104" s="1"/>
    </row>
    <row r="11105" spans="5:6">
      <c r="E11105" s="1"/>
      <c r="F11105" s="1"/>
    </row>
    <row r="11106" spans="5:6">
      <c r="E11106" s="1"/>
      <c r="F11106" s="1"/>
    </row>
    <row r="11107" spans="5:6">
      <c r="E11107" s="1"/>
      <c r="F11107" s="1"/>
    </row>
    <row r="11108" spans="5:6">
      <c r="E11108" s="1"/>
      <c r="F11108" s="1"/>
    </row>
    <row r="11109" spans="5:6">
      <c r="E11109" s="1"/>
      <c r="F11109" s="1"/>
    </row>
    <row r="11110" spans="5:6">
      <c r="E11110" s="1"/>
      <c r="F11110" s="1"/>
    </row>
    <row r="11111" spans="5:6">
      <c r="E11111" s="1"/>
      <c r="F11111" s="1"/>
    </row>
    <row r="11112" spans="5:6">
      <c r="E11112" s="1"/>
      <c r="F11112" s="1"/>
    </row>
    <row r="11113" spans="5:6">
      <c r="E11113" s="1"/>
      <c r="F11113" s="1"/>
    </row>
    <row r="11114" spans="5:6">
      <c r="E11114" s="1"/>
      <c r="F11114" s="1"/>
    </row>
    <row r="11115" spans="5:6">
      <c r="E11115" s="1"/>
      <c r="F11115" s="1"/>
    </row>
    <row r="11116" spans="5:6">
      <c r="E11116" s="1"/>
      <c r="F11116" s="1"/>
    </row>
    <row r="11117" spans="5:6">
      <c r="E11117" s="1"/>
      <c r="F11117" s="1"/>
    </row>
    <row r="11118" spans="5:6">
      <c r="E11118" s="1"/>
      <c r="F11118" s="1"/>
    </row>
    <row r="11119" spans="5:6">
      <c r="E11119" s="1"/>
      <c r="F11119" s="1"/>
    </row>
    <row r="11120" spans="5:6">
      <c r="E11120" s="1"/>
      <c r="F11120" s="1"/>
    </row>
    <row r="11121" spans="5:6">
      <c r="E11121" s="1"/>
      <c r="F11121" s="1"/>
    </row>
    <row r="11122" spans="5:6">
      <c r="E11122" s="1"/>
      <c r="F11122" s="1"/>
    </row>
    <row r="11123" spans="5:6">
      <c r="E11123" s="1"/>
      <c r="F11123" s="1"/>
    </row>
    <row r="11124" spans="5:6">
      <c r="E11124" s="1"/>
      <c r="F11124" s="1"/>
    </row>
    <row r="11125" spans="5:6">
      <c r="E11125" s="1"/>
      <c r="F11125" s="1"/>
    </row>
    <row r="11126" spans="5:6">
      <c r="E11126" s="1"/>
      <c r="F11126" s="1"/>
    </row>
    <row r="11127" spans="5:6">
      <c r="E11127" s="1"/>
      <c r="F11127" s="1"/>
    </row>
    <row r="11128" spans="5:6">
      <c r="E11128" s="1"/>
      <c r="F11128" s="1"/>
    </row>
    <row r="11129" spans="5:6">
      <c r="E11129" s="1"/>
      <c r="F11129" s="1"/>
    </row>
    <row r="11130" spans="5:6">
      <c r="E11130" s="1"/>
      <c r="F11130" s="1"/>
    </row>
    <row r="11131" spans="5:6">
      <c r="E11131" s="1"/>
      <c r="F11131" s="1"/>
    </row>
    <row r="11132" spans="5:6">
      <c r="E11132" s="1"/>
      <c r="F11132" s="1"/>
    </row>
    <row r="11133" spans="5:6">
      <c r="E11133" s="1"/>
      <c r="F11133" s="1"/>
    </row>
    <row r="11134" spans="5:6">
      <c r="E11134" s="1"/>
      <c r="F11134" s="1"/>
    </row>
    <row r="11135" spans="5:6">
      <c r="E11135" s="1"/>
      <c r="F11135" s="1"/>
    </row>
    <row r="11136" spans="5:6">
      <c r="E11136" s="1"/>
      <c r="F11136" s="1"/>
    </row>
    <row r="11137" spans="5:6">
      <c r="E11137" s="1"/>
      <c r="F11137" s="1"/>
    </row>
    <row r="11138" spans="5:6">
      <c r="E11138" s="1"/>
      <c r="F11138" s="1"/>
    </row>
    <row r="11139" spans="5:6">
      <c r="E11139" s="1"/>
      <c r="F11139" s="1"/>
    </row>
    <row r="11140" spans="5:6">
      <c r="E11140" s="1"/>
      <c r="F11140" s="1"/>
    </row>
    <row r="11141" spans="5:6">
      <c r="E11141" s="1"/>
      <c r="F11141" s="1"/>
    </row>
    <row r="11142" spans="5:6">
      <c r="E11142" s="1"/>
      <c r="F11142" s="1"/>
    </row>
    <row r="11143" spans="5:6">
      <c r="E11143" s="1"/>
      <c r="F11143" s="1"/>
    </row>
    <row r="11144" spans="5:6">
      <c r="E11144" s="1"/>
      <c r="F11144" s="1"/>
    </row>
    <row r="11145" spans="5:6">
      <c r="E11145" s="1"/>
      <c r="F11145" s="1"/>
    </row>
    <row r="11146" spans="5:6">
      <c r="E11146" s="1"/>
      <c r="F11146" s="1"/>
    </row>
    <row r="11147" spans="5:6">
      <c r="E11147" s="1"/>
      <c r="F11147" s="1"/>
    </row>
    <row r="11148" spans="5:6">
      <c r="E11148" s="1"/>
      <c r="F11148" s="1"/>
    </row>
    <row r="11149" spans="5:6">
      <c r="E11149" s="1"/>
      <c r="F11149" s="1"/>
    </row>
    <row r="11150" spans="5:6">
      <c r="E11150" s="1"/>
      <c r="F11150" s="1"/>
    </row>
    <row r="11151" spans="5:6">
      <c r="E11151" s="1"/>
      <c r="F11151" s="1"/>
    </row>
    <row r="11152" spans="5:6">
      <c r="E11152" s="1"/>
      <c r="F11152" s="1"/>
    </row>
    <row r="11153" spans="5:6">
      <c r="E11153" s="1"/>
      <c r="F11153" s="1"/>
    </row>
    <row r="11154" spans="5:6">
      <c r="E11154" s="1"/>
      <c r="F11154" s="1"/>
    </row>
    <row r="11155" spans="5:6">
      <c r="E11155" s="1"/>
      <c r="F11155" s="1"/>
    </row>
    <row r="11156" spans="5:6">
      <c r="E11156" s="1"/>
      <c r="F11156" s="1"/>
    </row>
    <row r="11157" spans="5:6">
      <c r="E11157" s="1"/>
      <c r="F11157" s="1"/>
    </row>
    <row r="11158" spans="5:6">
      <c r="E11158" s="1"/>
      <c r="F11158" s="1"/>
    </row>
    <row r="11159" spans="5:6">
      <c r="E11159" s="1"/>
      <c r="F11159" s="1"/>
    </row>
    <row r="11160" spans="5:6">
      <c r="E11160" s="1"/>
      <c r="F11160" s="1"/>
    </row>
    <row r="11161" spans="5:6">
      <c r="E11161" s="1"/>
      <c r="F11161" s="1"/>
    </row>
    <row r="11162" spans="5:6">
      <c r="E11162" s="1"/>
      <c r="F11162" s="1"/>
    </row>
    <row r="11163" spans="5:6">
      <c r="E11163" s="1"/>
      <c r="F11163" s="1"/>
    </row>
    <row r="11164" spans="5:6">
      <c r="E11164" s="1"/>
      <c r="F11164" s="1"/>
    </row>
    <row r="11165" spans="5:6">
      <c r="E11165" s="1"/>
      <c r="F11165" s="1"/>
    </row>
    <row r="11166" spans="5:6">
      <c r="E11166" s="1"/>
      <c r="F11166" s="1"/>
    </row>
    <row r="11167" spans="5:6">
      <c r="E11167" s="1"/>
      <c r="F11167" s="1"/>
    </row>
    <row r="11168" spans="5:6">
      <c r="E11168" s="1"/>
      <c r="F11168" s="1"/>
    </row>
    <row r="11169" spans="5:6">
      <c r="E11169" s="1"/>
      <c r="F11169" s="1"/>
    </row>
    <row r="11170" spans="5:6">
      <c r="E11170" s="1"/>
      <c r="F11170" s="1"/>
    </row>
    <row r="11171" spans="5:6">
      <c r="E11171" s="1"/>
      <c r="F11171" s="1"/>
    </row>
    <row r="11172" spans="5:6">
      <c r="E11172" s="1"/>
      <c r="F11172" s="1"/>
    </row>
    <row r="11173" spans="5:6">
      <c r="E11173" s="1"/>
      <c r="F11173" s="1"/>
    </row>
    <row r="11174" spans="5:6">
      <c r="E11174" s="1"/>
      <c r="F11174" s="1"/>
    </row>
    <row r="11175" spans="5:6">
      <c r="E11175" s="1"/>
      <c r="F11175" s="1"/>
    </row>
    <row r="11176" spans="5:6">
      <c r="E11176" s="1"/>
      <c r="F11176" s="1"/>
    </row>
    <row r="11177" spans="5:6">
      <c r="E11177" s="1"/>
      <c r="F11177" s="1"/>
    </row>
    <row r="11178" spans="5:6">
      <c r="E11178" s="1"/>
      <c r="F11178" s="1"/>
    </row>
    <row r="11179" spans="5:6">
      <c r="E11179" s="1"/>
      <c r="F11179" s="1"/>
    </row>
    <row r="11180" spans="5:6">
      <c r="E11180" s="1"/>
      <c r="F11180" s="1"/>
    </row>
    <row r="11181" spans="5:6">
      <c r="E11181" s="1"/>
      <c r="F11181" s="1"/>
    </row>
    <row r="11182" spans="5:6">
      <c r="E11182" s="1"/>
      <c r="F11182" s="1"/>
    </row>
    <row r="11183" spans="5:6">
      <c r="E11183" s="1"/>
      <c r="F11183" s="1"/>
    </row>
    <row r="11184" spans="5:6">
      <c r="E11184" s="1"/>
      <c r="F11184" s="1"/>
    </row>
    <row r="11185" spans="5:6">
      <c r="E11185" s="1"/>
      <c r="F11185" s="1"/>
    </row>
    <row r="11186" spans="5:6">
      <c r="E11186" s="1"/>
      <c r="F11186" s="1"/>
    </row>
    <row r="11187" spans="5:6">
      <c r="E11187" s="1"/>
      <c r="F11187" s="1"/>
    </row>
    <row r="11188" spans="5:6">
      <c r="E11188" s="1"/>
      <c r="F11188" s="1"/>
    </row>
    <row r="11189" spans="5:6">
      <c r="E11189" s="1"/>
      <c r="F11189" s="1"/>
    </row>
    <row r="11190" spans="5:6">
      <c r="E11190" s="1"/>
      <c r="F11190" s="1"/>
    </row>
    <row r="11191" spans="5:6">
      <c r="E11191" s="1"/>
      <c r="F11191" s="1"/>
    </row>
    <row r="11192" spans="5:6">
      <c r="E11192" s="1"/>
      <c r="F11192" s="1"/>
    </row>
    <row r="11193" spans="5:6">
      <c r="E11193" s="1"/>
      <c r="F11193" s="1"/>
    </row>
    <row r="11194" spans="5:6">
      <c r="E11194" s="1"/>
      <c r="F11194" s="1"/>
    </row>
    <row r="11195" spans="5:6">
      <c r="E11195" s="1"/>
      <c r="F11195" s="1"/>
    </row>
    <row r="11196" spans="5:6">
      <c r="E11196" s="1"/>
      <c r="F11196" s="1"/>
    </row>
    <row r="11197" spans="5:6">
      <c r="E11197" s="1"/>
      <c r="F11197" s="1"/>
    </row>
    <row r="11198" spans="5:6">
      <c r="E11198" s="1"/>
      <c r="F11198" s="1"/>
    </row>
    <row r="11199" spans="5:6">
      <c r="E11199" s="1"/>
      <c r="F11199" s="1"/>
    </row>
    <row r="11200" spans="5:6">
      <c r="E11200" s="1"/>
      <c r="F11200" s="1"/>
    </row>
    <row r="11201" spans="5:6">
      <c r="E11201" s="1"/>
      <c r="F11201" s="1"/>
    </row>
    <row r="11202" spans="5:6">
      <c r="E11202" s="1"/>
      <c r="F11202" s="1"/>
    </row>
    <row r="11203" spans="5:6">
      <c r="E11203" s="1"/>
      <c r="F11203" s="1"/>
    </row>
    <row r="11204" spans="5:6">
      <c r="E11204" s="1"/>
      <c r="F11204" s="1"/>
    </row>
    <row r="11205" spans="5:6">
      <c r="E11205" s="1"/>
      <c r="F11205" s="1"/>
    </row>
    <row r="11206" spans="5:6">
      <c r="E11206" s="1"/>
      <c r="F11206" s="1"/>
    </row>
    <row r="11207" spans="5:6">
      <c r="E11207" s="1"/>
      <c r="F11207" s="1"/>
    </row>
    <row r="11208" spans="5:6">
      <c r="E11208" s="1"/>
      <c r="F11208" s="1"/>
    </row>
    <row r="11209" spans="5:6">
      <c r="E11209" s="1"/>
      <c r="F11209" s="1"/>
    </row>
    <row r="11210" spans="5:6">
      <c r="E11210" s="1"/>
      <c r="F11210" s="1"/>
    </row>
    <row r="11211" spans="5:6">
      <c r="E11211" s="1"/>
      <c r="F11211" s="1"/>
    </row>
    <row r="11212" spans="5:6">
      <c r="E11212" s="1"/>
      <c r="F11212" s="1"/>
    </row>
    <row r="11213" spans="5:6">
      <c r="E11213" s="1"/>
      <c r="F11213" s="1"/>
    </row>
    <row r="11214" spans="5:6">
      <c r="E11214" s="1"/>
      <c r="F11214" s="1"/>
    </row>
    <row r="11215" spans="5:6">
      <c r="E11215" s="1"/>
      <c r="F11215" s="1"/>
    </row>
    <row r="11216" spans="5:6">
      <c r="E11216" s="1"/>
      <c r="F11216" s="1"/>
    </row>
    <row r="11217" spans="5:6">
      <c r="E11217" s="1"/>
      <c r="F11217" s="1"/>
    </row>
    <row r="11218" spans="5:6">
      <c r="E11218" s="1"/>
      <c r="F11218" s="1"/>
    </row>
    <row r="11219" spans="5:6">
      <c r="E11219" s="1"/>
      <c r="F11219" s="1"/>
    </row>
    <row r="11220" spans="5:6">
      <c r="E11220" s="1"/>
      <c r="F11220" s="1"/>
    </row>
    <row r="11221" spans="5:6">
      <c r="E11221" s="1"/>
      <c r="F11221" s="1"/>
    </row>
    <row r="11222" spans="5:6">
      <c r="E11222" s="1"/>
      <c r="F11222" s="1"/>
    </row>
    <row r="11223" spans="5:6">
      <c r="E11223" s="1"/>
      <c r="F11223" s="1"/>
    </row>
    <row r="11224" spans="5:6">
      <c r="E11224" s="1"/>
      <c r="F11224" s="1"/>
    </row>
    <row r="11225" spans="5:6">
      <c r="E11225" s="1"/>
      <c r="F11225" s="1"/>
    </row>
    <row r="11226" spans="5:6">
      <c r="E11226" s="1"/>
      <c r="F11226" s="1"/>
    </row>
    <row r="11227" spans="5:6">
      <c r="E11227" s="1"/>
      <c r="F11227" s="1"/>
    </row>
    <row r="11228" spans="5:6">
      <c r="E11228" s="1"/>
      <c r="F11228" s="1"/>
    </row>
    <row r="11229" spans="5:6">
      <c r="E11229" s="1"/>
      <c r="F11229" s="1"/>
    </row>
    <row r="11230" spans="5:6">
      <c r="E11230" s="1"/>
      <c r="F11230" s="1"/>
    </row>
    <row r="11231" spans="5:6">
      <c r="E11231" s="1"/>
      <c r="F11231" s="1"/>
    </row>
    <row r="11232" spans="5:6">
      <c r="E11232" s="1"/>
      <c r="F11232" s="1"/>
    </row>
    <row r="11233" spans="5:6">
      <c r="E11233" s="1"/>
      <c r="F11233" s="1"/>
    </row>
    <row r="11234" spans="5:6">
      <c r="E11234" s="1"/>
      <c r="F11234" s="1"/>
    </row>
    <row r="11235" spans="5:6">
      <c r="E11235" s="1"/>
      <c r="F11235" s="1"/>
    </row>
    <row r="11236" spans="5:6">
      <c r="E11236" s="1"/>
      <c r="F11236" s="1"/>
    </row>
    <row r="11237" spans="5:6">
      <c r="E11237" s="1"/>
      <c r="F11237" s="1"/>
    </row>
    <row r="11238" spans="5:6">
      <c r="E11238" s="1"/>
      <c r="F11238" s="1"/>
    </row>
    <row r="11239" spans="5:6">
      <c r="E11239" s="1"/>
      <c r="F11239" s="1"/>
    </row>
    <row r="11240" spans="5:6">
      <c r="E11240" s="1"/>
      <c r="F11240" s="1"/>
    </row>
    <row r="11241" spans="5:6">
      <c r="E11241" s="1"/>
      <c r="F11241" s="1"/>
    </row>
    <row r="11242" spans="5:6">
      <c r="E11242" s="1"/>
      <c r="F11242" s="1"/>
    </row>
    <row r="11243" spans="5:6">
      <c r="E11243" s="1"/>
      <c r="F11243" s="1"/>
    </row>
    <row r="11244" spans="5:6">
      <c r="E11244" s="1"/>
      <c r="F11244" s="1"/>
    </row>
    <row r="11245" spans="5:6">
      <c r="E11245" s="1"/>
      <c r="F11245" s="1"/>
    </row>
    <row r="11246" spans="5:6">
      <c r="E11246" s="1"/>
      <c r="F11246" s="1"/>
    </row>
    <row r="11247" spans="5:6">
      <c r="E11247" s="1"/>
      <c r="F11247" s="1"/>
    </row>
    <row r="11248" spans="5:6">
      <c r="E11248" s="1"/>
      <c r="F11248" s="1"/>
    </row>
    <row r="11249" spans="5:6">
      <c r="E11249" s="1"/>
      <c r="F11249" s="1"/>
    </row>
    <row r="11250" spans="5:6">
      <c r="E11250" s="1"/>
      <c r="F11250" s="1"/>
    </row>
    <row r="11251" spans="5:6">
      <c r="E11251" s="1"/>
      <c r="F11251" s="1"/>
    </row>
    <row r="11252" spans="5:6">
      <c r="E11252" s="1"/>
      <c r="F11252" s="1"/>
    </row>
    <row r="11253" spans="5:6">
      <c r="E11253" s="1"/>
      <c r="F11253" s="1"/>
    </row>
    <row r="11254" spans="5:6">
      <c r="E11254" s="1"/>
      <c r="F11254" s="1"/>
    </row>
    <row r="11255" spans="5:6">
      <c r="E11255" s="1"/>
      <c r="F11255" s="1"/>
    </row>
    <row r="11256" spans="5:6">
      <c r="E11256" s="1"/>
      <c r="F11256" s="1"/>
    </row>
    <row r="11257" spans="5:6">
      <c r="E11257" s="1"/>
      <c r="F11257" s="1"/>
    </row>
    <row r="11258" spans="5:6">
      <c r="E11258" s="1"/>
      <c r="F11258" s="1"/>
    </row>
    <row r="11259" spans="5:6">
      <c r="E11259" s="1"/>
      <c r="F11259" s="1"/>
    </row>
    <row r="11260" spans="5:6">
      <c r="E11260" s="1"/>
      <c r="F11260" s="1"/>
    </row>
    <row r="11261" spans="5:6">
      <c r="E11261" s="1"/>
      <c r="F11261" s="1"/>
    </row>
    <row r="11262" spans="5:6">
      <c r="E11262" s="1"/>
      <c r="F11262" s="1"/>
    </row>
    <row r="11263" spans="5:6">
      <c r="E11263" s="1"/>
      <c r="F11263" s="1"/>
    </row>
    <row r="11264" spans="5:6">
      <c r="E11264" s="1"/>
      <c r="F11264" s="1"/>
    </row>
    <row r="11265" spans="5:6">
      <c r="E11265" s="1"/>
      <c r="F11265" s="1"/>
    </row>
    <row r="11266" spans="5:6">
      <c r="E11266" s="1"/>
      <c r="F11266" s="1"/>
    </row>
    <row r="11267" spans="5:6">
      <c r="E11267" s="1"/>
      <c r="F11267" s="1"/>
    </row>
    <row r="11268" spans="5:6">
      <c r="E11268" s="1"/>
      <c r="F11268" s="1"/>
    </row>
    <row r="11269" spans="5:6">
      <c r="E11269" s="1"/>
      <c r="F11269" s="1"/>
    </row>
    <row r="11270" spans="5:6">
      <c r="E11270" s="1"/>
      <c r="F11270" s="1"/>
    </row>
    <row r="11271" spans="5:6">
      <c r="E11271" s="1"/>
      <c r="F11271" s="1"/>
    </row>
    <row r="11272" spans="5:6">
      <c r="E11272" s="1"/>
      <c r="F11272" s="1"/>
    </row>
    <row r="11273" spans="5:6">
      <c r="E11273" s="1"/>
      <c r="F11273" s="1"/>
    </row>
    <row r="11274" spans="5:6">
      <c r="E11274" s="1"/>
      <c r="F11274" s="1"/>
    </row>
    <row r="11275" spans="5:6">
      <c r="E11275" s="1"/>
      <c r="F11275" s="1"/>
    </row>
    <row r="11276" spans="5:6">
      <c r="E11276" s="1"/>
      <c r="F11276" s="1"/>
    </row>
    <row r="11277" spans="5:6">
      <c r="E11277" s="1"/>
      <c r="F11277" s="1"/>
    </row>
    <row r="11278" spans="5:6">
      <c r="E11278" s="1"/>
      <c r="F11278" s="1"/>
    </row>
    <row r="11279" spans="5:6">
      <c r="E11279" s="1"/>
      <c r="F11279" s="1"/>
    </row>
    <row r="11280" spans="5:6">
      <c r="E11280" s="1"/>
      <c r="F11280" s="1"/>
    </row>
    <row r="11281" spans="5:6">
      <c r="E11281" s="1"/>
      <c r="F11281" s="1"/>
    </row>
    <row r="11282" spans="5:6">
      <c r="E11282" s="1"/>
      <c r="F11282" s="1"/>
    </row>
    <row r="11283" spans="5:6">
      <c r="E11283" s="1"/>
      <c r="F11283" s="1"/>
    </row>
    <row r="11284" spans="5:6">
      <c r="E11284" s="1"/>
      <c r="F11284" s="1"/>
    </row>
    <row r="11285" spans="5:6">
      <c r="E11285" s="1"/>
      <c r="F11285" s="1"/>
    </row>
    <row r="11286" spans="5:6">
      <c r="E11286" s="1"/>
      <c r="F11286" s="1"/>
    </row>
    <row r="11287" spans="5:6">
      <c r="E11287" s="1"/>
      <c r="F11287" s="1"/>
    </row>
    <row r="11288" spans="5:6">
      <c r="E11288" s="1"/>
      <c r="F11288" s="1"/>
    </row>
    <row r="11289" spans="5:6">
      <c r="E11289" s="1"/>
      <c r="F11289" s="1"/>
    </row>
    <row r="11290" spans="5:6">
      <c r="E11290" s="1"/>
      <c r="F11290" s="1"/>
    </row>
    <row r="11291" spans="5:6">
      <c r="E11291" s="1"/>
      <c r="F11291" s="1"/>
    </row>
    <row r="11292" spans="5:6">
      <c r="E11292" s="1"/>
      <c r="F11292" s="1"/>
    </row>
    <row r="11293" spans="5:6">
      <c r="E11293" s="1"/>
      <c r="F11293" s="1"/>
    </row>
    <row r="11294" spans="5:6">
      <c r="E11294" s="1"/>
      <c r="F11294" s="1"/>
    </row>
    <row r="11295" spans="5:6">
      <c r="E11295" s="1"/>
      <c r="F11295" s="1"/>
    </row>
    <row r="11296" spans="5:6">
      <c r="E11296" s="1"/>
      <c r="F11296" s="1"/>
    </row>
    <row r="11297" spans="5:6">
      <c r="E11297" s="1"/>
      <c r="F11297" s="1"/>
    </row>
    <row r="11298" spans="5:6">
      <c r="E11298" s="1"/>
      <c r="F11298" s="1"/>
    </row>
    <row r="11299" spans="5:6">
      <c r="E11299" s="1"/>
      <c r="F11299" s="1"/>
    </row>
    <row r="11300" spans="5:6">
      <c r="E11300" s="1"/>
      <c r="F11300" s="1"/>
    </row>
    <row r="11301" spans="5:6">
      <c r="E11301" s="1"/>
      <c r="F11301" s="1"/>
    </row>
    <row r="11302" spans="5:6">
      <c r="E11302" s="1"/>
      <c r="F11302" s="1"/>
    </row>
    <row r="11303" spans="5:6">
      <c r="E11303" s="1"/>
      <c r="F11303" s="1"/>
    </row>
    <row r="11304" spans="5:6">
      <c r="E11304" s="1"/>
      <c r="F11304" s="1"/>
    </row>
    <row r="11305" spans="5:6">
      <c r="E11305" s="1"/>
      <c r="F11305" s="1"/>
    </row>
    <row r="11306" spans="5:6">
      <c r="E11306" s="1"/>
      <c r="F11306" s="1"/>
    </row>
    <row r="11307" spans="5:6">
      <c r="E11307" s="1"/>
      <c r="F11307" s="1"/>
    </row>
    <row r="11308" spans="5:6">
      <c r="E11308" s="1"/>
      <c r="F11308" s="1"/>
    </row>
    <row r="11309" spans="5:6">
      <c r="E11309" s="1"/>
      <c r="F11309" s="1"/>
    </row>
    <row r="11310" spans="5:6">
      <c r="E11310" s="1"/>
      <c r="F11310" s="1"/>
    </row>
    <row r="11311" spans="5:6">
      <c r="E11311" s="1"/>
      <c r="F11311" s="1"/>
    </row>
    <row r="11312" spans="5:6">
      <c r="E11312" s="1"/>
      <c r="F11312" s="1"/>
    </row>
    <row r="11313" spans="5:6">
      <c r="E11313" s="1"/>
      <c r="F11313" s="1"/>
    </row>
    <row r="11314" spans="5:6">
      <c r="E11314" s="1"/>
      <c r="F11314" s="1"/>
    </row>
    <row r="11315" spans="5:6">
      <c r="E11315" s="1"/>
      <c r="F11315" s="1"/>
    </row>
    <row r="11316" spans="5:6">
      <c r="E11316" s="1"/>
      <c r="F11316" s="1"/>
    </row>
    <row r="11317" spans="5:6">
      <c r="E11317" s="1"/>
      <c r="F11317" s="1"/>
    </row>
    <row r="11318" spans="5:6">
      <c r="E11318" s="1"/>
      <c r="F11318" s="1"/>
    </row>
    <row r="11319" spans="5:6">
      <c r="E11319" s="1"/>
      <c r="F11319" s="1"/>
    </row>
    <row r="11320" spans="5:6">
      <c r="E11320" s="1"/>
      <c r="F11320" s="1"/>
    </row>
    <row r="11321" spans="5:6">
      <c r="E11321" s="1"/>
      <c r="F11321" s="1"/>
    </row>
    <row r="11322" spans="5:6">
      <c r="E11322" s="1"/>
      <c r="F11322" s="1"/>
    </row>
    <row r="11323" spans="5:6">
      <c r="E11323" s="1"/>
      <c r="F11323" s="1"/>
    </row>
    <row r="11324" spans="5:6">
      <c r="E11324" s="1"/>
      <c r="F11324" s="1"/>
    </row>
    <row r="11325" spans="5:6">
      <c r="E11325" s="1"/>
      <c r="F11325" s="1"/>
    </row>
    <row r="11326" spans="5:6">
      <c r="E11326" s="1"/>
      <c r="F11326" s="1"/>
    </row>
    <row r="11327" spans="5:6">
      <c r="E11327" s="1"/>
      <c r="F11327" s="1"/>
    </row>
    <row r="11328" spans="5:6">
      <c r="E11328" s="1"/>
      <c r="F11328" s="1"/>
    </row>
    <row r="11329" spans="5:6">
      <c r="E11329" s="1"/>
      <c r="F11329" s="1"/>
    </row>
    <row r="11330" spans="5:6">
      <c r="E11330" s="1"/>
      <c r="F11330" s="1"/>
    </row>
    <row r="11331" spans="5:6">
      <c r="E11331" s="1"/>
      <c r="F11331" s="1"/>
    </row>
    <row r="11332" spans="5:6">
      <c r="E11332" s="1"/>
      <c r="F11332" s="1"/>
    </row>
    <row r="11333" spans="5:6">
      <c r="E11333" s="1"/>
      <c r="F11333" s="1"/>
    </row>
    <row r="11334" spans="5:6">
      <c r="E11334" s="1"/>
      <c r="F11334" s="1"/>
    </row>
    <row r="11335" spans="5:6">
      <c r="E11335" s="1"/>
      <c r="F11335" s="1"/>
    </row>
    <row r="11336" spans="5:6">
      <c r="E11336" s="1"/>
      <c r="F11336" s="1"/>
    </row>
    <row r="11337" spans="5:6">
      <c r="E11337" s="1"/>
      <c r="F11337" s="1"/>
    </row>
    <row r="11338" spans="5:6">
      <c r="E11338" s="1"/>
      <c r="F11338" s="1"/>
    </row>
    <row r="11339" spans="5:6">
      <c r="E11339" s="1"/>
      <c r="F11339" s="1"/>
    </row>
    <row r="11340" spans="5:6">
      <c r="E11340" s="1"/>
      <c r="F11340" s="1"/>
    </row>
    <row r="11341" spans="5:6">
      <c r="E11341" s="1"/>
      <c r="F11341" s="1"/>
    </row>
    <row r="11342" spans="5:6">
      <c r="E11342" s="1"/>
      <c r="F11342" s="1"/>
    </row>
    <row r="11343" spans="5:6">
      <c r="E11343" s="1"/>
      <c r="F11343" s="1"/>
    </row>
    <row r="11344" spans="5:6">
      <c r="E11344" s="1"/>
      <c r="F11344" s="1"/>
    </row>
    <row r="11345" spans="5:6">
      <c r="E11345" s="1"/>
      <c r="F11345" s="1"/>
    </row>
    <row r="11346" spans="5:6">
      <c r="E11346" s="1"/>
      <c r="F11346" s="1"/>
    </row>
    <row r="11347" spans="5:6">
      <c r="E11347" s="1"/>
      <c r="F11347" s="1"/>
    </row>
    <row r="11348" spans="5:6">
      <c r="E11348" s="1"/>
      <c r="F11348" s="1"/>
    </row>
    <row r="11349" spans="5:6">
      <c r="E11349" s="1"/>
      <c r="F11349" s="1"/>
    </row>
    <row r="11350" spans="5:6">
      <c r="E11350" s="1"/>
      <c r="F11350" s="1"/>
    </row>
    <row r="11351" spans="5:6">
      <c r="E11351" s="1"/>
      <c r="F11351" s="1"/>
    </row>
    <row r="11352" spans="5:6">
      <c r="E11352" s="1"/>
      <c r="F11352" s="1"/>
    </row>
    <row r="11353" spans="5:6">
      <c r="E11353" s="1"/>
      <c r="F11353" s="1"/>
    </row>
    <row r="11354" spans="5:6">
      <c r="E11354" s="1"/>
      <c r="F11354" s="1"/>
    </row>
    <row r="11355" spans="5:6">
      <c r="E11355" s="1"/>
      <c r="F11355" s="1"/>
    </row>
    <row r="11356" spans="5:6">
      <c r="E11356" s="1"/>
      <c r="F11356" s="1"/>
    </row>
    <row r="11357" spans="5:6">
      <c r="E11357" s="1"/>
      <c r="F11357" s="1"/>
    </row>
    <row r="11358" spans="5:6">
      <c r="E11358" s="1"/>
      <c r="F11358" s="1"/>
    </row>
    <row r="11359" spans="5:6">
      <c r="E11359" s="1"/>
      <c r="F11359" s="1"/>
    </row>
    <row r="11360" spans="5:6">
      <c r="E11360" s="1"/>
      <c r="F11360" s="1"/>
    </row>
    <row r="11361" spans="5:6">
      <c r="E11361" s="1"/>
      <c r="F11361" s="1"/>
    </row>
    <row r="11362" spans="5:6">
      <c r="E11362" s="1"/>
      <c r="F11362" s="1"/>
    </row>
    <row r="11363" spans="5:6">
      <c r="E11363" s="1"/>
      <c r="F11363" s="1"/>
    </row>
    <row r="11364" spans="5:6">
      <c r="E11364" s="1"/>
      <c r="F11364" s="1"/>
    </row>
    <row r="11365" spans="5:6">
      <c r="E11365" s="1"/>
      <c r="F11365" s="1"/>
    </row>
    <row r="11366" spans="5:6">
      <c r="E11366" s="1"/>
      <c r="F11366" s="1"/>
    </row>
    <row r="11367" spans="5:6">
      <c r="E11367" s="1"/>
      <c r="F11367" s="1"/>
    </row>
    <row r="11368" spans="5:6">
      <c r="E11368" s="1"/>
      <c r="F11368" s="1"/>
    </row>
    <row r="11369" spans="5:6">
      <c r="E11369" s="1"/>
      <c r="F11369" s="1"/>
    </row>
    <row r="11370" spans="5:6">
      <c r="E11370" s="1"/>
      <c r="F11370" s="1"/>
    </row>
    <row r="11371" spans="5:6">
      <c r="E11371" s="1"/>
      <c r="F11371" s="1"/>
    </row>
    <row r="11372" spans="5:6">
      <c r="E11372" s="1"/>
      <c r="F11372" s="1"/>
    </row>
    <row r="11373" spans="5:6">
      <c r="E11373" s="1"/>
      <c r="F11373" s="1"/>
    </row>
    <row r="11374" spans="5:6">
      <c r="E11374" s="1"/>
      <c r="F11374" s="1"/>
    </row>
    <row r="11375" spans="5:6">
      <c r="E11375" s="1"/>
      <c r="F11375" s="1"/>
    </row>
    <row r="11376" spans="5:6">
      <c r="E11376" s="1"/>
      <c r="F11376" s="1"/>
    </row>
    <row r="11377" spans="5:6">
      <c r="E11377" s="1"/>
      <c r="F11377" s="1"/>
    </row>
    <row r="11378" spans="5:6">
      <c r="E11378" s="1"/>
      <c r="F11378" s="1"/>
    </row>
    <row r="11379" spans="5:6">
      <c r="E11379" s="1"/>
      <c r="F11379" s="1"/>
    </row>
    <row r="11380" spans="5:6">
      <c r="E11380" s="1"/>
      <c r="F11380" s="1"/>
    </row>
    <row r="11381" spans="5:6">
      <c r="E11381" s="1"/>
      <c r="F11381" s="1"/>
    </row>
    <row r="11382" spans="5:6">
      <c r="E11382" s="1"/>
      <c r="F11382" s="1"/>
    </row>
    <row r="11383" spans="5:6">
      <c r="E11383" s="1"/>
      <c r="F11383" s="1"/>
    </row>
    <row r="11384" spans="5:6">
      <c r="E11384" s="1"/>
      <c r="F11384" s="1"/>
    </row>
    <row r="11385" spans="5:6">
      <c r="E11385" s="1"/>
      <c r="F11385" s="1"/>
    </row>
    <row r="11386" spans="5:6">
      <c r="E11386" s="1"/>
      <c r="F11386" s="1"/>
    </row>
    <row r="11387" spans="5:6">
      <c r="E11387" s="1"/>
      <c r="F11387" s="1"/>
    </row>
    <row r="11388" spans="5:6">
      <c r="E11388" s="1"/>
      <c r="F11388" s="1"/>
    </row>
    <row r="11389" spans="5:6">
      <c r="E11389" s="1"/>
      <c r="F11389" s="1"/>
    </row>
    <row r="11390" spans="5:6">
      <c r="E11390" s="1"/>
      <c r="F11390" s="1"/>
    </row>
    <row r="11391" spans="5:6">
      <c r="E11391" s="1"/>
      <c r="F11391" s="1"/>
    </row>
    <row r="11392" spans="5:6">
      <c r="E11392" s="1"/>
      <c r="F11392" s="1"/>
    </row>
    <row r="11393" spans="5:6">
      <c r="E11393" s="1"/>
      <c r="F11393" s="1"/>
    </row>
    <row r="11394" spans="5:6">
      <c r="E11394" s="1"/>
      <c r="F11394" s="1"/>
    </row>
    <row r="11395" spans="5:6">
      <c r="E11395" s="1"/>
      <c r="F11395" s="1"/>
    </row>
    <row r="11396" spans="5:6">
      <c r="E11396" s="1"/>
      <c r="F11396" s="1"/>
    </row>
    <row r="11397" spans="5:6">
      <c r="E11397" s="1"/>
      <c r="F11397" s="1"/>
    </row>
    <row r="11398" spans="5:6">
      <c r="E11398" s="1"/>
      <c r="F11398" s="1"/>
    </row>
    <row r="11399" spans="5:6">
      <c r="E11399" s="1"/>
      <c r="F11399" s="1"/>
    </row>
    <row r="11400" spans="5:6">
      <c r="E11400" s="1"/>
      <c r="F11400" s="1"/>
    </row>
    <row r="11401" spans="5:6">
      <c r="E11401" s="1"/>
      <c r="F11401" s="1"/>
    </row>
    <row r="11402" spans="5:6">
      <c r="E11402" s="1"/>
      <c r="F11402" s="1"/>
    </row>
    <row r="11403" spans="5:6">
      <c r="E11403" s="1"/>
      <c r="F11403" s="1"/>
    </row>
    <row r="11404" spans="5:6">
      <c r="E11404" s="1"/>
      <c r="F11404" s="1"/>
    </row>
    <row r="11405" spans="5:6">
      <c r="E11405" s="1"/>
      <c r="F11405" s="1"/>
    </row>
    <row r="11406" spans="5:6">
      <c r="E11406" s="1"/>
      <c r="F11406" s="1"/>
    </row>
    <row r="11407" spans="5:6">
      <c r="E11407" s="1"/>
      <c r="F11407" s="1"/>
    </row>
    <row r="11408" spans="5:6">
      <c r="E11408" s="1"/>
      <c r="F11408" s="1"/>
    </row>
    <row r="11409" spans="5:6">
      <c r="E11409" s="1"/>
      <c r="F11409" s="1"/>
    </row>
    <row r="11410" spans="5:6">
      <c r="E11410" s="1"/>
      <c r="F11410" s="1"/>
    </row>
    <row r="11411" spans="5:6">
      <c r="E11411" s="1"/>
      <c r="F11411" s="1"/>
    </row>
    <row r="11412" spans="5:6">
      <c r="E11412" s="1"/>
      <c r="F11412" s="1"/>
    </row>
    <row r="11413" spans="5:6">
      <c r="E11413" s="1"/>
      <c r="F11413" s="1"/>
    </row>
    <row r="11414" spans="5:6">
      <c r="E11414" s="1"/>
      <c r="F11414" s="1"/>
    </row>
    <row r="11415" spans="5:6">
      <c r="E11415" s="1"/>
      <c r="F11415" s="1"/>
    </row>
    <row r="11416" spans="5:6">
      <c r="E11416" s="1"/>
      <c r="F11416" s="1"/>
    </row>
    <row r="11417" spans="5:6">
      <c r="E11417" s="1"/>
      <c r="F11417" s="1"/>
    </row>
    <row r="11418" spans="5:6">
      <c r="E11418" s="1"/>
      <c r="F11418" s="1"/>
    </row>
    <row r="11419" spans="5:6">
      <c r="E11419" s="1"/>
      <c r="F11419" s="1"/>
    </row>
    <row r="11420" spans="5:6">
      <c r="E11420" s="1"/>
      <c r="F11420" s="1"/>
    </row>
    <row r="11421" spans="5:6">
      <c r="E11421" s="1"/>
      <c r="F11421" s="1"/>
    </row>
    <row r="11422" spans="5:6">
      <c r="E11422" s="1"/>
      <c r="F11422" s="1"/>
    </row>
    <row r="11423" spans="5:6">
      <c r="E11423" s="1"/>
      <c r="F11423" s="1"/>
    </row>
    <row r="11424" spans="5:6">
      <c r="E11424" s="1"/>
      <c r="F11424" s="1"/>
    </row>
    <row r="11425" spans="5:6">
      <c r="E11425" s="1"/>
      <c r="F11425" s="1"/>
    </row>
    <row r="11426" spans="5:6">
      <c r="E11426" s="1"/>
      <c r="F11426" s="1"/>
    </row>
    <row r="11427" spans="5:6">
      <c r="E11427" s="1"/>
      <c r="F11427" s="1"/>
    </row>
    <row r="11428" spans="5:6">
      <c r="E11428" s="1"/>
      <c r="F11428" s="1"/>
    </row>
    <row r="11429" spans="5:6">
      <c r="E11429" s="1"/>
      <c r="F11429" s="1"/>
    </row>
    <row r="11430" spans="5:6">
      <c r="E11430" s="1"/>
      <c r="F11430" s="1"/>
    </row>
    <row r="11431" spans="5:6">
      <c r="E11431" s="1"/>
      <c r="F11431" s="1"/>
    </row>
    <row r="11432" spans="5:6">
      <c r="E11432" s="1"/>
      <c r="F11432" s="1"/>
    </row>
    <row r="11433" spans="5:6">
      <c r="E11433" s="1"/>
      <c r="F11433" s="1"/>
    </row>
    <row r="11434" spans="5:6">
      <c r="E11434" s="1"/>
      <c r="F11434" s="1"/>
    </row>
    <row r="11435" spans="5:6">
      <c r="E11435" s="1"/>
      <c r="F11435" s="1"/>
    </row>
    <row r="11436" spans="5:6">
      <c r="E11436" s="1"/>
      <c r="F11436" s="1"/>
    </row>
    <row r="11437" spans="5:6">
      <c r="E11437" s="1"/>
      <c r="F11437" s="1"/>
    </row>
    <row r="11438" spans="5:6">
      <c r="E11438" s="1"/>
      <c r="F11438" s="1"/>
    </row>
    <row r="11439" spans="5:6">
      <c r="E11439" s="1"/>
      <c r="F11439" s="1"/>
    </row>
    <row r="11440" spans="5:6">
      <c r="E11440" s="1"/>
      <c r="F11440" s="1"/>
    </row>
    <row r="11441" spans="5:6">
      <c r="E11441" s="1"/>
      <c r="F11441" s="1"/>
    </row>
    <row r="11442" spans="5:6">
      <c r="E11442" s="1"/>
      <c r="F11442" s="1"/>
    </row>
    <row r="11443" spans="5:6">
      <c r="E11443" s="1"/>
      <c r="F11443" s="1"/>
    </row>
    <row r="11444" spans="5:6">
      <c r="E11444" s="1"/>
      <c r="F11444" s="1"/>
    </row>
    <row r="11445" spans="5:6">
      <c r="E11445" s="1"/>
      <c r="F11445" s="1"/>
    </row>
    <row r="11446" spans="5:6">
      <c r="E11446" s="1"/>
      <c r="F11446" s="1"/>
    </row>
    <row r="11447" spans="5:6">
      <c r="E11447" s="1"/>
      <c r="F11447" s="1"/>
    </row>
    <row r="11448" spans="5:6">
      <c r="E11448" s="1"/>
      <c r="F11448" s="1"/>
    </row>
    <row r="11449" spans="5:6">
      <c r="E11449" s="1"/>
      <c r="F11449" s="1"/>
    </row>
    <row r="11450" spans="5:6">
      <c r="E11450" s="1"/>
      <c r="F11450" s="1"/>
    </row>
    <row r="11451" spans="5:6">
      <c r="E11451" s="1"/>
      <c r="F11451" s="1"/>
    </row>
    <row r="11452" spans="5:6">
      <c r="E11452" s="1"/>
      <c r="F11452" s="1"/>
    </row>
    <row r="11453" spans="5:6">
      <c r="E11453" s="1"/>
      <c r="F11453" s="1"/>
    </row>
    <row r="11454" spans="5:6">
      <c r="E11454" s="1"/>
      <c r="F11454" s="1"/>
    </row>
    <row r="11455" spans="5:6">
      <c r="E11455" s="1"/>
      <c r="F11455" s="1"/>
    </row>
    <row r="11456" spans="5:6">
      <c r="E11456" s="1"/>
      <c r="F11456" s="1"/>
    </row>
    <row r="11457" spans="5:6">
      <c r="E11457" s="1"/>
      <c r="F11457" s="1"/>
    </row>
    <row r="11458" spans="5:6">
      <c r="E11458" s="1"/>
      <c r="F11458" s="1"/>
    </row>
    <row r="11459" spans="5:6">
      <c r="E11459" s="1"/>
      <c r="F11459" s="1"/>
    </row>
    <row r="11460" spans="5:6">
      <c r="E11460" s="1"/>
      <c r="F11460" s="1"/>
    </row>
    <row r="11461" spans="5:6">
      <c r="E11461" s="1"/>
      <c r="F11461" s="1"/>
    </row>
    <row r="11462" spans="5:6">
      <c r="E11462" s="1"/>
      <c r="F11462" s="1"/>
    </row>
    <row r="11463" spans="5:6">
      <c r="E11463" s="1"/>
      <c r="F11463" s="1"/>
    </row>
    <row r="11464" spans="5:6">
      <c r="E11464" s="1"/>
      <c r="F11464" s="1"/>
    </row>
    <row r="11465" spans="5:6">
      <c r="E11465" s="1"/>
      <c r="F11465" s="1"/>
    </row>
    <row r="11466" spans="5:6">
      <c r="E11466" s="1"/>
      <c r="F11466" s="1"/>
    </row>
    <row r="11467" spans="5:6">
      <c r="E11467" s="1"/>
      <c r="F11467" s="1"/>
    </row>
    <row r="11468" spans="5:6">
      <c r="E11468" s="1"/>
      <c r="F11468" s="1"/>
    </row>
    <row r="11469" spans="5:6">
      <c r="E11469" s="1"/>
      <c r="F11469" s="1"/>
    </row>
    <row r="11470" spans="5:6">
      <c r="E11470" s="1"/>
      <c r="F11470" s="1"/>
    </row>
    <row r="11471" spans="5:6">
      <c r="E11471" s="1"/>
      <c r="F11471" s="1"/>
    </row>
    <row r="11472" spans="5:6">
      <c r="E11472" s="1"/>
      <c r="F11472" s="1"/>
    </row>
    <row r="11473" spans="5:6">
      <c r="E11473" s="1"/>
      <c r="F11473" s="1"/>
    </row>
    <row r="11474" spans="5:6">
      <c r="E11474" s="1"/>
      <c r="F11474" s="1"/>
    </row>
    <row r="11475" spans="5:6">
      <c r="E11475" s="1"/>
      <c r="F11475" s="1"/>
    </row>
    <row r="11476" spans="5:6">
      <c r="E11476" s="1"/>
      <c r="F11476" s="1"/>
    </row>
    <row r="11477" spans="5:6">
      <c r="E11477" s="1"/>
      <c r="F11477" s="1"/>
    </row>
    <row r="11478" spans="5:6">
      <c r="E11478" s="1"/>
      <c r="F11478" s="1"/>
    </row>
    <row r="11479" spans="5:6">
      <c r="E11479" s="1"/>
      <c r="F11479" s="1"/>
    </row>
    <row r="11480" spans="5:6">
      <c r="E11480" s="1"/>
      <c r="F11480" s="1"/>
    </row>
    <row r="11481" spans="5:6">
      <c r="E11481" s="1"/>
      <c r="F11481" s="1"/>
    </row>
    <row r="11482" spans="5:6">
      <c r="E11482" s="1"/>
      <c r="F11482" s="1"/>
    </row>
    <row r="11483" spans="5:6">
      <c r="E11483" s="1"/>
      <c r="F11483" s="1"/>
    </row>
    <row r="11484" spans="5:6">
      <c r="E11484" s="1"/>
      <c r="F11484" s="1"/>
    </row>
    <row r="11485" spans="5:6">
      <c r="E11485" s="1"/>
      <c r="F11485" s="1"/>
    </row>
    <row r="11486" spans="5:6">
      <c r="E11486" s="1"/>
      <c r="F11486" s="1"/>
    </row>
    <row r="11487" spans="5:6">
      <c r="E11487" s="1"/>
      <c r="F11487" s="1"/>
    </row>
    <row r="11488" spans="5:6">
      <c r="E11488" s="1"/>
      <c r="F11488" s="1"/>
    </row>
    <row r="11489" spans="5:6">
      <c r="E11489" s="1"/>
      <c r="F11489" s="1"/>
    </row>
    <row r="11490" spans="5:6">
      <c r="E11490" s="1"/>
      <c r="F11490" s="1"/>
    </row>
    <row r="11491" spans="5:6">
      <c r="E11491" s="1"/>
      <c r="F11491" s="1"/>
    </row>
    <row r="11492" spans="5:6">
      <c r="E11492" s="1"/>
      <c r="F11492" s="1"/>
    </row>
    <row r="11493" spans="5:6">
      <c r="E11493" s="1"/>
      <c r="F11493" s="1"/>
    </row>
    <row r="11494" spans="5:6">
      <c r="E11494" s="1"/>
      <c r="F11494" s="1"/>
    </row>
    <row r="11495" spans="5:6">
      <c r="E11495" s="1"/>
      <c r="F11495" s="1"/>
    </row>
    <row r="11496" spans="5:6">
      <c r="E11496" s="1"/>
      <c r="F11496" s="1"/>
    </row>
    <row r="11497" spans="5:6">
      <c r="E11497" s="1"/>
      <c r="F11497" s="1"/>
    </row>
    <row r="11498" spans="5:6">
      <c r="E11498" s="1"/>
      <c r="F11498" s="1"/>
    </row>
    <row r="11499" spans="5:6">
      <c r="E11499" s="1"/>
      <c r="F11499" s="1"/>
    </row>
    <row r="11500" spans="5:6">
      <c r="E11500" s="1"/>
      <c r="F11500" s="1"/>
    </row>
    <row r="11501" spans="5:6">
      <c r="E11501" s="1"/>
      <c r="F11501" s="1"/>
    </row>
    <row r="11502" spans="5:6">
      <c r="E11502" s="1"/>
      <c r="F11502" s="1"/>
    </row>
    <row r="11503" spans="5:6">
      <c r="E11503" s="1"/>
      <c r="F11503" s="1"/>
    </row>
    <row r="11504" spans="5:6">
      <c r="E11504" s="1"/>
      <c r="F11504" s="1"/>
    </row>
    <row r="11505" spans="5:6">
      <c r="E11505" s="1"/>
      <c r="F11505" s="1"/>
    </row>
    <row r="11506" spans="5:6">
      <c r="E11506" s="1"/>
      <c r="F11506" s="1"/>
    </row>
    <row r="11507" spans="5:6">
      <c r="E11507" s="1"/>
      <c r="F11507" s="1"/>
    </row>
    <row r="11508" spans="5:6">
      <c r="E11508" s="1"/>
      <c r="F11508" s="1"/>
    </row>
    <row r="11509" spans="5:6">
      <c r="E11509" s="1"/>
      <c r="F11509" s="1"/>
    </row>
    <row r="11510" spans="5:6">
      <c r="E11510" s="1"/>
      <c r="F11510" s="1"/>
    </row>
    <row r="11511" spans="5:6">
      <c r="E11511" s="1"/>
      <c r="F11511" s="1"/>
    </row>
    <row r="11512" spans="5:6">
      <c r="E11512" s="1"/>
      <c r="F11512" s="1"/>
    </row>
    <row r="11513" spans="5:6">
      <c r="E11513" s="1"/>
      <c r="F11513" s="1"/>
    </row>
    <row r="11514" spans="5:6">
      <c r="E11514" s="1"/>
      <c r="F11514" s="1"/>
    </row>
    <row r="11515" spans="5:6">
      <c r="E11515" s="1"/>
      <c r="F11515" s="1"/>
    </row>
    <row r="11516" spans="5:6">
      <c r="E11516" s="1"/>
      <c r="F11516" s="1"/>
    </row>
    <row r="11517" spans="5:6">
      <c r="E11517" s="1"/>
      <c r="F11517" s="1"/>
    </row>
    <row r="11518" spans="5:6">
      <c r="E11518" s="1"/>
      <c r="F11518" s="1"/>
    </row>
    <row r="11519" spans="5:6">
      <c r="E11519" s="1"/>
      <c r="F11519" s="1"/>
    </row>
    <row r="11520" spans="5:6">
      <c r="E11520" s="1"/>
      <c r="F11520" s="1"/>
    </row>
    <row r="11521" spans="5:6">
      <c r="E11521" s="1"/>
      <c r="F11521" s="1"/>
    </row>
    <row r="11522" spans="5:6">
      <c r="E11522" s="1"/>
      <c r="F11522" s="1"/>
    </row>
    <row r="11523" spans="5:6">
      <c r="E11523" s="1"/>
      <c r="F11523" s="1"/>
    </row>
    <row r="11524" spans="5:6">
      <c r="E11524" s="1"/>
      <c r="F11524" s="1"/>
    </row>
    <row r="11525" spans="5:6">
      <c r="E11525" s="1"/>
      <c r="F11525" s="1"/>
    </row>
    <row r="11526" spans="5:6">
      <c r="E11526" s="1"/>
      <c r="F11526" s="1"/>
    </row>
    <row r="11527" spans="5:6">
      <c r="E11527" s="1"/>
      <c r="F11527" s="1"/>
    </row>
    <row r="11528" spans="5:6">
      <c r="E11528" s="1"/>
      <c r="F11528" s="1"/>
    </row>
    <row r="11529" spans="5:6">
      <c r="E11529" s="1"/>
      <c r="F11529" s="1"/>
    </row>
    <row r="11530" spans="5:6">
      <c r="E11530" s="1"/>
      <c r="F11530" s="1"/>
    </row>
    <row r="11531" spans="5:6">
      <c r="E11531" s="1"/>
      <c r="F11531" s="1"/>
    </row>
    <row r="11532" spans="5:6">
      <c r="E11532" s="1"/>
      <c r="F11532" s="1"/>
    </row>
    <row r="11533" spans="5:6">
      <c r="E11533" s="1"/>
      <c r="F11533" s="1"/>
    </row>
    <row r="11534" spans="5:6">
      <c r="E11534" s="1"/>
      <c r="F11534" s="1"/>
    </row>
    <row r="11535" spans="5:6">
      <c r="E11535" s="1"/>
      <c r="F11535" s="1"/>
    </row>
    <row r="11536" spans="5:6">
      <c r="E11536" s="1"/>
      <c r="F11536" s="1"/>
    </row>
    <row r="11537" spans="5:6">
      <c r="E11537" s="1"/>
      <c r="F11537" s="1"/>
    </row>
    <row r="11538" spans="5:6">
      <c r="E11538" s="1"/>
      <c r="F11538" s="1"/>
    </row>
    <row r="11539" spans="5:6">
      <c r="E11539" s="1"/>
      <c r="F11539" s="1"/>
    </row>
    <row r="11540" spans="5:6">
      <c r="E11540" s="1"/>
      <c r="F11540" s="1"/>
    </row>
    <row r="11541" spans="5:6">
      <c r="E11541" s="1"/>
      <c r="F11541" s="1"/>
    </row>
    <row r="11542" spans="5:6">
      <c r="E11542" s="1"/>
      <c r="F11542" s="1"/>
    </row>
    <row r="11543" spans="5:6">
      <c r="E11543" s="1"/>
      <c r="F11543" s="1"/>
    </row>
    <row r="11544" spans="5:6">
      <c r="E11544" s="1"/>
      <c r="F11544" s="1"/>
    </row>
    <row r="11545" spans="5:6">
      <c r="E11545" s="1"/>
      <c r="F11545" s="1"/>
    </row>
    <row r="11546" spans="5:6">
      <c r="E11546" s="1"/>
      <c r="F11546" s="1"/>
    </row>
    <row r="11547" spans="5:6">
      <c r="E11547" s="1"/>
      <c r="F11547" s="1"/>
    </row>
    <row r="11548" spans="5:6">
      <c r="E11548" s="1"/>
      <c r="F11548" s="1"/>
    </row>
    <row r="11549" spans="5:6">
      <c r="E11549" s="1"/>
      <c r="F11549" s="1"/>
    </row>
    <row r="11550" spans="5:6">
      <c r="E11550" s="1"/>
      <c r="F11550" s="1"/>
    </row>
    <row r="11551" spans="5:6">
      <c r="E11551" s="1"/>
      <c r="F11551" s="1"/>
    </row>
    <row r="11552" spans="5:6">
      <c r="E11552" s="1"/>
      <c r="F11552" s="1"/>
    </row>
    <row r="11553" spans="5:6">
      <c r="E11553" s="1"/>
      <c r="F11553" s="1"/>
    </row>
    <row r="11554" spans="5:6">
      <c r="E11554" s="1"/>
      <c r="F11554" s="1"/>
    </row>
    <row r="11555" spans="5:6">
      <c r="E11555" s="1"/>
      <c r="F11555" s="1"/>
    </row>
    <row r="11556" spans="5:6">
      <c r="E11556" s="1"/>
      <c r="F11556" s="1"/>
    </row>
    <row r="11557" spans="5:6">
      <c r="E11557" s="1"/>
      <c r="F11557" s="1"/>
    </row>
    <row r="11558" spans="5:6">
      <c r="E11558" s="1"/>
      <c r="F11558" s="1"/>
    </row>
    <row r="11559" spans="5:6">
      <c r="E11559" s="1"/>
      <c r="F11559" s="1"/>
    </row>
    <row r="11560" spans="5:6">
      <c r="E11560" s="1"/>
      <c r="F11560" s="1"/>
    </row>
    <row r="11561" spans="5:6">
      <c r="E11561" s="1"/>
      <c r="F11561" s="1"/>
    </row>
    <row r="11562" spans="5:6">
      <c r="E11562" s="1"/>
      <c r="F11562" s="1"/>
    </row>
    <row r="11563" spans="5:6">
      <c r="E11563" s="1"/>
      <c r="F11563" s="1"/>
    </row>
    <row r="11564" spans="5:6">
      <c r="E11564" s="1"/>
      <c r="F11564" s="1"/>
    </row>
    <row r="11565" spans="5:6">
      <c r="E11565" s="1"/>
      <c r="F11565" s="1"/>
    </row>
    <row r="11566" spans="5:6">
      <c r="E11566" s="1"/>
      <c r="F11566" s="1"/>
    </row>
    <row r="11567" spans="5:6">
      <c r="E11567" s="1"/>
      <c r="F11567" s="1"/>
    </row>
    <row r="11568" spans="5:6">
      <c r="E11568" s="1"/>
      <c r="F11568" s="1"/>
    </row>
    <row r="11569" spans="5:6">
      <c r="E11569" s="1"/>
      <c r="F11569" s="1"/>
    </row>
    <row r="11570" spans="5:6">
      <c r="E11570" s="1"/>
      <c r="F11570" s="1"/>
    </row>
    <row r="11571" spans="5:6">
      <c r="E11571" s="1"/>
      <c r="F11571" s="1"/>
    </row>
    <row r="11572" spans="5:6">
      <c r="E11572" s="1"/>
      <c r="F11572" s="1"/>
    </row>
    <row r="11573" spans="5:6">
      <c r="E11573" s="1"/>
      <c r="F11573" s="1"/>
    </row>
    <row r="11574" spans="5:6">
      <c r="E11574" s="1"/>
      <c r="F11574" s="1"/>
    </row>
    <row r="11575" spans="5:6">
      <c r="E11575" s="1"/>
      <c r="F11575" s="1"/>
    </row>
    <row r="11576" spans="5:6">
      <c r="E11576" s="1"/>
      <c r="F11576" s="1"/>
    </row>
    <row r="11577" spans="5:6">
      <c r="E11577" s="1"/>
      <c r="F11577" s="1"/>
    </row>
    <row r="11578" spans="5:6">
      <c r="E11578" s="1"/>
      <c r="F11578" s="1"/>
    </row>
    <row r="11579" spans="5:6">
      <c r="E11579" s="1"/>
      <c r="F11579" s="1"/>
    </row>
    <row r="11580" spans="5:6">
      <c r="E11580" s="1"/>
      <c r="F11580" s="1"/>
    </row>
    <row r="11581" spans="5:6">
      <c r="E11581" s="1"/>
      <c r="F11581" s="1"/>
    </row>
    <row r="11582" spans="5:6">
      <c r="E11582" s="1"/>
      <c r="F11582" s="1"/>
    </row>
    <row r="11583" spans="5:6">
      <c r="E11583" s="1"/>
      <c r="F11583" s="1"/>
    </row>
    <row r="11584" spans="5:6">
      <c r="E11584" s="1"/>
      <c r="F11584" s="1"/>
    </row>
    <row r="11585" spans="5:6">
      <c r="E11585" s="1"/>
      <c r="F11585" s="1"/>
    </row>
    <row r="11586" spans="5:6">
      <c r="E11586" s="1"/>
      <c r="F11586" s="1"/>
    </row>
    <row r="11587" spans="5:6">
      <c r="E11587" s="1"/>
      <c r="F11587" s="1"/>
    </row>
    <row r="11588" spans="5:6">
      <c r="E11588" s="1"/>
      <c r="F11588" s="1"/>
    </row>
    <row r="11589" spans="5:6">
      <c r="E11589" s="1"/>
      <c r="F11589" s="1"/>
    </row>
    <row r="11590" spans="5:6">
      <c r="E11590" s="1"/>
      <c r="F11590" s="1"/>
    </row>
    <row r="11591" spans="5:6">
      <c r="E11591" s="1"/>
      <c r="F11591" s="1"/>
    </row>
    <row r="11592" spans="5:6">
      <c r="E11592" s="1"/>
      <c r="F11592" s="1"/>
    </row>
    <row r="11593" spans="5:6">
      <c r="E11593" s="1"/>
      <c r="F11593" s="1"/>
    </row>
    <row r="11594" spans="5:6">
      <c r="E11594" s="1"/>
      <c r="F11594" s="1"/>
    </row>
    <row r="11595" spans="5:6">
      <c r="E11595" s="1"/>
      <c r="F11595" s="1"/>
    </row>
    <row r="11596" spans="5:6">
      <c r="E11596" s="1"/>
      <c r="F11596" s="1"/>
    </row>
    <row r="11597" spans="5:6">
      <c r="E11597" s="1"/>
      <c r="F11597" s="1"/>
    </row>
    <row r="11598" spans="5:6">
      <c r="E11598" s="1"/>
      <c r="F11598" s="1"/>
    </row>
    <row r="11599" spans="5:6">
      <c r="E11599" s="1"/>
      <c r="F11599" s="1"/>
    </row>
    <row r="11600" spans="5:6">
      <c r="E11600" s="1"/>
      <c r="F11600" s="1"/>
    </row>
    <row r="11601" spans="5:6">
      <c r="E11601" s="1"/>
      <c r="F11601" s="1"/>
    </row>
    <row r="11602" spans="5:6">
      <c r="E11602" s="1"/>
      <c r="F11602" s="1"/>
    </row>
    <row r="11603" spans="5:6">
      <c r="E11603" s="1"/>
      <c r="F11603" s="1"/>
    </row>
    <row r="11604" spans="5:6">
      <c r="E11604" s="1"/>
      <c r="F11604" s="1"/>
    </row>
    <row r="11605" spans="5:6">
      <c r="E11605" s="1"/>
      <c r="F11605" s="1"/>
    </row>
    <row r="11606" spans="5:6">
      <c r="E11606" s="1"/>
      <c r="F11606" s="1"/>
    </row>
    <row r="11607" spans="5:6">
      <c r="E11607" s="1"/>
      <c r="F11607" s="1"/>
    </row>
    <row r="11608" spans="5:6">
      <c r="E11608" s="1"/>
      <c r="F11608" s="1"/>
    </row>
    <row r="11609" spans="5:6">
      <c r="E11609" s="1"/>
      <c r="F11609" s="1"/>
    </row>
    <row r="11610" spans="5:6">
      <c r="E11610" s="1"/>
      <c r="F11610" s="1"/>
    </row>
    <row r="11611" spans="5:6">
      <c r="E11611" s="1"/>
      <c r="F11611" s="1"/>
    </row>
    <row r="11612" spans="5:6">
      <c r="E11612" s="1"/>
      <c r="F11612" s="1"/>
    </row>
    <row r="11613" spans="5:6">
      <c r="E11613" s="1"/>
      <c r="F11613" s="1"/>
    </row>
    <row r="11614" spans="5:6">
      <c r="E11614" s="1"/>
      <c r="F11614" s="1"/>
    </row>
    <row r="11615" spans="5:6">
      <c r="E11615" s="1"/>
      <c r="F11615" s="1"/>
    </row>
    <row r="11616" spans="5:6">
      <c r="E11616" s="1"/>
      <c r="F11616" s="1"/>
    </row>
    <row r="11617" spans="5:6">
      <c r="E11617" s="1"/>
      <c r="F11617" s="1"/>
    </row>
    <row r="11618" spans="5:6">
      <c r="E11618" s="1"/>
      <c r="F11618" s="1"/>
    </row>
    <row r="11619" spans="5:6">
      <c r="E11619" s="1"/>
      <c r="F11619" s="1"/>
    </row>
    <row r="11620" spans="5:6">
      <c r="E11620" s="1"/>
      <c r="F11620" s="1"/>
    </row>
    <row r="11621" spans="5:6">
      <c r="E11621" s="1"/>
      <c r="F11621" s="1"/>
    </row>
    <row r="11622" spans="5:6">
      <c r="E11622" s="1"/>
      <c r="F11622" s="1"/>
    </row>
    <row r="11623" spans="5:6">
      <c r="E11623" s="1"/>
      <c r="F11623" s="1"/>
    </row>
    <row r="11624" spans="5:6">
      <c r="E11624" s="1"/>
      <c r="F11624" s="1"/>
    </row>
    <row r="11625" spans="5:6">
      <c r="E11625" s="1"/>
      <c r="F11625" s="1"/>
    </row>
    <row r="11626" spans="5:6">
      <c r="E11626" s="1"/>
      <c r="F11626" s="1"/>
    </row>
    <row r="11627" spans="5:6">
      <c r="E11627" s="1"/>
      <c r="F11627" s="1"/>
    </row>
    <row r="11628" spans="5:6">
      <c r="E11628" s="1"/>
      <c r="F11628" s="1"/>
    </row>
    <row r="11629" spans="5:6">
      <c r="E11629" s="1"/>
      <c r="F11629" s="1"/>
    </row>
    <row r="11630" spans="5:6">
      <c r="E11630" s="1"/>
      <c r="F11630" s="1"/>
    </row>
    <row r="11631" spans="5:6">
      <c r="E11631" s="1"/>
      <c r="F11631" s="1"/>
    </row>
    <row r="11632" spans="5:6">
      <c r="E11632" s="1"/>
      <c r="F11632" s="1"/>
    </row>
    <row r="11633" spans="5:6">
      <c r="E11633" s="1"/>
      <c r="F11633" s="1"/>
    </row>
    <row r="11634" spans="5:6">
      <c r="E11634" s="1"/>
      <c r="F11634" s="1"/>
    </row>
    <row r="11635" spans="5:6">
      <c r="E11635" s="1"/>
      <c r="F11635" s="1"/>
    </row>
    <row r="11636" spans="5:6">
      <c r="E11636" s="1"/>
      <c r="F11636" s="1"/>
    </row>
    <row r="11637" spans="5:6">
      <c r="E11637" s="1"/>
      <c r="F11637" s="1"/>
    </row>
    <row r="11638" spans="5:6">
      <c r="E11638" s="1"/>
      <c r="F11638" s="1"/>
    </row>
    <row r="11639" spans="5:6">
      <c r="E11639" s="1"/>
      <c r="F11639" s="1"/>
    </row>
    <row r="11640" spans="5:6">
      <c r="E11640" s="1"/>
      <c r="F11640" s="1"/>
    </row>
    <row r="11641" spans="5:6">
      <c r="E11641" s="1"/>
      <c r="F11641" s="1"/>
    </row>
    <row r="11642" spans="5:6">
      <c r="E11642" s="1"/>
      <c r="F11642" s="1"/>
    </row>
    <row r="11643" spans="5:6">
      <c r="E11643" s="1"/>
      <c r="F11643" s="1"/>
    </row>
    <row r="11644" spans="5:6">
      <c r="E11644" s="1"/>
      <c r="F11644" s="1"/>
    </row>
    <row r="11645" spans="5:6">
      <c r="E11645" s="1"/>
      <c r="F11645" s="1"/>
    </row>
    <row r="11646" spans="5:6">
      <c r="E11646" s="1"/>
      <c r="F11646" s="1"/>
    </row>
    <row r="11647" spans="5:6">
      <c r="E11647" s="1"/>
      <c r="F11647" s="1"/>
    </row>
    <row r="11648" spans="5:6">
      <c r="E11648" s="1"/>
      <c r="F11648" s="1"/>
    </row>
    <row r="11649" spans="5:6">
      <c r="E11649" s="1"/>
      <c r="F11649" s="1"/>
    </row>
    <row r="11650" spans="5:6">
      <c r="E11650" s="1"/>
      <c r="F11650" s="1"/>
    </row>
    <row r="11651" spans="5:6">
      <c r="E11651" s="1"/>
      <c r="F11651" s="1"/>
    </row>
    <row r="11652" spans="5:6">
      <c r="E11652" s="1"/>
      <c r="F11652" s="1"/>
    </row>
    <row r="11653" spans="5:6">
      <c r="E11653" s="1"/>
      <c r="F11653" s="1"/>
    </row>
    <row r="11654" spans="5:6">
      <c r="E11654" s="1"/>
      <c r="F11654" s="1"/>
    </row>
    <row r="11655" spans="5:6">
      <c r="E11655" s="1"/>
      <c r="F11655" s="1"/>
    </row>
    <row r="11656" spans="5:6">
      <c r="E11656" s="1"/>
      <c r="F11656" s="1"/>
    </row>
    <row r="11657" spans="5:6">
      <c r="E11657" s="1"/>
      <c r="F11657" s="1"/>
    </row>
    <row r="11658" spans="5:6">
      <c r="E11658" s="1"/>
      <c r="F11658" s="1"/>
    </row>
    <row r="11659" spans="5:6">
      <c r="E11659" s="1"/>
      <c r="F11659" s="1"/>
    </row>
    <row r="11660" spans="5:6">
      <c r="E11660" s="1"/>
      <c r="F11660" s="1"/>
    </row>
    <row r="11661" spans="5:6">
      <c r="E11661" s="1"/>
      <c r="F11661" s="1"/>
    </row>
    <row r="11662" spans="5:6">
      <c r="E11662" s="1"/>
      <c r="F11662" s="1"/>
    </row>
    <row r="11663" spans="5:6">
      <c r="E11663" s="1"/>
      <c r="F11663" s="1"/>
    </row>
    <row r="11664" spans="5:6">
      <c r="E11664" s="1"/>
      <c r="F11664" s="1"/>
    </row>
    <row r="11665" spans="5:6">
      <c r="E11665" s="1"/>
      <c r="F11665" s="1"/>
    </row>
    <row r="11666" spans="5:6">
      <c r="E11666" s="1"/>
      <c r="F11666" s="1"/>
    </row>
    <row r="11667" spans="5:6">
      <c r="E11667" s="1"/>
      <c r="F11667" s="1"/>
    </row>
    <row r="11668" spans="5:6">
      <c r="E11668" s="1"/>
      <c r="F11668" s="1"/>
    </row>
    <row r="11669" spans="5:6">
      <c r="E11669" s="1"/>
      <c r="F11669" s="1"/>
    </row>
    <row r="11670" spans="5:6">
      <c r="E11670" s="1"/>
      <c r="F11670" s="1"/>
    </row>
    <row r="11671" spans="5:6">
      <c r="E11671" s="1"/>
      <c r="F11671" s="1"/>
    </row>
    <row r="11672" spans="5:6">
      <c r="E11672" s="1"/>
      <c r="F11672" s="1"/>
    </row>
    <row r="11673" spans="5:6">
      <c r="E11673" s="1"/>
      <c r="F11673" s="1"/>
    </row>
    <row r="11674" spans="5:6">
      <c r="E11674" s="1"/>
      <c r="F11674" s="1"/>
    </row>
    <row r="11675" spans="5:6">
      <c r="E11675" s="1"/>
      <c r="F11675" s="1"/>
    </row>
    <row r="11676" spans="5:6">
      <c r="E11676" s="1"/>
      <c r="F11676" s="1"/>
    </row>
    <row r="11677" spans="5:6">
      <c r="E11677" s="1"/>
      <c r="F11677" s="1"/>
    </row>
    <row r="11678" spans="5:6">
      <c r="E11678" s="1"/>
      <c r="F11678" s="1"/>
    </row>
    <row r="11679" spans="5:6">
      <c r="E11679" s="1"/>
      <c r="F11679" s="1"/>
    </row>
    <row r="11680" spans="5:6">
      <c r="E11680" s="1"/>
      <c r="F11680" s="1"/>
    </row>
    <row r="11681" spans="5:6">
      <c r="E11681" s="1"/>
      <c r="F11681" s="1"/>
    </row>
    <row r="11682" spans="5:6">
      <c r="E11682" s="1"/>
      <c r="F11682" s="1"/>
    </row>
    <row r="11683" spans="5:6">
      <c r="E11683" s="1"/>
      <c r="F11683" s="1"/>
    </row>
    <row r="11684" spans="5:6">
      <c r="E11684" s="1"/>
      <c r="F11684" s="1"/>
    </row>
    <row r="11685" spans="5:6">
      <c r="E11685" s="1"/>
      <c r="F11685" s="1"/>
    </row>
    <row r="11686" spans="5:6">
      <c r="E11686" s="1"/>
      <c r="F11686" s="1"/>
    </row>
    <row r="11687" spans="5:6">
      <c r="E11687" s="1"/>
      <c r="F11687" s="1"/>
    </row>
    <row r="11688" spans="5:6">
      <c r="E11688" s="1"/>
      <c r="F11688" s="1"/>
    </row>
    <row r="11689" spans="5:6">
      <c r="E11689" s="1"/>
      <c r="F11689" s="1"/>
    </row>
    <row r="11690" spans="5:6">
      <c r="E11690" s="1"/>
      <c r="F11690" s="1"/>
    </row>
    <row r="11691" spans="5:6">
      <c r="E11691" s="1"/>
      <c r="F11691" s="1"/>
    </row>
    <row r="11692" spans="5:6">
      <c r="E11692" s="1"/>
      <c r="F11692" s="1"/>
    </row>
    <row r="11693" spans="5:6">
      <c r="E11693" s="1"/>
      <c r="F11693" s="1"/>
    </row>
    <row r="11694" spans="5:6">
      <c r="E11694" s="1"/>
      <c r="F11694" s="1"/>
    </row>
    <row r="11695" spans="5:6">
      <c r="E11695" s="1"/>
      <c r="F11695" s="1"/>
    </row>
    <row r="11696" spans="5:6">
      <c r="E11696" s="1"/>
      <c r="F11696" s="1"/>
    </row>
    <row r="11697" spans="5:6">
      <c r="E11697" s="1"/>
      <c r="F11697" s="1"/>
    </row>
    <row r="11698" spans="5:6">
      <c r="E11698" s="1"/>
      <c r="F11698" s="1"/>
    </row>
    <row r="11699" spans="5:6">
      <c r="E11699" s="1"/>
      <c r="F11699" s="1"/>
    </row>
    <row r="11700" spans="5:6">
      <c r="E11700" s="1"/>
      <c r="F11700" s="1"/>
    </row>
    <row r="11701" spans="5:6">
      <c r="E11701" s="1"/>
      <c r="F11701" s="1"/>
    </row>
    <row r="11702" spans="5:6">
      <c r="E11702" s="1"/>
      <c r="F11702" s="1"/>
    </row>
    <row r="11703" spans="5:6">
      <c r="E11703" s="1"/>
      <c r="F11703" s="1"/>
    </row>
    <row r="11704" spans="5:6">
      <c r="E11704" s="1"/>
      <c r="F11704" s="1"/>
    </row>
    <row r="11705" spans="5:6">
      <c r="E11705" s="1"/>
      <c r="F11705" s="1"/>
    </row>
    <row r="11706" spans="5:6">
      <c r="E11706" s="1"/>
      <c r="F11706" s="1"/>
    </row>
    <row r="11707" spans="5:6">
      <c r="E11707" s="1"/>
      <c r="F11707" s="1"/>
    </row>
    <row r="11708" spans="5:6">
      <c r="E11708" s="1"/>
      <c r="F11708" s="1"/>
    </row>
    <row r="11709" spans="5:6">
      <c r="E11709" s="1"/>
      <c r="F11709" s="1"/>
    </row>
    <row r="11710" spans="5:6">
      <c r="E11710" s="1"/>
      <c r="F11710" s="1"/>
    </row>
    <row r="11711" spans="5:6">
      <c r="E11711" s="1"/>
      <c r="F11711" s="1"/>
    </row>
    <row r="11712" spans="5:6">
      <c r="E11712" s="1"/>
      <c r="F11712" s="1"/>
    </row>
    <row r="11713" spans="5:6">
      <c r="E11713" s="1"/>
      <c r="F11713" s="1"/>
    </row>
    <row r="11714" spans="5:6">
      <c r="E11714" s="1"/>
      <c r="F11714" s="1"/>
    </row>
    <row r="11715" spans="5:6">
      <c r="E11715" s="1"/>
      <c r="F11715" s="1"/>
    </row>
    <row r="11716" spans="5:6">
      <c r="E11716" s="1"/>
      <c r="F11716" s="1"/>
    </row>
    <row r="11717" spans="5:6">
      <c r="E11717" s="1"/>
      <c r="F11717" s="1"/>
    </row>
    <row r="11718" spans="5:6">
      <c r="E11718" s="1"/>
      <c r="F11718" s="1"/>
    </row>
    <row r="11719" spans="5:6">
      <c r="E11719" s="1"/>
      <c r="F11719" s="1"/>
    </row>
    <row r="11720" spans="5:6">
      <c r="E11720" s="1"/>
      <c r="F11720" s="1"/>
    </row>
    <row r="11721" spans="5:6">
      <c r="E11721" s="1"/>
      <c r="F11721" s="1"/>
    </row>
    <row r="11722" spans="5:6">
      <c r="E11722" s="1"/>
      <c r="F11722" s="1"/>
    </row>
    <row r="11723" spans="5:6">
      <c r="E11723" s="1"/>
      <c r="F11723" s="1"/>
    </row>
    <row r="11724" spans="5:6">
      <c r="E11724" s="1"/>
      <c r="F11724" s="1"/>
    </row>
    <row r="11725" spans="5:6">
      <c r="E11725" s="1"/>
      <c r="F11725" s="1"/>
    </row>
    <row r="11726" spans="5:6">
      <c r="E11726" s="1"/>
      <c r="F11726" s="1"/>
    </row>
    <row r="11727" spans="5:6">
      <c r="E11727" s="1"/>
      <c r="F11727" s="1"/>
    </row>
    <row r="11728" spans="5:6">
      <c r="E11728" s="1"/>
      <c r="F11728" s="1"/>
    </row>
    <row r="11729" spans="5:6">
      <c r="E11729" s="1"/>
      <c r="F11729" s="1"/>
    </row>
    <row r="11730" spans="5:6">
      <c r="E11730" s="1"/>
      <c r="F11730" s="1"/>
    </row>
    <row r="11731" spans="5:6">
      <c r="E11731" s="1"/>
      <c r="F11731" s="1"/>
    </row>
    <row r="11732" spans="5:6">
      <c r="E11732" s="1"/>
      <c r="F11732" s="1"/>
    </row>
    <row r="11733" spans="5:6">
      <c r="E11733" s="1"/>
      <c r="F11733" s="1"/>
    </row>
    <row r="11734" spans="5:6">
      <c r="E11734" s="1"/>
      <c r="F11734" s="1"/>
    </row>
    <row r="11735" spans="5:6">
      <c r="E11735" s="1"/>
      <c r="F11735" s="1"/>
    </row>
    <row r="11736" spans="5:6">
      <c r="E11736" s="1"/>
      <c r="F11736" s="1"/>
    </row>
    <row r="11737" spans="5:6">
      <c r="E11737" s="1"/>
      <c r="F11737" s="1"/>
    </row>
    <row r="11738" spans="5:6">
      <c r="E11738" s="1"/>
      <c r="F11738" s="1"/>
    </row>
    <row r="11739" spans="5:6">
      <c r="E11739" s="1"/>
      <c r="F11739" s="1"/>
    </row>
    <row r="11740" spans="5:6">
      <c r="E11740" s="1"/>
      <c r="F11740" s="1"/>
    </row>
    <row r="11741" spans="5:6">
      <c r="E11741" s="1"/>
      <c r="F11741" s="1"/>
    </row>
    <row r="11742" spans="5:6">
      <c r="E11742" s="1"/>
      <c r="F11742" s="1"/>
    </row>
    <row r="11743" spans="5:6">
      <c r="E11743" s="1"/>
      <c r="F11743" s="1"/>
    </row>
    <row r="11744" spans="5:6">
      <c r="E11744" s="1"/>
      <c r="F11744" s="1"/>
    </row>
    <row r="11745" spans="5:6">
      <c r="E11745" s="1"/>
      <c r="F11745" s="1"/>
    </row>
    <row r="11746" spans="5:6">
      <c r="E11746" s="1"/>
      <c r="F11746" s="1"/>
    </row>
    <row r="11747" spans="5:6">
      <c r="E11747" s="1"/>
      <c r="F11747" s="1"/>
    </row>
    <row r="11748" spans="5:6">
      <c r="E11748" s="1"/>
      <c r="F11748" s="1"/>
    </row>
    <row r="11749" spans="5:6">
      <c r="E11749" s="1"/>
      <c r="F11749" s="1"/>
    </row>
    <row r="11750" spans="5:6">
      <c r="E11750" s="1"/>
      <c r="F11750" s="1"/>
    </row>
    <row r="11751" spans="5:6">
      <c r="E11751" s="1"/>
      <c r="F11751" s="1"/>
    </row>
    <row r="11752" spans="5:6">
      <c r="E11752" s="1"/>
      <c r="F11752" s="1"/>
    </row>
    <row r="11753" spans="5:6">
      <c r="E11753" s="1"/>
      <c r="F11753" s="1"/>
    </row>
    <row r="11754" spans="5:6">
      <c r="E11754" s="1"/>
      <c r="F11754" s="1"/>
    </row>
    <row r="11755" spans="5:6">
      <c r="E11755" s="1"/>
      <c r="F11755" s="1"/>
    </row>
    <row r="11756" spans="5:6">
      <c r="E11756" s="1"/>
      <c r="F11756" s="1"/>
    </row>
    <row r="11757" spans="5:6">
      <c r="E11757" s="1"/>
      <c r="F11757" s="1"/>
    </row>
    <row r="11758" spans="5:6">
      <c r="E11758" s="1"/>
      <c r="F11758" s="1"/>
    </row>
    <row r="11759" spans="5:6">
      <c r="E11759" s="1"/>
      <c r="F11759" s="1"/>
    </row>
    <row r="11760" spans="5:6">
      <c r="E11760" s="1"/>
      <c r="F11760" s="1"/>
    </row>
    <row r="11761" spans="5:6">
      <c r="E11761" s="1"/>
      <c r="F11761" s="1"/>
    </row>
    <row r="11762" spans="5:6">
      <c r="E11762" s="1"/>
      <c r="F11762" s="1"/>
    </row>
    <row r="11763" spans="5:6">
      <c r="E11763" s="1"/>
      <c r="F11763" s="1"/>
    </row>
    <row r="11764" spans="5:6">
      <c r="E11764" s="1"/>
      <c r="F11764" s="1"/>
    </row>
    <row r="11765" spans="5:6">
      <c r="E11765" s="1"/>
      <c r="F11765" s="1"/>
    </row>
    <row r="11766" spans="5:6">
      <c r="E11766" s="1"/>
      <c r="F11766" s="1"/>
    </row>
    <row r="11767" spans="5:6">
      <c r="E11767" s="1"/>
      <c r="F11767" s="1"/>
    </row>
    <row r="11768" spans="5:6">
      <c r="E11768" s="1"/>
      <c r="F11768" s="1"/>
    </row>
    <row r="11769" spans="5:6">
      <c r="E11769" s="1"/>
      <c r="F11769" s="1"/>
    </row>
    <row r="11770" spans="5:6">
      <c r="E11770" s="1"/>
      <c r="F11770" s="1"/>
    </row>
    <row r="11771" spans="5:6">
      <c r="E11771" s="1"/>
      <c r="F11771" s="1"/>
    </row>
    <row r="11772" spans="5:6">
      <c r="E11772" s="1"/>
      <c r="F11772" s="1"/>
    </row>
    <row r="11773" spans="5:6">
      <c r="E11773" s="1"/>
      <c r="F11773" s="1"/>
    </row>
    <row r="11774" spans="5:6">
      <c r="E11774" s="1"/>
      <c r="F11774" s="1"/>
    </row>
    <row r="11775" spans="5:6">
      <c r="E11775" s="1"/>
      <c r="F11775" s="1"/>
    </row>
    <row r="11776" spans="5:6">
      <c r="E11776" s="1"/>
      <c r="F11776" s="1"/>
    </row>
    <row r="11777" spans="5:6">
      <c r="E11777" s="1"/>
      <c r="F11777" s="1"/>
    </row>
    <row r="11778" spans="5:6">
      <c r="E11778" s="1"/>
      <c r="F11778" s="1"/>
    </row>
    <row r="11779" spans="5:6">
      <c r="E11779" s="1"/>
      <c r="F11779" s="1"/>
    </row>
    <row r="11780" spans="5:6">
      <c r="E11780" s="1"/>
      <c r="F11780" s="1"/>
    </row>
    <row r="11781" spans="5:6">
      <c r="E11781" s="1"/>
      <c r="F11781" s="1"/>
    </row>
    <row r="11782" spans="5:6">
      <c r="E11782" s="1"/>
      <c r="F11782" s="1"/>
    </row>
    <row r="11783" spans="5:6">
      <c r="E11783" s="1"/>
      <c r="F11783" s="1"/>
    </row>
    <row r="11784" spans="5:6">
      <c r="E11784" s="1"/>
      <c r="F11784" s="1"/>
    </row>
    <row r="11785" spans="5:6">
      <c r="E11785" s="1"/>
      <c r="F11785" s="1"/>
    </row>
    <row r="11786" spans="5:6">
      <c r="E11786" s="1"/>
      <c r="F11786" s="1"/>
    </row>
    <row r="11787" spans="5:6">
      <c r="E11787" s="1"/>
      <c r="F11787" s="1"/>
    </row>
    <row r="11788" spans="5:6">
      <c r="E11788" s="1"/>
      <c r="F11788" s="1"/>
    </row>
    <row r="11789" spans="5:6">
      <c r="E11789" s="1"/>
      <c r="F11789" s="1"/>
    </row>
    <row r="11790" spans="5:6">
      <c r="E11790" s="1"/>
      <c r="F11790" s="1"/>
    </row>
    <row r="11791" spans="5:6">
      <c r="E11791" s="1"/>
      <c r="F11791" s="1"/>
    </row>
    <row r="11792" spans="5:6">
      <c r="E11792" s="1"/>
      <c r="F11792" s="1"/>
    </row>
    <row r="11793" spans="5:6">
      <c r="E11793" s="1"/>
      <c r="F11793" s="1"/>
    </row>
    <row r="11794" spans="5:6">
      <c r="E11794" s="1"/>
      <c r="F11794" s="1"/>
    </row>
    <row r="11795" spans="5:6">
      <c r="E11795" s="1"/>
      <c r="F11795" s="1"/>
    </row>
    <row r="11796" spans="5:6">
      <c r="E11796" s="1"/>
      <c r="F11796" s="1"/>
    </row>
    <row r="11797" spans="5:6">
      <c r="E11797" s="1"/>
      <c r="F11797" s="1"/>
    </row>
    <row r="11798" spans="5:6">
      <c r="E11798" s="1"/>
      <c r="F11798" s="1"/>
    </row>
    <row r="11799" spans="5:6">
      <c r="E11799" s="1"/>
      <c r="F11799" s="1"/>
    </row>
    <row r="11800" spans="5:6">
      <c r="E11800" s="1"/>
      <c r="F11800" s="1"/>
    </row>
    <row r="11801" spans="5:6">
      <c r="E11801" s="1"/>
      <c r="F11801" s="1"/>
    </row>
    <row r="11802" spans="5:6">
      <c r="E11802" s="1"/>
      <c r="F11802" s="1"/>
    </row>
    <row r="11803" spans="5:6">
      <c r="E11803" s="1"/>
      <c r="F11803" s="1"/>
    </row>
    <row r="11804" spans="5:6">
      <c r="E11804" s="1"/>
      <c r="F11804" s="1"/>
    </row>
    <row r="11805" spans="5:6">
      <c r="E11805" s="1"/>
      <c r="F11805" s="1"/>
    </row>
    <row r="11806" spans="5:6">
      <c r="E11806" s="1"/>
      <c r="F11806" s="1"/>
    </row>
    <row r="11807" spans="5:6">
      <c r="E11807" s="1"/>
      <c r="F11807" s="1"/>
    </row>
    <row r="11808" spans="5:6">
      <c r="E11808" s="1"/>
      <c r="F11808" s="1"/>
    </row>
    <row r="11809" spans="5:6">
      <c r="E11809" s="1"/>
      <c r="F11809" s="1"/>
    </row>
    <row r="11810" spans="5:6">
      <c r="E11810" s="1"/>
      <c r="F11810" s="1"/>
    </row>
    <row r="11811" spans="5:6">
      <c r="E11811" s="1"/>
      <c r="F11811" s="1"/>
    </row>
    <row r="11812" spans="5:6">
      <c r="E11812" s="1"/>
      <c r="F11812" s="1"/>
    </row>
    <row r="11813" spans="5:6">
      <c r="E11813" s="1"/>
      <c r="F11813" s="1"/>
    </row>
    <row r="11814" spans="5:6">
      <c r="E11814" s="1"/>
      <c r="F11814" s="1"/>
    </row>
    <row r="11815" spans="5:6">
      <c r="E11815" s="1"/>
      <c r="F11815" s="1"/>
    </row>
    <row r="11816" spans="5:6">
      <c r="E11816" s="1"/>
      <c r="F11816" s="1"/>
    </row>
    <row r="11817" spans="5:6">
      <c r="E11817" s="1"/>
      <c r="F11817" s="1"/>
    </row>
    <row r="11818" spans="5:6">
      <c r="E11818" s="1"/>
      <c r="F11818" s="1"/>
    </row>
    <row r="11819" spans="5:6">
      <c r="E11819" s="1"/>
      <c r="F11819" s="1"/>
    </row>
    <row r="11820" spans="5:6">
      <c r="E11820" s="1"/>
      <c r="F11820" s="1"/>
    </row>
    <row r="11821" spans="5:6">
      <c r="E11821" s="1"/>
      <c r="F11821" s="1"/>
    </row>
    <row r="11822" spans="5:6">
      <c r="E11822" s="1"/>
      <c r="F11822" s="1"/>
    </row>
    <row r="11823" spans="5:6">
      <c r="E11823" s="1"/>
      <c r="F11823" s="1"/>
    </row>
    <row r="11824" spans="5:6">
      <c r="E11824" s="1"/>
      <c r="F11824" s="1"/>
    </row>
    <row r="11825" spans="5:6">
      <c r="E11825" s="1"/>
      <c r="F11825" s="1"/>
    </row>
    <row r="11826" spans="5:6">
      <c r="E11826" s="1"/>
      <c r="F11826" s="1"/>
    </row>
    <row r="11827" spans="5:6">
      <c r="E11827" s="1"/>
      <c r="F11827" s="1"/>
    </row>
    <row r="11828" spans="5:6">
      <c r="E11828" s="1"/>
      <c r="F11828" s="1"/>
    </row>
    <row r="11829" spans="5:6">
      <c r="E11829" s="1"/>
      <c r="F11829" s="1"/>
    </row>
    <row r="11830" spans="5:6">
      <c r="E11830" s="1"/>
      <c r="F11830" s="1"/>
    </row>
    <row r="11831" spans="5:6">
      <c r="E11831" s="1"/>
      <c r="F11831" s="1"/>
    </row>
    <row r="11832" spans="5:6">
      <c r="E11832" s="1"/>
      <c r="F11832" s="1"/>
    </row>
    <row r="11833" spans="5:6">
      <c r="E11833" s="1"/>
      <c r="F11833" s="1"/>
    </row>
    <row r="11834" spans="5:6">
      <c r="E11834" s="1"/>
      <c r="F11834" s="1"/>
    </row>
    <row r="11835" spans="5:6">
      <c r="E11835" s="1"/>
      <c r="F11835" s="1"/>
    </row>
    <row r="11836" spans="5:6">
      <c r="E11836" s="1"/>
      <c r="F11836" s="1"/>
    </row>
    <row r="11837" spans="5:6">
      <c r="E11837" s="1"/>
      <c r="F11837" s="1"/>
    </row>
    <row r="11838" spans="5:6">
      <c r="E11838" s="1"/>
      <c r="F11838" s="1"/>
    </row>
    <row r="11839" spans="5:6">
      <c r="E11839" s="1"/>
      <c r="F11839" s="1"/>
    </row>
    <row r="11840" spans="5:6">
      <c r="E11840" s="1"/>
      <c r="F11840" s="1"/>
    </row>
    <row r="11841" spans="5:6">
      <c r="E11841" s="1"/>
      <c r="F11841" s="1"/>
    </row>
    <row r="11842" spans="5:6">
      <c r="E11842" s="1"/>
      <c r="F11842" s="1"/>
    </row>
    <row r="11843" spans="5:6">
      <c r="E11843" s="1"/>
      <c r="F11843" s="1"/>
    </row>
    <row r="11844" spans="5:6">
      <c r="E11844" s="1"/>
      <c r="F11844" s="1"/>
    </row>
    <row r="11845" spans="5:6">
      <c r="E11845" s="1"/>
      <c r="F11845" s="1"/>
    </row>
    <row r="11846" spans="5:6">
      <c r="E11846" s="1"/>
      <c r="F11846" s="1"/>
    </row>
    <row r="11847" spans="5:6">
      <c r="E11847" s="1"/>
      <c r="F11847" s="1"/>
    </row>
    <row r="11848" spans="5:6">
      <c r="E11848" s="1"/>
      <c r="F11848" s="1"/>
    </row>
    <row r="11849" spans="5:6">
      <c r="E11849" s="1"/>
      <c r="F11849" s="1"/>
    </row>
    <row r="11850" spans="5:6">
      <c r="E11850" s="1"/>
      <c r="F11850" s="1"/>
    </row>
    <row r="11851" spans="5:6">
      <c r="E11851" s="1"/>
      <c r="F11851" s="1"/>
    </row>
    <row r="11852" spans="5:6">
      <c r="E11852" s="1"/>
      <c r="F11852" s="1"/>
    </row>
    <row r="11853" spans="5:6">
      <c r="E11853" s="1"/>
      <c r="F11853" s="1"/>
    </row>
    <row r="11854" spans="5:6">
      <c r="E11854" s="1"/>
      <c r="F11854" s="1"/>
    </row>
    <row r="11855" spans="5:6">
      <c r="E11855" s="1"/>
      <c r="F11855" s="1"/>
    </row>
    <row r="11856" spans="5:6">
      <c r="E11856" s="1"/>
      <c r="F11856" s="1"/>
    </row>
    <row r="11857" spans="5:6">
      <c r="E11857" s="1"/>
      <c r="F11857" s="1"/>
    </row>
    <row r="11858" spans="5:6">
      <c r="E11858" s="1"/>
      <c r="F11858" s="1"/>
    </row>
    <row r="11859" spans="5:6">
      <c r="E11859" s="1"/>
      <c r="F11859" s="1"/>
    </row>
    <row r="11860" spans="5:6">
      <c r="E11860" s="1"/>
      <c r="F11860" s="1"/>
    </row>
    <row r="11861" spans="5:6">
      <c r="E11861" s="1"/>
      <c r="F11861" s="1"/>
    </row>
    <row r="11862" spans="5:6">
      <c r="E11862" s="1"/>
      <c r="F11862" s="1"/>
    </row>
    <row r="11863" spans="5:6">
      <c r="E11863" s="1"/>
      <c r="F11863" s="1"/>
    </row>
    <row r="11864" spans="5:6">
      <c r="E11864" s="1"/>
      <c r="F11864" s="1"/>
    </row>
    <row r="11865" spans="5:6">
      <c r="E11865" s="1"/>
      <c r="F11865" s="1"/>
    </row>
    <row r="11866" spans="5:6">
      <c r="E11866" s="1"/>
      <c r="F11866" s="1"/>
    </row>
    <row r="11867" spans="5:6">
      <c r="E11867" s="1"/>
      <c r="F11867" s="1"/>
    </row>
    <row r="11868" spans="5:6">
      <c r="E11868" s="1"/>
      <c r="F11868" s="1"/>
    </row>
    <row r="11869" spans="5:6">
      <c r="E11869" s="1"/>
      <c r="F11869" s="1"/>
    </row>
    <row r="11870" spans="5:6">
      <c r="E11870" s="1"/>
      <c r="F11870" s="1"/>
    </row>
    <row r="11871" spans="5:6">
      <c r="E11871" s="1"/>
      <c r="F11871" s="1"/>
    </row>
    <row r="11872" spans="5:6">
      <c r="E11872" s="1"/>
      <c r="F11872" s="1"/>
    </row>
    <row r="11873" spans="5:6">
      <c r="E11873" s="1"/>
      <c r="F11873" s="1"/>
    </row>
    <row r="11874" spans="5:6">
      <c r="E11874" s="1"/>
      <c r="F11874" s="1"/>
    </row>
    <row r="11875" spans="5:6">
      <c r="E11875" s="1"/>
      <c r="F11875" s="1"/>
    </row>
    <row r="11876" spans="5:6">
      <c r="E11876" s="1"/>
      <c r="F11876" s="1"/>
    </row>
    <row r="11877" spans="5:6">
      <c r="E11877" s="1"/>
      <c r="F11877" s="1"/>
    </row>
    <row r="11878" spans="5:6">
      <c r="E11878" s="1"/>
      <c r="F11878" s="1"/>
    </row>
    <row r="11879" spans="5:6">
      <c r="E11879" s="1"/>
      <c r="F11879" s="1"/>
    </row>
    <row r="11880" spans="5:6">
      <c r="E11880" s="1"/>
      <c r="F11880" s="1"/>
    </row>
    <row r="11881" spans="5:6">
      <c r="E11881" s="1"/>
      <c r="F11881" s="1"/>
    </row>
    <row r="11882" spans="5:6">
      <c r="E11882" s="1"/>
      <c r="F11882" s="1"/>
    </row>
    <row r="11883" spans="5:6">
      <c r="E11883" s="1"/>
      <c r="F11883" s="1"/>
    </row>
    <row r="11884" spans="5:6">
      <c r="E11884" s="1"/>
      <c r="F11884" s="1"/>
    </row>
    <row r="11885" spans="5:6">
      <c r="E11885" s="1"/>
      <c r="F11885" s="1"/>
    </row>
    <row r="11886" spans="5:6">
      <c r="E11886" s="1"/>
      <c r="F11886" s="1"/>
    </row>
    <row r="11887" spans="5:6">
      <c r="E11887" s="1"/>
      <c r="F11887" s="1"/>
    </row>
    <row r="11888" spans="5:6">
      <c r="E11888" s="1"/>
      <c r="F11888" s="1"/>
    </row>
    <row r="11889" spans="5:6">
      <c r="E11889" s="1"/>
      <c r="F11889" s="1"/>
    </row>
    <row r="11890" spans="5:6">
      <c r="E11890" s="1"/>
      <c r="F11890" s="1"/>
    </row>
    <row r="11891" spans="5:6">
      <c r="E11891" s="1"/>
      <c r="F11891" s="1"/>
    </row>
    <row r="11892" spans="5:6">
      <c r="E11892" s="1"/>
      <c r="F11892" s="1"/>
    </row>
    <row r="11893" spans="5:6">
      <c r="E11893" s="1"/>
      <c r="F11893" s="1"/>
    </row>
    <row r="11894" spans="5:6">
      <c r="E11894" s="1"/>
      <c r="F11894" s="1"/>
    </row>
    <row r="11895" spans="5:6">
      <c r="E11895" s="1"/>
      <c r="F11895" s="1"/>
    </row>
    <row r="11896" spans="5:6">
      <c r="E11896" s="1"/>
      <c r="F11896" s="1"/>
    </row>
    <row r="11897" spans="5:6">
      <c r="E11897" s="1"/>
      <c r="F11897" s="1"/>
    </row>
    <row r="11898" spans="5:6">
      <c r="E11898" s="1"/>
      <c r="F11898" s="1"/>
    </row>
    <row r="11899" spans="5:6">
      <c r="E11899" s="1"/>
      <c r="F11899" s="1"/>
    </row>
    <row r="11900" spans="5:6">
      <c r="E11900" s="1"/>
      <c r="F11900" s="1"/>
    </row>
    <row r="11901" spans="5:6">
      <c r="E11901" s="1"/>
      <c r="F11901" s="1"/>
    </row>
    <row r="11902" spans="5:6">
      <c r="E11902" s="1"/>
      <c r="F11902" s="1"/>
    </row>
    <row r="11903" spans="5:6">
      <c r="E11903" s="1"/>
      <c r="F11903" s="1"/>
    </row>
    <row r="11904" spans="5:6">
      <c r="E11904" s="1"/>
      <c r="F11904" s="1"/>
    </row>
    <row r="11905" spans="5:6">
      <c r="E11905" s="1"/>
      <c r="F11905" s="1"/>
    </row>
    <row r="11906" spans="5:6">
      <c r="E11906" s="1"/>
      <c r="F11906" s="1"/>
    </row>
    <row r="11907" spans="5:6">
      <c r="E11907" s="1"/>
      <c r="F11907" s="1"/>
    </row>
    <row r="11908" spans="5:6">
      <c r="E11908" s="1"/>
      <c r="F11908" s="1"/>
    </row>
    <row r="11909" spans="5:6">
      <c r="E11909" s="1"/>
      <c r="F11909" s="1"/>
    </row>
    <row r="11910" spans="5:6">
      <c r="E11910" s="1"/>
      <c r="F11910" s="1"/>
    </row>
    <row r="11911" spans="5:6">
      <c r="E11911" s="1"/>
      <c r="F11911" s="1"/>
    </row>
    <row r="11912" spans="5:6">
      <c r="E11912" s="1"/>
      <c r="F11912" s="1"/>
    </row>
    <row r="11913" spans="5:6">
      <c r="E11913" s="1"/>
      <c r="F11913" s="1"/>
    </row>
    <row r="11914" spans="5:6">
      <c r="E11914" s="1"/>
      <c r="F11914" s="1"/>
    </row>
    <row r="11915" spans="5:6">
      <c r="E11915" s="1"/>
      <c r="F11915" s="1"/>
    </row>
    <row r="11916" spans="5:6">
      <c r="E11916" s="1"/>
      <c r="F11916" s="1"/>
    </row>
    <row r="11917" spans="5:6">
      <c r="E11917" s="1"/>
      <c r="F11917" s="1"/>
    </row>
    <row r="11918" spans="5:6">
      <c r="E11918" s="1"/>
      <c r="F11918" s="1"/>
    </row>
    <row r="11919" spans="5:6">
      <c r="E11919" s="1"/>
      <c r="F11919" s="1"/>
    </row>
    <row r="11920" spans="5:6">
      <c r="E11920" s="1"/>
      <c r="F11920" s="1"/>
    </row>
    <row r="11921" spans="5:6">
      <c r="E11921" s="1"/>
      <c r="F11921" s="1"/>
    </row>
    <row r="11922" spans="5:6">
      <c r="E11922" s="1"/>
      <c r="F11922" s="1"/>
    </row>
    <row r="11923" spans="5:6">
      <c r="E11923" s="1"/>
      <c r="F11923" s="1"/>
    </row>
    <row r="11924" spans="5:6">
      <c r="E11924" s="1"/>
      <c r="F11924" s="1"/>
    </row>
    <row r="11925" spans="5:6">
      <c r="E11925" s="1"/>
      <c r="F11925" s="1"/>
    </row>
    <row r="11926" spans="5:6">
      <c r="E11926" s="1"/>
      <c r="F11926" s="1"/>
    </row>
    <row r="11927" spans="5:6">
      <c r="E11927" s="1"/>
      <c r="F11927" s="1"/>
    </row>
    <row r="11928" spans="5:6">
      <c r="E11928" s="1"/>
      <c r="F11928" s="1"/>
    </row>
    <row r="11929" spans="5:6">
      <c r="E11929" s="1"/>
      <c r="F11929" s="1"/>
    </row>
    <row r="11930" spans="5:6">
      <c r="E11930" s="1"/>
      <c r="F11930" s="1"/>
    </row>
    <row r="11931" spans="5:6">
      <c r="E11931" s="1"/>
      <c r="F11931" s="1"/>
    </row>
    <row r="11932" spans="5:6">
      <c r="E11932" s="1"/>
      <c r="F11932" s="1"/>
    </row>
    <row r="11933" spans="5:6">
      <c r="E11933" s="1"/>
      <c r="F11933" s="1"/>
    </row>
    <row r="11934" spans="5:6">
      <c r="E11934" s="1"/>
      <c r="F11934" s="1"/>
    </row>
    <row r="11935" spans="5:6">
      <c r="E11935" s="1"/>
      <c r="F11935" s="1"/>
    </row>
    <row r="11936" spans="5:6">
      <c r="E11936" s="1"/>
      <c r="F11936" s="1"/>
    </row>
    <row r="11937" spans="5:6">
      <c r="E11937" s="1"/>
      <c r="F11937" s="1"/>
    </row>
    <row r="11938" spans="5:6">
      <c r="E11938" s="1"/>
      <c r="F11938" s="1"/>
    </row>
    <row r="11939" spans="5:6">
      <c r="E11939" s="1"/>
      <c r="F11939" s="1"/>
    </row>
    <row r="11940" spans="5:6">
      <c r="E11940" s="1"/>
      <c r="F11940" s="1"/>
    </row>
    <row r="11941" spans="5:6">
      <c r="E11941" s="1"/>
      <c r="F11941" s="1"/>
    </row>
    <row r="11942" spans="5:6">
      <c r="E11942" s="1"/>
      <c r="F11942" s="1"/>
    </row>
    <row r="11943" spans="5:6">
      <c r="E11943" s="1"/>
      <c r="F11943" s="1"/>
    </row>
    <row r="11944" spans="5:6">
      <c r="E11944" s="1"/>
      <c r="F11944" s="1"/>
    </row>
    <row r="11945" spans="5:6">
      <c r="E11945" s="1"/>
      <c r="F11945" s="1"/>
    </row>
    <row r="11946" spans="5:6">
      <c r="E11946" s="1"/>
      <c r="F11946" s="1"/>
    </row>
    <row r="11947" spans="5:6">
      <c r="E11947" s="1"/>
      <c r="F11947" s="1"/>
    </row>
    <row r="11948" spans="5:6">
      <c r="E11948" s="1"/>
      <c r="F11948" s="1"/>
    </row>
    <row r="11949" spans="5:6">
      <c r="E11949" s="1"/>
      <c r="F11949" s="1"/>
    </row>
    <row r="11950" spans="5:6">
      <c r="E11950" s="1"/>
      <c r="F11950" s="1"/>
    </row>
    <row r="11951" spans="5:6">
      <c r="E11951" s="1"/>
      <c r="F11951" s="1"/>
    </row>
    <row r="11952" spans="5:6">
      <c r="E11952" s="1"/>
      <c r="F11952" s="1"/>
    </row>
    <row r="11953" spans="5:6">
      <c r="E11953" s="1"/>
      <c r="F11953" s="1"/>
    </row>
    <row r="11954" spans="5:6">
      <c r="E11954" s="1"/>
      <c r="F11954" s="1"/>
    </row>
    <row r="11955" spans="5:6">
      <c r="E11955" s="1"/>
      <c r="F11955" s="1"/>
    </row>
    <row r="11956" spans="5:6">
      <c r="E11956" s="1"/>
      <c r="F11956" s="1"/>
    </row>
    <row r="11957" spans="5:6">
      <c r="E11957" s="1"/>
      <c r="F11957" s="1"/>
    </row>
    <row r="11958" spans="5:6">
      <c r="E11958" s="1"/>
      <c r="F11958" s="1"/>
    </row>
    <row r="11959" spans="5:6">
      <c r="E11959" s="1"/>
      <c r="F11959" s="1"/>
    </row>
    <row r="11960" spans="5:6">
      <c r="E11960" s="1"/>
      <c r="F11960" s="1"/>
    </row>
    <row r="11961" spans="5:6">
      <c r="E11961" s="1"/>
      <c r="F11961" s="1"/>
    </row>
    <row r="11962" spans="5:6">
      <c r="E11962" s="1"/>
      <c r="F11962" s="1"/>
    </row>
    <row r="11963" spans="5:6">
      <c r="E11963" s="1"/>
      <c r="F11963" s="1"/>
    </row>
    <row r="11964" spans="5:6">
      <c r="E11964" s="1"/>
      <c r="F11964" s="1"/>
    </row>
    <row r="11965" spans="5:6">
      <c r="E11965" s="1"/>
      <c r="F11965" s="1"/>
    </row>
    <row r="11966" spans="5:6">
      <c r="E11966" s="1"/>
      <c r="F11966" s="1"/>
    </row>
    <row r="11967" spans="5:6">
      <c r="E11967" s="1"/>
      <c r="F11967" s="1"/>
    </row>
    <row r="11968" spans="5:6">
      <c r="E11968" s="1"/>
      <c r="F11968" s="1"/>
    </row>
    <row r="11969" spans="5:6">
      <c r="E11969" s="1"/>
      <c r="F11969" s="1"/>
    </row>
    <row r="11970" spans="5:6">
      <c r="E11970" s="1"/>
      <c r="F11970" s="1"/>
    </row>
    <row r="11971" spans="5:6">
      <c r="E11971" s="1"/>
      <c r="F11971" s="1"/>
    </row>
    <row r="11972" spans="5:6">
      <c r="E11972" s="1"/>
      <c r="F11972" s="1"/>
    </row>
    <row r="11973" spans="5:6">
      <c r="E11973" s="1"/>
      <c r="F11973" s="1"/>
    </row>
    <row r="11974" spans="5:6">
      <c r="E11974" s="1"/>
      <c r="F11974" s="1"/>
    </row>
    <row r="11975" spans="5:6">
      <c r="E11975" s="1"/>
      <c r="F11975" s="1"/>
    </row>
    <row r="11976" spans="5:6">
      <c r="E11976" s="1"/>
      <c r="F11976" s="1"/>
    </row>
    <row r="11977" spans="5:6">
      <c r="E11977" s="1"/>
      <c r="F11977" s="1"/>
    </row>
    <row r="11978" spans="5:6">
      <c r="E11978" s="1"/>
      <c r="F11978" s="1"/>
    </row>
    <row r="11979" spans="5:6">
      <c r="E11979" s="1"/>
      <c r="F11979" s="1"/>
    </row>
    <row r="11980" spans="5:6">
      <c r="E11980" s="1"/>
      <c r="F11980" s="1"/>
    </row>
    <row r="11981" spans="5:6">
      <c r="E11981" s="1"/>
      <c r="F11981" s="1"/>
    </row>
    <row r="11982" spans="5:6">
      <c r="E11982" s="1"/>
      <c r="F11982" s="1"/>
    </row>
    <row r="11983" spans="5:6">
      <c r="E11983" s="1"/>
      <c r="F11983" s="1"/>
    </row>
    <row r="11984" spans="5:6">
      <c r="E11984" s="1"/>
      <c r="F11984" s="1"/>
    </row>
    <row r="11985" spans="5:6">
      <c r="E11985" s="1"/>
      <c r="F11985" s="1"/>
    </row>
    <row r="11986" spans="5:6">
      <c r="E11986" s="1"/>
      <c r="F11986" s="1"/>
    </row>
    <row r="11987" spans="5:6">
      <c r="E11987" s="1"/>
      <c r="F11987" s="1"/>
    </row>
    <row r="11988" spans="5:6">
      <c r="E11988" s="1"/>
      <c r="F11988" s="1"/>
    </row>
    <row r="11989" spans="5:6">
      <c r="E11989" s="1"/>
      <c r="F11989" s="1"/>
    </row>
    <row r="11990" spans="5:6">
      <c r="E11990" s="1"/>
      <c r="F11990" s="1"/>
    </row>
    <row r="11991" spans="5:6">
      <c r="E11991" s="1"/>
      <c r="F11991" s="1"/>
    </row>
    <row r="11992" spans="5:6">
      <c r="E11992" s="1"/>
      <c r="F11992" s="1"/>
    </row>
    <row r="11993" spans="5:6">
      <c r="E11993" s="1"/>
      <c r="F11993" s="1"/>
    </row>
    <row r="11994" spans="5:6">
      <c r="E11994" s="1"/>
      <c r="F11994" s="1"/>
    </row>
    <row r="11995" spans="5:6">
      <c r="E11995" s="1"/>
      <c r="F11995" s="1"/>
    </row>
    <row r="11996" spans="5:6">
      <c r="E11996" s="1"/>
      <c r="F11996" s="1"/>
    </row>
    <row r="11997" spans="5:6">
      <c r="E11997" s="1"/>
      <c r="F11997" s="1"/>
    </row>
    <row r="11998" spans="5:6">
      <c r="E11998" s="1"/>
      <c r="F11998" s="1"/>
    </row>
    <row r="11999" spans="5:6">
      <c r="E11999" s="1"/>
      <c r="F11999" s="1"/>
    </row>
    <row r="12000" spans="5:6">
      <c r="E12000" s="1"/>
      <c r="F12000" s="1"/>
    </row>
    <row r="12001" spans="5:6">
      <c r="E12001" s="1"/>
      <c r="F12001" s="1"/>
    </row>
    <row r="12002" spans="5:6">
      <c r="E12002" s="1"/>
      <c r="F12002" s="1"/>
    </row>
    <row r="12003" spans="5:6">
      <c r="E12003" s="1"/>
      <c r="F12003" s="1"/>
    </row>
    <row r="12004" spans="5:6">
      <c r="E12004" s="1"/>
      <c r="F12004" s="1"/>
    </row>
    <row r="12005" spans="5:6">
      <c r="E12005" s="1"/>
      <c r="F12005" s="1"/>
    </row>
    <row r="12006" spans="5:6">
      <c r="E12006" s="1"/>
      <c r="F12006" s="1"/>
    </row>
    <row r="12007" spans="5:6">
      <c r="E12007" s="1"/>
      <c r="F12007" s="1"/>
    </row>
    <row r="12008" spans="5:6">
      <c r="E12008" s="1"/>
      <c r="F12008" s="1"/>
    </row>
    <row r="12009" spans="5:6">
      <c r="E12009" s="1"/>
      <c r="F12009" s="1"/>
    </row>
    <row r="12010" spans="5:6">
      <c r="E12010" s="1"/>
      <c r="F12010" s="1"/>
    </row>
    <row r="12011" spans="5:6">
      <c r="E12011" s="1"/>
      <c r="F12011" s="1"/>
    </row>
    <row r="12012" spans="5:6">
      <c r="E12012" s="1"/>
      <c r="F12012" s="1"/>
    </row>
    <row r="12013" spans="5:6">
      <c r="E12013" s="1"/>
      <c r="F12013" s="1"/>
    </row>
    <row r="12014" spans="5:6">
      <c r="E12014" s="1"/>
      <c r="F12014" s="1"/>
    </row>
    <row r="12015" spans="5:6">
      <c r="E12015" s="1"/>
      <c r="F12015" s="1"/>
    </row>
    <row r="12016" spans="5:6">
      <c r="E12016" s="1"/>
      <c r="F12016" s="1"/>
    </row>
    <row r="12017" spans="5:6">
      <c r="E12017" s="1"/>
      <c r="F12017" s="1"/>
    </row>
    <row r="12018" spans="5:6">
      <c r="E12018" s="1"/>
      <c r="F12018" s="1"/>
    </row>
    <row r="12019" spans="5:6">
      <c r="E12019" s="1"/>
      <c r="F12019" s="1"/>
    </row>
    <row r="12020" spans="5:6">
      <c r="E12020" s="1"/>
      <c r="F12020" s="1"/>
    </row>
    <row r="12021" spans="5:6">
      <c r="E12021" s="1"/>
      <c r="F12021" s="1"/>
    </row>
    <row r="12022" spans="5:6">
      <c r="E12022" s="1"/>
      <c r="F12022" s="1"/>
    </row>
    <row r="12023" spans="5:6">
      <c r="E12023" s="1"/>
      <c r="F12023" s="1"/>
    </row>
    <row r="12024" spans="5:6">
      <c r="E12024" s="1"/>
      <c r="F12024" s="1"/>
    </row>
    <row r="12025" spans="5:6">
      <c r="E12025" s="1"/>
      <c r="F12025" s="1"/>
    </row>
    <row r="12026" spans="5:6">
      <c r="E12026" s="1"/>
      <c r="F12026" s="1"/>
    </row>
    <row r="12027" spans="5:6">
      <c r="E12027" s="1"/>
      <c r="F12027" s="1"/>
    </row>
    <row r="12028" spans="5:6">
      <c r="E12028" s="1"/>
      <c r="F12028" s="1"/>
    </row>
    <row r="12029" spans="5:6">
      <c r="E12029" s="1"/>
      <c r="F12029" s="1"/>
    </row>
    <row r="12030" spans="5:6">
      <c r="E12030" s="1"/>
      <c r="F12030" s="1"/>
    </row>
    <row r="12031" spans="5:6">
      <c r="E12031" s="1"/>
      <c r="F12031" s="1"/>
    </row>
    <row r="12032" spans="5:6">
      <c r="E12032" s="1"/>
      <c r="F12032" s="1"/>
    </row>
    <row r="12033" spans="5:6">
      <c r="E12033" s="1"/>
      <c r="F12033" s="1"/>
    </row>
    <row r="12034" spans="5:6">
      <c r="E12034" s="1"/>
      <c r="F12034" s="1"/>
    </row>
    <row r="12035" spans="5:6">
      <c r="E12035" s="1"/>
      <c r="F12035" s="1"/>
    </row>
    <row r="12036" spans="5:6">
      <c r="E12036" s="1"/>
      <c r="F12036" s="1"/>
    </row>
    <row r="12037" spans="5:6">
      <c r="E12037" s="1"/>
      <c r="F12037" s="1"/>
    </row>
    <row r="12038" spans="5:6">
      <c r="E12038" s="1"/>
      <c r="F12038" s="1"/>
    </row>
    <row r="12039" spans="5:6">
      <c r="E12039" s="1"/>
      <c r="F12039" s="1"/>
    </row>
    <row r="12040" spans="5:6">
      <c r="E12040" s="1"/>
      <c r="F12040" s="1"/>
    </row>
    <row r="12041" spans="5:6">
      <c r="E12041" s="1"/>
      <c r="F12041" s="1"/>
    </row>
    <row r="12042" spans="5:6">
      <c r="E12042" s="1"/>
      <c r="F12042" s="1"/>
    </row>
    <row r="12043" spans="5:6">
      <c r="E12043" s="1"/>
      <c r="F12043" s="1"/>
    </row>
    <row r="12044" spans="5:6">
      <c r="E12044" s="1"/>
      <c r="F12044" s="1"/>
    </row>
    <row r="12045" spans="5:6">
      <c r="E12045" s="1"/>
      <c r="F12045" s="1"/>
    </row>
    <row r="12046" spans="5:6">
      <c r="E12046" s="1"/>
      <c r="F12046" s="1"/>
    </row>
    <row r="12047" spans="5:6">
      <c r="E12047" s="1"/>
      <c r="F12047" s="1"/>
    </row>
    <row r="12048" spans="5:6">
      <c r="E12048" s="1"/>
      <c r="F12048" s="1"/>
    </row>
    <row r="12049" spans="5:6">
      <c r="E12049" s="1"/>
      <c r="F12049" s="1"/>
    </row>
    <row r="12050" spans="5:6">
      <c r="E12050" s="1"/>
      <c r="F12050" s="1"/>
    </row>
    <row r="12051" spans="5:6">
      <c r="E12051" s="1"/>
      <c r="F12051" s="1"/>
    </row>
    <row r="12052" spans="5:6">
      <c r="E12052" s="1"/>
      <c r="F12052" s="1"/>
    </row>
    <row r="12053" spans="5:6">
      <c r="E12053" s="1"/>
      <c r="F12053" s="1"/>
    </row>
    <row r="12054" spans="5:6">
      <c r="E12054" s="1"/>
      <c r="F12054" s="1"/>
    </row>
    <row r="12055" spans="5:6">
      <c r="E12055" s="1"/>
      <c r="F12055" s="1"/>
    </row>
    <row r="12056" spans="5:6">
      <c r="E12056" s="1"/>
      <c r="F12056" s="1"/>
    </row>
    <row r="12057" spans="5:6">
      <c r="E12057" s="1"/>
      <c r="F12057" s="1"/>
    </row>
    <row r="12058" spans="5:6">
      <c r="E12058" s="1"/>
      <c r="F12058" s="1"/>
    </row>
    <row r="12059" spans="5:6">
      <c r="E12059" s="1"/>
      <c r="F12059" s="1"/>
    </row>
    <row r="12060" spans="5:6">
      <c r="E12060" s="1"/>
      <c r="F12060" s="1"/>
    </row>
    <row r="12061" spans="5:6">
      <c r="E12061" s="1"/>
      <c r="F12061" s="1"/>
    </row>
    <row r="12062" spans="5:6">
      <c r="E12062" s="1"/>
      <c r="F12062" s="1"/>
    </row>
    <row r="12063" spans="5:6">
      <c r="E12063" s="1"/>
      <c r="F12063" s="1"/>
    </row>
    <row r="12064" spans="5:6">
      <c r="E12064" s="1"/>
      <c r="F12064" s="1"/>
    </row>
    <row r="12065" spans="5:6">
      <c r="E12065" s="1"/>
      <c r="F12065" s="1"/>
    </row>
    <row r="12066" spans="5:6">
      <c r="E12066" s="1"/>
      <c r="F12066" s="1"/>
    </row>
    <row r="12067" spans="5:6">
      <c r="E12067" s="1"/>
      <c r="F12067" s="1"/>
    </row>
    <row r="12068" spans="5:6">
      <c r="E12068" s="1"/>
      <c r="F12068" s="1"/>
    </row>
    <row r="12069" spans="5:6">
      <c r="E12069" s="1"/>
      <c r="F12069" s="1"/>
    </row>
    <row r="12070" spans="5:6">
      <c r="E12070" s="1"/>
      <c r="F12070" s="1"/>
    </row>
    <row r="12071" spans="5:6">
      <c r="E12071" s="1"/>
      <c r="F12071" s="1"/>
    </row>
    <row r="12072" spans="5:6">
      <c r="E12072" s="1"/>
      <c r="F12072" s="1"/>
    </row>
    <row r="12073" spans="5:6">
      <c r="E12073" s="1"/>
      <c r="F12073" s="1"/>
    </row>
    <row r="12074" spans="5:6">
      <c r="E12074" s="1"/>
      <c r="F12074" s="1"/>
    </row>
    <row r="12075" spans="5:6">
      <c r="E12075" s="1"/>
      <c r="F12075" s="1"/>
    </row>
    <row r="12076" spans="5:6">
      <c r="E12076" s="1"/>
      <c r="F12076" s="1"/>
    </row>
    <row r="12077" spans="5:6">
      <c r="E12077" s="1"/>
      <c r="F12077" s="1"/>
    </row>
    <row r="12078" spans="5:6">
      <c r="E12078" s="1"/>
      <c r="F12078" s="1"/>
    </row>
    <row r="12079" spans="5:6">
      <c r="E12079" s="1"/>
      <c r="F12079" s="1"/>
    </row>
    <row r="12080" spans="5:6">
      <c r="E12080" s="1"/>
      <c r="F12080" s="1"/>
    </row>
    <row r="12081" spans="5:6">
      <c r="E12081" s="1"/>
      <c r="F12081" s="1"/>
    </row>
    <row r="12082" spans="5:6">
      <c r="E12082" s="1"/>
      <c r="F12082" s="1"/>
    </row>
    <row r="12083" spans="5:6">
      <c r="E12083" s="1"/>
      <c r="F12083" s="1"/>
    </row>
    <row r="12084" spans="5:6">
      <c r="E12084" s="1"/>
      <c r="F12084" s="1"/>
    </row>
    <row r="12085" spans="5:6">
      <c r="E12085" s="1"/>
      <c r="F12085" s="1"/>
    </row>
    <row r="12086" spans="5:6">
      <c r="E12086" s="1"/>
      <c r="F12086" s="1"/>
    </row>
    <row r="12087" spans="5:6">
      <c r="E12087" s="1"/>
      <c r="F12087" s="1"/>
    </row>
    <row r="12088" spans="5:6">
      <c r="E12088" s="1"/>
      <c r="F12088" s="1"/>
    </row>
    <row r="12089" spans="5:6">
      <c r="E12089" s="1"/>
      <c r="F12089" s="1"/>
    </row>
    <row r="12090" spans="5:6">
      <c r="E12090" s="1"/>
      <c r="F12090" s="1"/>
    </row>
    <row r="12091" spans="5:6">
      <c r="E12091" s="1"/>
      <c r="F12091" s="1"/>
    </row>
    <row r="12092" spans="5:6">
      <c r="E12092" s="1"/>
      <c r="F12092" s="1"/>
    </row>
    <row r="12093" spans="5:6">
      <c r="E12093" s="1"/>
      <c r="F12093" s="1"/>
    </row>
    <row r="12094" spans="5:6">
      <c r="E12094" s="1"/>
      <c r="F12094" s="1"/>
    </row>
    <row r="12095" spans="5:6">
      <c r="E12095" s="1"/>
      <c r="F12095" s="1"/>
    </row>
    <row r="12096" spans="5:6">
      <c r="E12096" s="1"/>
      <c r="F12096" s="1"/>
    </row>
    <row r="12097" spans="5:6">
      <c r="E12097" s="1"/>
      <c r="F12097" s="1"/>
    </row>
    <row r="12098" spans="5:6">
      <c r="E12098" s="1"/>
      <c r="F12098" s="1"/>
    </row>
    <row r="12099" spans="5:6">
      <c r="E12099" s="1"/>
      <c r="F12099" s="1"/>
    </row>
    <row r="12100" spans="5:6">
      <c r="E12100" s="1"/>
      <c r="F12100" s="1"/>
    </row>
    <row r="12101" spans="5:6">
      <c r="E12101" s="1"/>
      <c r="F12101" s="1"/>
    </row>
    <row r="12102" spans="5:6">
      <c r="E12102" s="1"/>
      <c r="F12102" s="1"/>
    </row>
    <row r="12103" spans="5:6">
      <c r="E12103" s="1"/>
      <c r="F12103" s="1"/>
    </row>
    <row r="12104" spans="5:6">
      <c r="E12104" s="1"/>
      <c r="F12104" s="1"/>
    </row>
    <row r="12105" spans="5:6">
      <c r="E12105" s="1"/>
      <c r="F12105" s="1"/>
    </row>
    <row r="12106" spans="5:6">
      <c r="E12106" s="1"/>
      <c r="F12106" s="1"/>
    </row>
    <row r="12107" spans="5:6">
      <c r="E12107" s="1"/>
      <c r="F12107" s="1"/>
    </row>
    <row r="12108" spans="5:6">
      <c r="E12108" s="1"/>
      <c r="F12108" s="1"/>
    </row>
    <row r="12109" spans="5:6">
      <c r="E12109" s="1"/>
      <c r="F12109" s="1"/>
    </row>
    <row r="12110" spans="5:6">
      <c r="E12110" s="1"/>
      <c r="F12110" s="1"/>
    </row>
    <row r="12111" spans="5:6">
      <c r="E12111" s="1"/>
      <c r="F12111" s="1"/>
    </row>
    <row r="12112" spans="5:6">
      <c r="E12112" s="1"/>
      <c r="F12112" s="1"/>
    </row>
    <row r="12113" spans="5:6">
      <c r="E12113" s="1"/>
      <c r="F12113" s="1"/>
    </row>
    <row r="12114" spans="5:6">
      <c r="E12114" s="1"/>
      <c r="F12114" s="1"/>
    </row>
    <row r="12115" spans="5:6">
      <c r="E12115" s="1"/>
      <c r="F12115" s="1"/>
    </row>
    <row r="12116" spans="5:6">
      <c r="E12116" s="1"/>
      <c r="F12116" s="1"/>
    </row>
    <row r="12117" spans="5:6">
      <c r="E12117" s="1"/>
      <c r="F12117" s="1"/>
    </row>
    <row r="12118" spans="5:6">
      <c r="E12118" s="1"/>
      <c r="F12118" s="1"/>
    </row>
    <row r="12119" spans="5:6">
      <c r="E12119" s="1"/>
      <c r="F12119" s="1"/>
    </row>
    <row r="12120" spans="5:6">
      <c r="E12120" s="1"/>
      <c r="F12120" s="1"/>
    </row>
    <row r="12121" spans="5:6">
      <c r="E12121" s="1"/>
      <c r="F12121" s="1"/>
    </row>
    <row r="12122" spans="5:6">
      <c r="E12122" s="1"/>
      <c r="F12122" s="1"/>
    </row>
    <row r="12123" spans="5:6">
      <c r="E12123" s="1"/>
      <c r="F12123" s="1"/>
    </row>
    <row r="12124" spans="5:6">
      <c r="E12124" s="1"/>
      <c r="F12124" s="1"/>
    </row>
    <row r="12125" spans="5:6">
      <c r="E12125" s="1"/>
      <c r="F12125" s="1"/>
    </row>
    <row r="12126" spans="5:6">
      <c r="E12126" s="1"/>
      <c r="F12126" s="1"/>
    </row>
    <row r="12127" spans="5:6">
      <c r="E12127" s="1"/>
      <c r="F12127" s="1"/>
    </row>
    <row r="12128" spans="5:6">
      <c r="E12128" s="1"/>
      <c r="F12128" s="1"/>
    </row>
    <row r="12129" spans="5:6">
      <c r="E12129" s="1"/>
      <c r="F12129" s="1"/>
    </row>
    <row r="12130" spans="5:6">
      <c r="E12130" s="1"/>
      <c r="F12130" s="1"/>
    </row>
    <row r="12131" spans="5:6">
      <c r="E12131" s="1"/>
      <c r="F12131" s="1"/>
    </row>
    <row r="12132" spans="5:6">
      <c r="E12132" s="1"/>
      <c r="F12132" s="1"/>
    </row>
    <row r="12133" spans="5:6">
      <c r="E12133" s="1"/>
      <c r="F12133" s="1"/>
    </row>
    <row r="12134" spans="5:6">
      <c r="E12134" s="1"/>
      <c r="F12134" s="1"/>
    </row>
    <row r="12135" spans="5:6">
      <c r="E12135" s="1"/>
      <c r="F12135" s="1"/>
    </row>
    <row r="12136" spans="5:6">
      <c r="E12136" s="1"/>
      <c r="F12136" s="1"/>
    </row>
    <row r="12137" spans="5:6">
      <c r="E12137" s="1"/>
      <c r="F12137" s="1"/>
    </row>
    <row r="12138" spans="5:6">
      <c r="E12138" s="1"/>
      <c r="F12138" s="1"/>
    </row>
    <row r="12139" spans="5:6">
      <c r="E12139" s="1"/>
      <c r="F12139" s="1"/>
    </row>
    <row r="12140" spans="5:6">
      <c r="E12140" s="1"/>
      <c r="F12140" s="1"/>
    </row>
    <row r="12141" spans="5:6">
      <c r="E12141" s="1"/>
      <c r="F12141" s="1"/>
    </row>
    <row r="12142" spans="5:6">
      <c r="E12142" s="1"/>
      <c r="F12142" s="1"/>
    </row>
    <row r="12143" spans="5:6">
      <c r="E12143" s="1"/>
      <c r="F12143" s="1"/>
    </row>
    <row r="12144" spans="5:6">
      <c r="E12144" s="1"/>
      <c r="F12144" s="1"/>
    </row>
    <row r="12145" spans="5:6">
      <c r="E12145" s="1"/>
      <c r="F12145" s="1"/>
    </row>
    <row r="12146" spans="5:6">
      <c r="E12146" s="1"/>
      <c r="F12146" s="1"/>
    </row>
    <row r="12147" spans="5:6">
      <c r="E12147" s="1"/>
      <c r="F12147" s="1"/>
    </row>
    <row r="12148" spans="5:6">
      <c r="E12148" s="1"/>
      <c r="F12148" s="1"/>
    </row>
    <row r="12149" spans="5:6">
      <c r="E12149" s="1"/>
      <c r="F12149" s="1"/>
    </row>
    <row r="12150" spans="5:6">
      <c r="E12150" s="1"/>
      <c r="F12150" s="1"/>
    </row>
    <row r="12151" spans="5:6">
      <c r="E12151" s="1"/>
      <c r="F12151" s="1"/>
    </row>
    <row r="12152" spans="5:6">
      <c r="E12152" s="1"/>
      <c r="F12152" s="1"/>
    </row>
    <row r="12153" spans="5:6">
      <c r="E12153" s="1"/>
      <c r="F12153" s="1"/>
    </row>
    <row r="12154" spans="5:6">
      <c r="E12154" s="1"/>
      <c r="F12154" s="1"/>
    </row>
    <row r="12155" spans="5:6">
      <c r="E12155" s="1"/>
      <c r="F12155" s="1"/>
    </row>
    <row r="12156" spans="5:6">
      <c r="E12156" s="1"/>
      <c r="F12156" s="1"/>
    </row>
    <row r="12157" spans="5:6">
      <c r="E12157" s="1"/>
      <c r="F12157" s="1"/>
    </row>
    <row r="12158" spans="5:6">
      <c r="E12158" s="1"/>
      <c r="F12158" s="1"/>
    </row>
    <row r="12159" spans="5:6">
      <c r="E12159" s="1"/>
      <c r="F12159" s="1"/>
    </row>
    <row r="12160" spans="5:6">
      <c r="E12160" s="1"/>
      <c r="F12160" s="1"/>
    </row>
    <row r="12161" spans="5:6">
      <c r="E12161" s="1"/>
      <c r="F12161" s="1"/>
    </row>
    <row r="12162" spans="5:6">
      <c r="E12162" s="1"/>
      <c r="F12162" s="1"/>
    </row>
    <row r="12163" spans="5:6">
      <c r="E12163" s="1"/>
      <c r="F12163" s="1"/>
    </row>
    <row r="12164" spans="5:6">
      <c r="E12164" s="1"/>
      <c r="F12164" s="1"/>
    </row>
    <row r="12165" spans="5:6">
      <c r="E12165" s="1"/>
      <c r="F12165" s="1"/>
    </row>
    <row r="12166" spans="5:6">
      <c r="E12166" s="1"/>
      <c r="F12166" s="1"/>
    </row>
    <row r="12167" spans="5:6">
      <c r="E12167" s="1"/>
      <c r="F12167" s="1"/>
    </row>
    <row r="12168" spans="5:6">
      <c r="E12168" s="1"/>
      <c r="F12168" s="1"/>
    </row>
    <row r="12169" spans="5:6">
      <c r="E12169" s="1"/>
      <c r="F12169" s="1"/>
    </row>
    <row r="12170" spans="5:6">
      <c r="E12170" s="1"/>
      <c r="F12170" s="1"/>
    </row>
    <row r="12171" spans="5:6">
      <c r="E12171" s="1"/>
      <c r="F12171" s="1"/>
    </row>
    <row r="12172" spans="5:6">
      <c r="E12172" s="1"/>
      <c r="F12172" s="1"/>
    </row>
    <row r="12173" spans="5:6">
      <c r="E12173" s="1"/>
      <c r="F12173" s="1"/>
    </row>
    <row r="12174" spans="5:6">
      <c r="E12174" s="1"/>
      <c r="F12174" s="1"/>
    </row>
    <row r="12175" spans="5:6">
      <c r="E12175" s="1"/>
      <c r="F12175" s="1"/>
    </row>
    <row r="12176" spans="5:6">
      <c r="E12176" s="1"/>
      <c r="F12176" s="1"/>
    </row>
    <row r="12177" spans="5:6">
      <c r="E12177" s="1"/>
      <c r="F12177" s="1"/>
    </row>
    <row r="12178" spans="5:6">
      <c r="E12178" s="1"/>
      <c r="F12178" s="1"/>
    </row>
    <row r="12179" spans="5:6">
      <c r="E12179" s="1"/>
      <c r="F12179" s="1"/>
    </row>
    <row r="12180" spans="5:6">
      <c r="E12180" s="1"/>
      <c r="F12180" s="1"/>
    </row>
    <row r="12181" spans="5:6">
      <c r="E12181" s="1"/>
      <c r="F12181" s="1"/>
    </row>
    <row r="12182" spans="5:6">
      <c r="E12182" s="1"/>
      <c r="F12182" s="1"/>
    </row>
    <row r="12183" spans="5:6">
      <c r="E12183" s="1"/>
      <c r="F12183" s="1"/>
    </row>
    <row r="12184" spans="5:6">
      <c r="E12184" s="1"/>
      <c r="F12184" s="1"/>
    </row>
    <row r="12185" spans="5:6">
      <c r="E12185" s="1"/>
      <c r="F12185" s="1"/>
    </row>
    <row r="12186" spans="5:6">
      <c r="E12186" s="1"/>
      <c r="F12186" s="1"/>
    </row>
    <row r="12187" spans="5:6">
      <c r="E12187" s="1"/>
      <c r="F12187" s="1"/>
    </row>
    <row r="12188" spans="5:6">
      <c r="E12188" s="1"/>
      <c r="F12188" s="1"/>
    </row>
    <row r="12189" spans="5:6">
      <c r="E12189" s="1"/>
      <c r="F12189" s="1"/>
    </row>
    <row r="12190" spans="5:6">
      <c r="E12190" s="1"/>
      <c r="F12190" s="1"/>
    </row>
    <row r="12191" spans="5:6">
      <c r="E12191" s="1"/>
      <c r="F12191" s="1"/>
    </row>
    <row r="12192" spans="5:6">
      <c r="E12192" s="1"/>
      <c r="F12192" s="1"/>
    </row>
    <row r="12193" spans="5:6">
      <c r="E12193" s="1"/>
      <c r="F12193" s="1"/>
    </row>
    <row r="12194" spans="5:6">
      <c r="E12194" s="1"/>
      <c r="F12194" s="1"/>
    </row>
    <row r="12195" spans="5:6">
      <c r="E12195" s="1"/>
      <c r="F12195" s="1"/>
    </row>
    <row r="12196" spans="5:6">
      <c r="E12196" s="1"/>
      <c r="F12196" s="1"/>
    </row>
    <row r="12197" spans="5:6">
      <c r="E12197" s="1"/>
      <c r="F12197" s="1"/>
    </row>
    <row r="12198" spans="5:6">
      <c r="E12198" s="1"/>
      <c r="F12198" s="1"/>
    </row>
    <row r="12199" spans="5:6">
      <c r="E12199" s="1"/>
      <c r="F12199" s="1"/>
    </row>
    <row r="12200" spans="5:6">
      <c r="E12200" s="1"/>
      <c r="F12200" s="1"/>
    </row>
    <row r="12201" spans="5:6">
      <c r="E12201" s="1"/>
      <c r="F12201" s="1"/>
    </row>
    <row r="12202" spans="5:6">
      <c r="E12202" s="1"/>
      <c r="F12202" s="1"/>
    </row>
    <row r="12203" spans="5:6">
      <c r="E12203" s="1"/>
      <c r="F12203" s="1"/>
    </row>
    <row r="12204" spans="5:6">
      <c r="E12204" s="1"/>
      <c r="F12204" s="1"/>
    </row>
    <row r="12205" spans="5:6">
      <c r="E12205" s="1"/>
      <c r="F12205" s="1"/>
    </row>
    <row r="12206" spans="5:6">
      <c r="E12206" s="1"/>
      <c r="F12206" s="1"/>
    </row>
    <row r="12207" spans="5:6">
      <c r="E12207" s="1"/>
      <c r="F12207" s="1"/>
    </row>
    <row r="12208" spans="5:6">
      <c r="E12208" s="1"/>
      <c r="F12208" s="1"/>
    </row>
    <row r="12209" spans="5:6">
      <c r="E12209" s="1"/>
      <c r="F12209" s="1"/>
    </row>
    <row r="12210" spans="5:6">
      <c r="E12210" s="1"/>
      <c r="F12210" s="1"/>
    </row>
    <row r="12211" spans="5:6">
      <c r="E12211" s="1"/>
      <c r="F12211" s="1"/>
    </row>
    <row r="12212" spans="5:6">
      <c r="E12212" s="1"/>
      <c r="F12212" s="1"/>
    </row>
    <row r="12213" spans="5:6">
      <c r="E12213" s="1"/>
      <c r="F12213" s="1"/>
    </row>
    <row r="12214" spans="5:6">
      <c r="E12214" s="1"/>
      <c r="F12214" s="1"/>
    </row>
    <row r="12215" spans="5:6">
      <c r="E12215" s="1"/>
      <c r="F12215" s="1"/>
    </row>
    <row r="12216" spans="5:6">
      <c r="E12216" s="1"/>
      <c r="F12216" s="1"/>
    </row>
    <row r="12217" spans="5:6">
      <c r="E12217" s="1"/>
      <c r="F12217" s="1"/>
    </row>
    <row r="12218" spans="5:6">
      <c r="E12218" s="1"/>
      <c r="F12218" s="1"/>
    </row>
    <row r="12219" spans="5:6">
      <c r="E12219" s="1"/>
      <c r="F12219" s="1"/>
    </row>
    <row r="12220" spans="5:6">
      <c r="E12220" s="1"/>
      <c r="F12220" s="1"/>
    </row>
    <row r="12221" spans="5:6">
      <c r="E12221" s="1"/>
      <c r="F12221" s="1"/>
    </row>
    <row r="12222" spans="5:6">
      <c r="E12222" s="1"/>
      <c r="F12222" s="1"/>
    </row>
    <row r="12223" spans="5:6">
      <c r="E12223" s="1"/>
      <c r="F12223" s="1"/>
    </row>
    <row r="12224" spans="5:6">
      <c r="E12224" s="1"/>
      <c r="F12224" s="1"/>
    </row>
    <row r="12225" spans="5:6">
      <c r="E12225" s="1"/>
      <c r="F12225" s="1"/>
    </row>
    <row r="12226" spans="5:6">
      <c r="E12226" s="1"/>
      <c r="F12226" s="1"/>
    </row>
    <row r="12227" spans="5:6">
      <c r="E12227" s="1"/>
      <c r="F12227" s="1"/>
    </row>
    <row r="12228" spans="5:6">
      <c r="E12228" s="1"/>
      <c r="F12228" s="1"/>
    </row>
    <row r="12229" spans="5:6">
      <c r="E12229" s="1"/>
      <c r="F12229" s="1"/>
    </row>
    <row r="12230" spans="5:6">
      <c r="E12230" s="1"/>
      <c r="F12230" s="1"/>
    </row>
    <row r="12231" spans="5:6">
      <c r="E12231" s="1"/>
      <c r="F12231" s="1"/>
    </row>
    <row r="12232" spans="5:6">
      <c r="E12232" s="1"/>
      <c r="F12232" s="1"/>
    </row>
    <row r="12233" spans="5:6">
      <c r="E12233" s="1"/>
      <c r="F12233" s="1"/>
    </row>
    <row r="12234" spans="5:6">
      <c r="E12234" s="1"/>
      <c r="F12234" s="1"/>
    </row>
    <row r="12235" spans="5:6">
      <c r="E12235" s="1"/>
      <c r="F12235" s="1"/>
    </row>
    <row r="12236" spans="5:6">
      <c r="E12236" s="1"/>
      <c r="F12236" s="1"/>
    </row>
    <row r="12237" spans="5:6">
      <c r="E12237" s="1"/>
      <c r="F12237" s="1"/>
    </row>
    <row r="12238" spans="5:6">
      <c r="E12238" s="1"/>
      <c r="F12238" s="1"/>
    </row>
    <row r="12239" spans="5:6">
      <c r="E12239" s="1"/>
      <c r="F12239" s="1"/>
    </row>
    <row r="12240" spans="5:6">
      <c r="E12240" s="1"/>
      <c r="F12240" s="1"/>
    </row>
    <row r="12241" spans="5:6">
      <c r="E12241" s="1"/>
      <c r="F12241" s="1"/>
    </row>
    <row r="12242" spans="5:6">
      <c r="E12242" s="1"/>
      <c r="F12242" s="1"/>
    </row>
    <row r="12243" spans="5:6">
      <c r="E12243" s="1"/>
      <c r="F12243" s="1"/>
    </row>
    <row r="12244" spans="5:6">
      <c r="E12244" s="1"/>
      <c r="F12244" s="1"/>
    </row>
    <row r="12245" spans="5:6">
      <c r="E12245" s="1"/>
      <c r="F12245" s="1"/>
    </row>
    <row r="12246" spans="5:6">
      <c r="E12246" s="1"/>
      <c r="F12246" s="1"/>
    </row>
    <row r="12247" spans="5:6">
      <c r="E12247" s="1"/>
      <c r="F12247" s="1"/>
    </row>
    <row r="12248" spans="5:6">
      <c r="E12248" s="1"/>
      <c r="F12248" s="1"/>
    </row>
    <row r="12249" spans="5:6">
      <c r="E12249" s="1"/>
      <c r="F12249" s="1"/>
    </row>
    <row r="12250" spans="5:6">
      <c r="E12250" s="1"/>
      <c r="F12250" s="1"/>
    </row>
    <row r="12251" spans="5:6">
      <c r="E12251" s="1"/>
      <c r="F12251" s="1"/>
    </row>
    <row r="12252" spans="5:6">
      <c r="E12252" s="1"/>
      <c r="F12252" s="1"/>
    </row>
    <row r="12253" spans="5:6">
      <c r="E12253" s="1"/>
      <c r="F12253" s="1"/>
    </row>
    <row r="12254" spans="5:6">
      <c r="E12254" s="1"/>
      <c r="F12254" s="1"/>
    </row>
    <row r="12255" spans="5:6">
      <c r="E12255" s="1"/>
      <c r="F12255" s="1"/>
    </row>
    <row r="12256" spans="5:6">
      <c r="E12256" s="1"/>
      <c r="F12256" s="1"/>
    </row>
    <row r="12257" spans="5:6">
      <c r="E12257" s="1"/>
      <c r="F12257" s="1"/>
    </row>
    <row r="12258" spans="5:6">
      <c r="E12258" s="1"/>
      <c r="F12258" s="1"/>
    </row>
    <row r="12259" spans="5:6">
      <c r="E12259" s="1"/>
      <c r="F12259" s="1"/>
    </row>
    <row r="12260" spans="5:6">
      <c r="E12260" s="1"/>
      <c r="F12260" s="1"/>
    </row>
    <row r="12261" spans="5:6">
      <c r="E12261" s="1"/>
      <c r="F12261" s="1"/>
    </row>
    <row r="12262" spans="5:6">
      <c r="E12262" s="1"/>
      <c r="F12262" s="1"/>
    </row>
    <row r="12263" spans="5:6">
      <c r="E12263" s="1"/>
      <c r="F12263" s="1"/>
    </row>
    <row r="12264" spans="5:6">
      <c r="E12264" s="1"/>
      <c r="F12264" s="1"/>
    </row>
    <row r="12265" spans="5:6">
      <c r="E12265" s="1"/>
      <c r="F12265" s="1"/>
    </row>
    <row r="12266" spans="5:6">
      <c r="E12266" s="1"/>
      <c r="F12266" s="1"/>
    </row>
    <row r="12267" spans="5:6">
      <c r="E12267" s="1"/>
      <c r="F12267" s="1"/>
    </row>
    <row r="12268" spans="5:6">
      <c r="E12268" s="1"/>
      <c r="F12268" s="1"/>
    </row>
    <row r="12269" spans="5:6">
      <c r="E12269" s="1"/>
      <c r="F12269" s="1"/>
    </row>
    <row r="12270" spans="5:6">
      <c r="E12270" s="1"/>
      <c r="F12270" s="1"/>
    </row>
    <row r="12271" spans="5:6">
      <c r="E12271" s="1"/>
      <c r="F12271" s="1"/>
    </row>
    <row r="12272" spans="5:6">
      <c r="E12272" s="1"/>
      <c r="F12272" s="1"/>
    </row>
    <row r="12273" spans="5:6">
      <c r="E12273" s="1"/>
      <c r="F12273" s="1"/>
    </row>
    <row r="12274" spans="5:6">
      <c r="E12274" s="1"/>
      <c r="F12274" s="1"/>
    </row>
    <row r="12275" spans="5:6">
      <c r="E12275" s="1"/>
      <c r="F12275" s="1"/>
    </row>
    <row r="12276" spans="5:6">
      <c r="E12276" s="1"/>
      <c r="F12276" s="1"/>
    </row>
    <row r="12277" spans="5:6">
      <c r="E12277" s="1"/>
      <c r="F12277" s="1"/>
    </row>
    <row r="12278" spans="5:6">
      <c r="E12278" s="1"/>
      <c r="F12278" s="1"/>
    </row>
    <row r="12279" spans="5:6">
      <c r="E12279" s="1"/>
      <c r="F12279" s="1"/>
    </row>
    <row r="12280" spans="5:6">
      <c r="E12280" s="1"/>
      <c r="F12280" s="1"/>
    </row>
    <row r="12281" spans="5:6">
      <c r="E12281" s="1"/>
      <c r="F12281" s="1"/>
    </row>
    <row r="12282" spans="5:6">
      <c r="E12282" s="1"/>
      <c r="F12282" s="1"/>
    </row>
    <row r="12283" spans="5:6">
      <c r="E12283" s="1"/>
      <c r="F12283" s="1"/>
    </row>
    <row r="12284" spans="5:6">
      <c r="E12284" s="1"/>
      <c r="F12284" s="1"/>
    </row>
    <row r="12285" spans="5:6">
      <c r="E12285" s="1"/>
      <c r="F12285" s="1"/>
    </row>
    <row r="12286" spans="5:6">
      <c r="E12286" s="1"/>
      <c r="F12286" s="1"/>
    </row>
    <row r="12287" spans="5:6">
      <c r="E12287" s="1"/>
      <c r="F12287" s="1"/>
    </row>
    <row r="12288" spans="5:6">
      <c r="E12288" s="1"/>
      <c r="F12288" s="1"/>
    </row>
    <row r="12289" spans="5:6">
      <c r="E12289" s="1"/>
      <c r="F12289" s="1"/>
    </row>
    <row r="12290" spans="5:6">
      <c r="E12290" s="1"/>
      <c r="F12290" s="1"/>
    </row>
    <row r="12291" spans="5:6">
      <c r="E12291" s="1"/>
      <c r="F12291" s="1"/>
    </row>
    <row r="12292" spans="5:6">
      <c r="E12292" s="1"/>
      <c r="F12292" s="1"/>
    </row>
    <row r="12293" spans="5:6">
      <c r="E12293" s="1"/>
      <c r="F12293" s="1"/>
    </row>
    <row r="12294" spans="5:6">
      <c r="E12294" s="1"/>
      <c r="F12294" s="1"/>
    </row>
    <row r="12295" spans="5:6">
      <c r="E12295" s="1"/>
      <c r="F12295" s="1"/>
    </row>
    <row r="12296" spans="5:6">
      <c r="E12296" s="1"/>
      <c r="F12296" s="1"/>
    </row>
    <row r="12297" spans="5:6">
      <c r="E12297" s="1"/>
      <c r="F12297" s="1"/>
    </row>
    <row r="12298" spans="5:6">
      <c r="E12298" s="1"/>
      <c r="F12298" s="1"/>
    </row>
    <row r="12299" spans="5:6">
      <c r="E12299" s="1"/>
      <c r="F12299" s="1"/>
    </row>
    <row r="12300" spans="5:6">
      <c r="E12300" s="1"/>
      <c r="F12300" s="1"/>
    </row>
    <row r="12301" spans="5:6">
      <c r="E12301" s="1"/>
      <c r="F12301" s="1"/>
    </row>
    <row r="12302" spans="5:6">
      <c r="E12302" s="1"/>
      <c r="F12302" s="1"/>
    </row>
    <row r="12303" spans="5:6">
      <c r="E12303" s="1"/>
      <c r="F12303" s="1"/>
    </row>
    <row r="12304" spans="5:6">
      <c r="E12304" s="1"/>
      <c r="F12304" s="1"/>
    </row>
    <row r="12305" spans="5:6">
      <c r="E12305" s="1"/>
      <c r="F12305" s="1"/>
    </row>
    <row r="12306" spans="5:6">
      <c r="E12306" s="1"/>
      <c r="F12306" s="1"/>
    </row>
    <row r="12307" spans="5:6">
      <c r="E12307" s="1"/>
      <c r="F12307" s="1"/>
    </row>
    <row r="12308" spans="5:6">
      <c r="E12308" s="1"/>
      <c r="F12308" s="1"/>
    </row>
    <row r="12309" spans="5:6">
      <c r="E12309" s="1"/>
      <c r="F12309" s="1"/>
    </row>
    <row r="12310" spans="5:6">
      <c r="E12310" s="1"/>
      <c r="F12310" s="1"/>
    </row>
    <row r="12311" spans="5:6">
      <c r="E12311" s="1"/>
      <c r="F12311" s="1"/>
    </row>
    <row r="12312" spans="5:6">
      <c r="E12312" s="1"/>
      <c r="F12312" s="1"/>
    </row>
    <row r="12313" spans="5:6">
      <c r="E12313" s="1"/>
      <c r="F12313" s="1"/>
    </row>
    <row r="12314" spans="5:6">
      <c r="E12314" s="1"/>
      <c r="F12314" s="1"/>
    </row>
    <row r="12315" spans="5:6">
      <c r="E12315" s="1"/>
      <c r="F12315" s="1"/>
    </row>
    <row r="12316" spans="5:6">
      <c r="E12316" s="1"/>
      <c r="F12316" s="1"/>
    </row>
    <row r="12317" spans="5:6">
      <c r="E12317" s="1"/>
      <c r="F12317" s="1"/>
    </row>
    <row r="12318" spans="5:6">
      <c r="E12318" s="1"/>
      <c r="F12318" s="1"/>
    </row>
    <row r="12319" spans="5:6">
      <c r="E12319" s="1"/>
      <c r="F12319" s="1"/>
    </row>
    <row r="12320" spans="5:6">
      <c r="E12320" s="1"/>
      <c r="F12320" s="1"/>
    </row>
    <row r="12321" spans="5:6">
      <c r="E12321" s="1"/>
      <c r="F12321" s="1"/>
    </row>
    <row r="12322" spans="5:6">
      <c r="E12322" s="1"/>
      <c r="F12322" s="1"/>
    </row>
    <row r="12323" spans="5:6">
      <c r="E12323" s="1"/>
      <c r="F12323" s="1"/>
    </row>
    <row r="12324" spans="5:6">
      <c r="E12324" s="1"/>
      <c r="F12324" s="1"/>
    </row>
    <row r="12325" spans="5:6">
      <c r="E12325" s="1"/>
      <c r="F12325" s="1"/>
    </row>
    <row r="12326" spans="5:6">
      <c r="E12326" s="1"/>
      <c r="F12326" s="1"/>
    </row>
    <row r="12327" spans="5:6">
      <c r="E12327" s="1"/>
      <c r="F12327" s="1"/>
    </row>
    <row r="12328" spans="5:6">
      <c r="E12328" s="1"/>
      <c r="F12328" s="1"/>
    </row>
    <row r="12329" spans="5:6">
      <c r="E12329" s="1"/>
      <c r="F12329" s="1"/>
    </row>
    <row r="12330" spans="5:6">
      <c r="E12330" s="1"/>
      <c r="F12330" s="1"/>
    </row>
    <row r="12331" spans="5:6">
      <c r="E12331" s="1"/>
      <c r="F12331" s="1"/>
    </row>
    <row r="12332" spans="5:6">
      <c r="E12332" s="1"/>
      <c r="F12332" s="1"/>
    </row>
    <row r="12333" spans="5:6">
      <c r="E12333" s="1"/>
      <c r="F12333" s="1"/>
    </row>
    <row r="12334" spans="5:6">
      <c r="E12334" s="1"/>
      <c r="F12334" s="1"/>
    </row>
    <row r="12335" spans="5:6">
      <c r="E12335" s="1"/>
      <c r="F12335" s="1"/>
    </row>
    <row r="12336" spans="5:6">
      <c r="E12336" s="1"/>
      <c r="F12336" s="1"/>
    </row>
    <row r="12337" spans="5:6">
      <c r="E12337" s="1"/>
      <c r="F12337" s="1"/>
    </row>
    <row r="12338" spans="5:6">
      <c r="E12338" s="1"/>
      <c r="F12338" s="1"/>
    </row>
    <row r="12339" spans="5:6">
      <c r="E12339" s="1"/>
      <c r="F12339" s="1"/>
    </row>
    <row r="12340" spans="5:6">
      <c r="E12340" s="1"/>
      <c r="F12340" s="1"/>
    </row>
    <row r="12341" spans="5:6">
      <c r="E12341" s="1"/>
      <c r="F12341" s="1"/>
    </row>
    <row r="12342" spans="5:6">
      <c r="E12342" s="1"/>
      <c r="F12342" s="1"/>
    </row>
    <row r="12343" spans="5:6">
      <c r="E12343" s="1"/>
      <c r="F12343" s="1"/>
    </row>
    <row r="12344" spans="5:6">
      <c r="E12344" s="1"/>
      <c r="F12344" s="1"/>
    </row>
    <row r="12345" spans="5:6">
      <c r="E12345" s="1"/>
      <c r="F12345" s="1"/>
    </row>
    <row r="12346" spans="5:6">
      <c r="E12346" s="1"/>
      <c r="F12346" s="1"/>
    </row>
    <row r="12347" spans="5:6">
      <c r="E12347" s="1"/>
      <c r="F12347" s="1"/>
    </row>
    <row r="12348" spans="5:6">
      <c r="E12348" s="1"/>
      <c r="F12348" s="1"/>
    </row>
    <row r="12349" spans="5:6">
      <c r="E12349" s="1"/>
      <c r="F12349" s="1"/>
    </row>
    <row r="12350" spans="5:6">
      <c r="E12350" s="1"/>
      <c r="F12350" s="1"/>
    </row>
    <row r="12351" spans="5:6">
      <c r="E12351" s="1"/>
      <c r="F12351" s="1"/>
    </row>
    <row r="12352" spans="5:6">
      <c r="E12352" s="1"/>
      <c r="F12352" s="1"/>
    </row>
    <row r="12353" spans="5:6">
      <c r="E12353" s="1"/>
      <c r="F12353" s="1"/>
    </row>
    <row r="12354" spans="5:6">
      <c r="E12354" s="1"/>
      <c r="F12354" s="1"/>
    </row>
    <row r="12355" spans="5:6">
      <c r="E12355" s="1"/>
      <c r="F12355" s="1"/>
    </row>
    <row r="12356" spans="5:6">
      <c r="E12356" s="1"/>
      <c r="F12356" s="1"/>
    </row>
    <row r="12357" spans="5:6">
      <c r="E12357" s="1"/>
      <c r="F12357" s="1"/>
    </row>
    <row r="12358" spans="5:6">
      <c r="E12358" s="1"/>
      <c r="F12358" s="1"/>
    </row>
    <row r="12359" spans="5:6">
      <c r="E12359" s="1"/>
      <c r="F12359" s="1"/>
    </row>
    <row r="12360" spans="5:6">
      <c r="E12360" s="1"/>
      <c r="F12360" s="1"/>
    </row>
    <row r="12361" spans="5:6">
      <c r="E12361" s="1"/>
      <c r="F12361" s="1"/>
    </row>
    <row r="12362" spans="5:6">
      <c r="E12362" s="1"/>
      <c r="F12362" s="1"/>
    </row>
    <row r="12363" spans="5:6">
      <c r="E12363" s="1"/>
      <c r="F12363" s="1"/>
    </row>
    <row r="12364" spans="5:6">
      <c r="E12364" s="1"/>
      <c r="F12364" s="1"/>
    </row>
    <row r="12365" spans="5:6">
      <c r="E12365" s="1"/>
      <c r="F12365" s="1"/>
    </row>
    <row r="12366" spans="5:6">
      <c r="E12366" s="1"/>
      <c r="F12366" s="1"/>
    </row>
    <row r="12367" spans="5:6">
      <c r="E12367" s="1"/>
      <c r="F12367" s="1"/>
    </row>
    <row r="12368" spans="5:6">
      <c r="E12368" s="1"/>
      <c r="F12368" s="1"/>
    </row>
    <row r="12369" spans="5:6">
      <c r="E12369" s="1"/>
      <c r="F12369" s="1"/>
    </row>
    <row r="12370" spans="5:6">
      <c r="E12370" s="1"/>
      <c r="F12370" s="1"/>
    </row>
    <row r="12371" spans="5:6">
      <c r="E12371" s="1"/>
      <c r="F12371" s="1"/>
    </row>
    <row r="12372" spans="5:6">
      <c r="E12372" s="1"/>
      <c r="F12372" s="1"/>
    </row>
    <row r="12373" spans="5:6">
      <c r="E12373" s="1"/>
      <c r="F12373" s="1"/>
    </row>
    <row r="12374" spans="5:6">
      <c r="E12374" s="1"/>
      <c r="F12374" s="1"/>
    </row>
    <row r="12375" spans="5:6">
      <c r="E12375" s="1"/>
      <c r="F12375" s="1"/>
    </row>
    <row r="12376" spans="5:6">
      <c r="E12376" s="1"/>
      <c r="F12376" s="1"/>
    </row>
    <row r="12377" spans="5:6">
      <c r="E12377" s="1"/>
      <c r="F12377" s="1"/>
    </row>
    <row r="12378" spans="5:6">
      <c r="E12378" s="1"/>
      <c r="F12378" s="1"/>
    </row>
    <row r="12379" spans="5:6">
      <c r="E12379" s="1"/>
      <c r="F12379" s="1"/>
    </row>
    <row r="12380" spans="5:6">
      <c r="E12380" s="1"/>
      <c r="F12380" s="1"/>
    </row>
    <row r="12381" spans="5:6">
      <c r="E12381" s="1"/>
      <c r="F12381" s="1"/>
    </row>
    <row r="12382" spans="5:6">
      <c r="E12382" s="1"/>
      <c r="F12382" s="1"/>
    </row>
    <row r="12383" spans="5:6">
      <c r="E12383" s="1"/>
      <c r="F12383" s="1"/>
    </row>
    <row r="12384" spans="5:6">
      <c r="E12384" s="1"/>
      <c r="F12384" s="1"/>
    </row>
    <row r="12385" spans="5:6">
      <c r="E12385" s="1"/>
      <c r="F12385" s="1"/>
    </row>
    <row r="12386" spans="5:6">
      <c r="E12386" s="1"/>
      <c r="F12386" s="1"/>
    </row>
    <row r="12387" spans="5:6">
      <c r="E12387" s="1"/>
      <c r="F12387" s="1"/>
    </row>
    <row r="12388" spans="5:6">
      <c r="E12388" s="1"/>
      <c r="F12388" s="1"/>
    </row>
    <row r="12389" spans="5:6">
      <c r="E12389" s="1"/>
      <c r="F12389" s="1"/>
    </row>
    <row r="12390" spans="5:6">
      <c r="E12390" s="1"/>
      <c r="F12390" s="1"/>
    </row>
    <row r="12391" spans="5:6">
      <c r="E12391" s="1"/>
      <c r="F12391" s="1"/>
    </row>
    <row r="12392" spans="5:6">
      <c r="E12392" s="1"/>
      <c r="F12392" s="1"/>
    </row>
    <row r="12393" spans="5:6">
      <c r="E12393" s="1"/>
      <c r="F12393" s="1"/>
    </row>
    <row r="12394" spans="5:6">
      <c r="E12394" s="1"/>
      <c r="F12394" s="1"/>
    </row>
    <row r="12395" spans="5:6">
      <c r="E12395" s="1"/>
      <c r="F12395" s="1"/>
    </row>
    <row r="12396" spans="5:6">
      <c r="E12396" s="1"/>
      <c r="F12396" s="1"/>
    </row>
    <row r="12397" spans="5:6">
      <c r="E12397" s="1"/>
      <c r="F12397" s="1"/>
    </row>
    <row r="12398" spans="5:6">
      <c r="E12398" s="1"/>
      <c r="F12398" s="1"/>
    </row>
    <row r="12399" spans="5:6">
      <c r="E12399" s="1"/>
      <c r="F12399" s="1"/>
    </row>
    <row r="12400" spans="5:6">
      <c r="E12400" s="1"/>
      <c r="F12400" s="1"/>
    </row>
    <row r="12401" spans="5:6">
      <c r="E12401" s="1"/>
      <c r="F12401" s="1"/>
    </row>
    <row r="12402" spans="5:6">
      <c r="E12402" s="1"/>
      <c r="F12402" s="1"/>
    </row>
    <row r="12403" spans="5:6">
      <c r="E12403" s="1"/>
      <c r="F12403" s="1"/>
    </row>
    <row r="12404" spans="5:6">
      <c r="E12404" s="1"/>
      <c r="F12404" s="1"/>
    </row>
    <row r="12405" spans="5:6">
      <c r="E12405" s="1"/>
      <c r="F12405" s="1"/>
    </row>
    <row r="12406" spans="5:6">
      <c r="E12406" s="1"/>
      <c r="F12406" s="1"/>
    </row>
    <row r="12407" spans="5:6">
      <c r="E12407" s="1"/>
      <c r="F12407" s="1"/>
    </row>
    <row r="12408" spans="5:6">
      <c r="E12408" s="1"/>
      <c r="F12408" s="1"/>
    </row>
    <row r="12409" spans="5:6">
      <c r="E12409" s="1"/>
      <c r="F12409" s="1"/>
    </row>
    <row r="12410" spans="5:6">
      <c r="E12410" s="1"/>
      <c r="F12410" s="1"/>
    </row>
    <row r="12411" spans="5:6">
      <c r="E12411" s="1"/>
      <c r="F12411" s="1"/>
    </row>
    <row r="12412" spans="5:6">
      <c r="E12412" s="1"/>
      <c r="F12412" s="1"/>
    </row>
    <row r="12413" spans="5:6">
      <c r="E12413" s="1"/>
      <c r="F12413" s="1"/>
    </row>
    <row r="12414" spans="5:6">
      <c r="E12414" s="1"/>
      <c r="F12414" s="1"/>
    </row>
    <row r="12415" spans="5:6">
      <c r="E12415" s="1"/>
      <c r="F12415" s="1"/>
    </row>
    <row r="12416" spans="5:6">
      <c r="E12416" s="1"/>
      <c r="F12416" s="1"/>
    </row>
    <row r="12417" spans="5:6">
      <c r="E12417" s="1"/>
      <c r="F12417" s="1"/>
    </row>
    <row r="12418" spans="5:6">
      <c r="E12418" s="1"/>
      <c r="F12418" s="1"/>
    </row>
    <row r="12419" spans="5:6">
      <c r="E12419" s="1"/>
      <c r="F12419" s="1"/>
    </row>
    <row r="12420" spans="5:6">
      <c r="E12420" s="1"/>
      <c r="F12420" s="1"/>
    </row>
    <row r="12421" spans="5:6">
      <c r="E12421" s="1"/>
      <c r="F12421" s="1"/>
    </row>
    <row r="12422" spans="5:6">
      <c r="E12422" s="1"/>
      <c r="F12422" s="1"/>
    </row>
    <row r="12423" spans="5:6">
      <c r="E12423" s="1"/>
      <c r="F12423" s="1"/>
    </row>
    <row r="12424" spans="5:6">
      <c r="E12424" s="1"/>
      <c r="F12424" s="1"/>
    </row>
    <row r="12425" spans="5:6">
      <c r="E12425" s="1"/>
      <c r="F12425" s="1"/>
    </row>
    <row r="12426" spans="5:6">
      <c r="E12426" s="1"/>
      <c r="F12426" s="1"/>
    </row>
    <row r="12427" spans="5:6">
      <c r="E12427" s="1"/>
      <c r="F12427" s="1"/>
    </row>
    <row r="12428" spans="5:6">
      <c r="E12428" s="1"/>
      <c r="F12428" s="1"/>
    </row>
    <row r="12429" spans="5:6">
      <c r="E12429" s="1"/>
      <c r="F12429" s="1"/>
    </row>
    <row r="12430" spans="5:6">
      <c r="E12430" s="1"/>
      <c r="F12430" s="1"/>
    </row>
    <row r="12431" spans="5:6">
      <c r="E12431" s="1"/>
      <c r="F12431" s="1"/>
    </row>
    <row r="12432" spans="5:6">
      <c r="E12432" s="1"/>
      <c r="F12432" s="1"/>
    </row>
    <row r="12433" spans="5:6">
      <c r="E12433" s="1"/>
      <c r="F12433" s="1"/>
    </row>
    <row r="12434" spans="5:6">
      <c r="E12434" s="1"/>
      <c r="F12434" s="1"/>
    </row>
    <row r="12435" spans="5:6">
      <c r="E12435" s="1"/>
      <c r="F12435" s="1"/>
    </row>
    <row r="12436" spans="5:6">
      <c r="E12436" s="1"/>
      <c r="F12436" s="1"/>
    </row>
    <row r="12437" spans="5:6">
      <c r="E12437" s="1"/>
      <c r="F12437" s="1"/>
    </row>
    <row r="12438" spans="5:6">
      <c r="E12438" s="1"/>
      <c r="F12438" s="1"/>
    </row>
    <row r="12439" spans="5:6">
      <c r="E12439" s="1"/>
      <c r="F12439" s="1"/>
    </row>
    <row r="12440" spans="5:6">
      <c r="E12440" s="1"/>
      <c r="F12440" s="1"/>
    </row>
    <row r="12441" spans="5:6">
      <c r="E12441" s="1"/>
      <c r="F12441" s="1"/>
    </row>
    <row r="12442" spans="5:6">
      <c r="E12442" s="1"/>
      <c r="F12442" s="1"/>
    </row>
    <row r="12443" spans="5:6">
      <c r="E12443" s="1"/>
      <c r="F12443" s="1"/>
    </row>
    <row r="12444" spans="5:6">
      <c r="E12444" s="1"/>
      <c r="F12444" s="1"/>
    </row>
    <row r="12445" spans="5:6">
      <c r="E12445" s="1"/>
      <c r="F12445" s="1"/>
    </row>
    <row r="12446" spans="5:6">
      <c r="E12446" s="1"/>
      <c r="F12446" s="1"/>
    </row>
    <row r="12447" spans="5:6">
      <c r="E12447" s="1"/>
      <c r="F12447" s="1"/>
    </row>
    <row r="12448" spans="5:6">
      <c r="E12448" s="1"/>
      <c r="F12448" s="1"/>
    </row>
    <row r="12449" spans="5:6">
      <c r="E12449" s="1"/>
      <c r="F12449" s="1"/>
    </row>
    <row r="12450" spans="5:6">
      <c r="E12450" s="1"/>
      <c r="F12450" s="1"/>
    </row>
    <row r="12451" spans="5:6">
      <c r="E12451" s="1"/>
      <c r="F12451" s="1"/>
    </row>
    <row r="12452" spans="5:6">
      <c r="E12452" s="1"/>
      <c r="F12452" s="1"/>
    </row>
    <row r="12453" spans="5:6">
      <c r="E12453" s="1"/>
      <c r="F12453" s="1"/>
    </row>
    <row r="12454" spans="5:6">
      <c r="E12454" s="1"/>
      <c r="F12454" s="1"/>
    </row>
    <row r="12455" spans="5:6">
      <c r="E12455" s="1"/>
      <c r="F12455" s="1"/>
    </row>
    <row r="12456" spans="5:6">
      <c r="E12456" s="1"/>
      <c r="F12456" s="1"/>
    </row>
    <row r="12457" spans="5:6">
      <c r="E12457" s="1"/>
      <c r="F12457" s="1"/>
    </row>
    <row r="12458" spans="5:6">
      <c r="E12458" s="1"/>
      <c r="F12458" s="1"/>
    </row>
    <row r="12459" spans="5:6">
      <c r="E12459" s="1"/>
      <c r="F12459" s="1"/>
    </row>
    <row r="12460" spans="5:6">
      <c r="E12460" s="1"/>
      <c r="F12460" s="1"/>
    </row>
    <row r="12461" spans="5:6">
      <c r="E12461" s="1"/>
      <c r="F12461" s="1"/>
    </row>
    <row r="12462" spans="5:6">
      <c r="E12462" s="1"/>
      <c r="F12462" s="1"/>
    </row>
    <row r="12463" spans="5:6">
      <c r="E12463" s="1"/>
      <c r="F12463" s="1"/>
    </row>
    <row r="12464" spans="5:6">
      <c r="E12464" s="1"/>
      <c r="F12464" s="1"/>
    </row>
    <row r="12465" spans="5:6">
      <c r="E12465" s="1"/>
      <c r="F12465" s="1"/>
    </row>
    <row r="12466" spans="5:6">
      <c r="E12466" s="1"/>
      <c r="F12466" s="1"/>
    </row>
    <row r="12467" spans="5:6">
      <c r="E12467" s="1"/>
      <c r="F12467" s="1"/>
    </row>
    <row r="12468" spans="5:6">
      <c r="E12468" s="1"/>
      <c r="F12468" s="1"/>
    </row>
    <row r="12469" spans="5:6">
      <c r="E12469" s="1"/>
      <c r="F12469" s="1"/>
    </row>
    <row r="12470" spans="5:6">
      <c r="E12470" s="1"/>
      <c r="F12470" s="1"/>
    </row>
    <row r="12471" spans="5:6">
      <c r="E12471" s="1"/>
      <c r="F12471" s="1"/>
    </row>
    <row r="12472" spans="5:6">
      <c r="E12472" s="1"/>
      <c r="F12472" s="1"/>
    </row>
    <row r="12473" spans="5:6">
      <c r="E12473" s="1"/>
      <c r="F12473" s="1"/>
    </row>
    <row r="12474" spans="5:6">
      <c r="E12474" s="1"/>
      <c r="F12474" s="1"/>
    </row>
    <row r="12475" spans="5:6">
      <c r="E12475" s="1"/>
      <c r="F12475" s="1"/>
    </row>
    <row r="12476" spans="5:6">
      <c r="E12476" s="1"/>
      <c r="F12476" s="1"/>
    </row>
    <row r="12477" spans="5:6">
      <c r="E12477" s="1"/>
      <c r="F12477" s="1"/>
    </row>
    <row r="12478" spans="5:6">
      <c r="E12478" s="1"/>
      <c r="F12478" s="1"/>
    </row>
    <row r="12479" spans="5:6">
      <c r="E12479" s="1"/>
      <c r="F12479" s="1"/>
    </row>
    <row r="12480" spans="5:6">
      <c r="E12480" s="1"/>
      <c r="F12480" s="1"/>
    </row>
    <row r="12481" spans="5:6">
      <c r="E12481" s="1"/>
      <c r="F12481" s="1"/>
    </row>
    <row r="12482" spans="5:6">
      <c r="E12482" s="1"/>
      <c r="F12482" s="1"/>
    </row>
    <row r="12483" spans="5:6">
      <c r="E12483" s="1"/>
      <c r="F12483" s="1"/>
    </row>
    <row r="12484" spans="5:6">
      <c r="E12484" s="1"/>
      <c r="F12484" s="1"/>
    </row>
    <row r="12485" spans="5:6">
      <c r="E12485" s="1"/>
      <c r="F12485" s="1"/>
    </row>
    <row r="12486" spans="5:6">
      <c r="E12486" s="1"/>
      <c r="F12486" s="1"/>
    </row>
    <row r="12487" spans="5:6">
      <c r="E12487" s="1"/>
      <c r="F12487" s="1"/>
    </row>
    <row r="12488" spans="5:6">
      <c r="E12488" s="1"/>
      <c r="F12488" s="1"/>
    </row>
    <row r="12489" spans="5:6">
      <c r="E12489" s="1"/>
      <c r="F12489" s="1"/>
    </row>
    <row r="12490" spans="5:6">
      <c r="E12490" s="1"/>
      <c r="F12490" s="1"/>
    </row>
    <row r="12491" spans="5:6">
      <c r="E12491" s="1"/>
      <c r="F12491" s="1"/>
    </row>
    <row r="12492" spans="5:6">
      <c r="E12492" s="1"/>
      <c r="F12492" s="1"/>
    </row>
    <row r="12493" spans="5:6">
      <c r="E12493" s="1"/>
      <c r="F12493" s="1"/>
    </row>
    <row r="12494" spans="5:6">
      <c r="E12494" s="1"/>
      <c r="F12494" s="1"/>
    </row>
    <row r="12495" spans="5:6">
      <c r="E12495" s="1"/>
      <c r="F12495" s="1"/>
    </row>
    <row r="12496" spans="5:6">
      <c r="E12496" s="1"/>
      <c r="F12496" s="1"/>
    </row>
    <row r="12497" spans="5:6">
      <c r="E12497" s="1"/>
      <c r="F12497" s="1"/>
    </row>
    <row r="12498" spans="5:6">
      <c r="E12498" s="1"/>
      <c r="F12498" s="1"/>
    </row>
    <row r="12499" spans="5:6">
      <c r="E12499" s="1"/>
      <c r="F12499" s="1"/>
    </row>
    <row r="12500" spans="5:6">
      <c r="E12500" s="1"/>
      <c r="F12500" s="1"/>
    </row>
    <row r="12501" spans="5:6">
      <c r="E12501" s="1"/>
      <c r="F12501" s="1"/>
    </row>
    <row r="12502" spans="5:6">
      <c r="E12502" s="1"/>
      <c r="F12502" s="1"/>
    </row>
    <row r="12503" spans="5:6">
      <c r="E12503" s="1"/>
      <c r="F12503" s="1"/>
    </row>
    <row r="12504" spans="5:6">
      <c r="E12504" s="1"/>
      <c r="F12504" s="1"/>
    </row>
    <row r="12505" spans="5:6">
      <c r="E12505" s="1"/>
      <c r="F12505" s="1"/>
    </row>
    <row r="12506" spans="5:6">
      <c r="E12506" s="1"/>
      <c r="F12506" s="1"/>
    </row>
    <row r="12507" spans="5:6">
      <c r="E12507" s="1"/>
      <c r="F12507" s="1"/>
    </row>
    <row r="12508" spans="5:6">
      <c r="E12508" s="1"/>
      <c r="F12508" s="1"/>
    </row>
    <row r="12509" spans="5:6">
      <c r="E12509" s="1"/>
      <c r="F12509" s="1"/>
    </row>
    <row r="12510" spans="5:6">
      <c r="E12510" s="1"/>
      <c r="F12510" s="1"/>
    </row>
    <row r="12511" spans="5:6">
      <c r="E12511" s="1"/>
      <c r="F12511" s="1"/>
    </row>
    <row r="12512" spans="5:6">
      <c r="E12512" s="1"/>
      <c r="F12512" s="1"/>
    </row>
    <row r="12513" spans="5:6">
      <c r="E12513" s="1"/>
      <c r="F12513" s="1"/>
    </row>
    <row r="12514" spans="5:6">
      <c r="E12514" s="1"/>
      <c r="F12514" s="1"/>
    </row>
    <row r="12515" spans="5:6">
      <c r="E12515" s="1"/>
      <c r="F12515" s="1"/>
    </row>
    <row r="12516" spans="5:6">
      <c r="E12516" s="1"/>
      <c r="F12516" s="1"/>
    </row>
    <row r="12517" spans="5:6">
      <c r="E12517" s="1"/>
      <c r="F12517" s="1"/>
    </row>
    <row r="12518" spans="5:6">
      <c r="E12518" s="1"/>
      <c r="F12518" s="1"/>
    </row>
    <row r="12519" spans="5:6">
      <c r="E12519" s="1"/>
      <c r="F12519" s="1"/>
    </row>
    <row r="12520" spans="5:6">
      <c r="E12520" s="1"/>
      <c r="F12520" s="1"/>
    </row>
    <row r="12521" spans="5:6">
      <c r="E12521" s="1"/>
      <c r="F12521" s="1"/>
    </row>
    <row r="12522" spans="5:6">
      <c r="E12522" s="1"/>
      <c r="F12522" s="1"/>
    </row>
    <row r="12523" spans="5:6">
      <c r="E12523" s="1"/>
      <c r="F12523" s="1"/>
    </row>
    <row r="12524" spans="5:6">
      <c r="E12524" s="1"/>
      <c r="F12524" s="1"/>
    </row>
    <row r="12525" spans="5:6">
      <c r="E12525" s="1"/>
      <c r="F12525" s="1"/>
    </row>
    <row r="12526" spans="5:6">
      <c r="E12526" s="1"/>
      <c r="F12526" s="1"/>
    </row>
    <row r="12527" spans="5:6">
      <c r="E12527" s="1"/>
      <c r="F12527" s="1"/>
    </row>
    <row r="12528" spans="5:6">
      <c r="E12528" s="1"/>
      <c r="F12528" s="1"/>
    </row>
    <row r="12529" spans="5:6">
      <c r="E12529" s="1"/>
      <c r="F12529" s="1"/>
    </row>
    <row r="12530" spans="5:6">
      <c r="E12530" s="1"/>
      <c r="F12530" s="1"/>
    </row>
    <row r="12531" spans="5:6">
      <c r="E12531" s="1"/>
      <c r="F12531" s="1"/>
    </row>
    <row r="12532" spans="5:6">
      <c r="E12532" s="1"/>
      <c r="F12532" s="1"/>
    </row>
    <row r="12533" spans="5:6">
      <c r="E12533" s="1"/>
      <c r="F12533" s="1"/>
    </row>
    <row r="12534" spans="5:6">
      <c r="E12534" s="1"/>
      <c r="F12534" s="1"/>
    </row>
    <row r="12535" spans="5:6">
      <c r="E12535" s="1"/>
      <c r="F12535" s="1"/>
    </row>
    <row r="12536" spans="5:6">
      <c r="E12536" s="1"/>
      <c r="F12536" s="1"/>
    </row>
    <row r="12537" spans="5:6">
      <c r="E12537" s="1"/>
      <c r="F12537" s="1"/>
    </row>
    <row r="12538" spans="5:6">
      <c r="E12538" s="1"/>
      <c r="F12538" s="1"/>
    </row>
    <row r="12539" spans="5:6">
      <c r="E12539" s="1"/>
      <c r="F12539" s="1"/>
    </row>
    <row r="12540" spans="5:6">
      <c r="E12540" s="1"/>
      <c r="F12540" s="1"/>
    </row>
    <row r="12541" spans="5:6">
      <c r="E12541" s="1"/>
      <c r="F12541" s="1"/>
    </row>
    <row r="12542" spans="5:6">
      <c r="E12542" s="1"/>
      <c r="F12542" s="1"/>
    </row>
    <row r="12543" spans="5:6">
      <c r="E12543" s="1"/>
      <c r="F12543" s="1"/>
    </row>
    <row r="12544" spans="5:6">
      <c r="E12544" s="1"/>
      <c r="F12544" s="1"/>
    </row>
    <row r="12545" spans="5:6">
      <c r="E12545" s="1"/>
      <c r="F12545" s="1"/>
    </row>
    <row r="12546" spans="5:6">
      <c r="E12546" s="1"/>
      <c r="F12546" s="1"/>
    </row>
    <row r="12547" spans="5:6">
      <c r="E12547" s="1"/>
      <c r="F12547" s="1"/>
    </row>
    <row r="12548" spans="5:6">
      <c r="E12548" s="1"/>
      <c r="F12548" s="1"/>
    </row>
    <row r="12549" spans="5:6">
      <c r="E12549" s="1"/>
      <c r="F12549" s="1"/>
    </row>
    <row r="12550" spans="5:6">
      <c r="E12550" s="1"/>
      <c r="F12550" s="1"/>
    </row>
    <row r="12551" spans="5:6">
      <c r="E12551" s="1"/>
      <c r="F12551" s="1"/>
    </row>
    <row r="12552" spans="5:6">
      <c r="E12552" s="1"/>
      <c r="F12552" s="1"/>
    </row>
    <row r="12553" spans="5:6">
      <c r="E12553" s="1"/>
      <c r="F12553" s="1"/>
    </row>
    <row r="12554" spans="5:6">
      <c r="E12554" s="1"/>
      <c r="F12554" s="1"/>
    </row>
    <row r="12555" spans="5:6">
      <c r="E12555" s="1"/>
      <c r="F12555" s="1"/>
    </row>
    <row r="12556" spans="5:6">
      <c r="E12556" s="1"/>
      <c r="F12556" s="1"/>
    </row>
    <row r="12557" spans="5:6">
      <c r="E12557" s="1"/>
      <c r="F12557" s="1"/>
    </row>
    <row r="12558" spans="5:6">
      <c r="E12558" s="1"/>
      <c r="F12558" s="1"/>
    </row>
    <row r="12559" spans="5:6">
      <c r="E12559" s="1"/>
      <c r="F12559" s="1"/>
    </row>
    <row r="12560" spans="5:6">
      <c r="E12560" s="1"/>
      <c r="F12560" s="1"/>
    </row>
    <row r="12561" spans="5:6">
      <c r="E12561" s="1"/>
      <c r="F12561" s="1"/>
    </row>
    <row r="12562" spans="5:6">
      <c r="E12562" s="1"/>
      <c r="F12562" s="1"/>
    </row>
    <row r="12563" spans="5:6">
      <c r="E12563" s="1"/>
      <c r="F12563" s="1"/>
    </row>
    <row r="12564" spans="5:6">
      <c r="E12564" s="1"/>
      <c r="F12564" s="1"/>
    </row>
    <row r="12565" spans="5:6">
      <c r="E12565" s="1"/>
      <c r="F12565" s="1"/>
    </row>
    <row r="12566" spans="5:6">
      <c r="E12566" s="1"/>
      <c r="F12566" s="1"/>
    </row>
    <row r="12567" spans="5:6">
      <c r="E12567" s="1"/>
      <c r="F12567" s="1"/>
    </row>
    <row r="12568" spans="5:6">
      <c r="E12568" s="1"/>
      <c r="F12568" s="1"/>
    </row>
    <row r="12569" spans="5:6">
      <c r="E12569" s="1"/>
      <c r="F12569" s="1"/>
    </row>
    <row r="12570" spans="5:6">
      <c r="E12570" s="1"/>
      <c r="F12570" s="1"/>
    </row>
    <row r="12571" spans="5:6">
      <c r="E12571" s="1"/>
      <c r="F12571" s="1"/>
    </row>
    <row r="12572" spans="5:6">
      <c r="E12572" s="1"/>
      <c r="F12572" s="1"/>
    </row>
    <row r="12573" spans="5:6">
      <c r="E12573" s="1"/>
      <c r="F12573" s="1"/>
    </row>
    <row r="12574" spans="5:6">
      <c r="E12574" s="1"/>
      <c r="F12574" s="1"/>
    </row>
    <row r="12575" spans="5:6">
      <c r="E12575" s="1"/>
      <c r="F12575" s="1"/>
    </row>
    <row r="12576" spans="5:6">
      <c r="E12576" s="1"/>
      <c r="F12576" s="1"/>
    </row>
    <row r="12577" spans="5:6">
      <c r="E12577" s="1"/>
      <c r="F12577" s="1"/>
    </row>
    <row r="12578" spans="5:6">
      <c r="E12578" s="1"/>
      <c r="F12578" s="1"/>
    </row>
    <row r="12579" spans="5:6">
      <c r="E12579" s="1"/>
      <c r="F12579" s="1"/>
    </row>
    <row r="12580" spans="5:6">
      <c r="E12580" s="1"/>
      <c r="F12580" s="1"/>
    </row>
    <row r="12581" spans="5:6">
      <c r="E12581" s="1"/>
      <c r="F12581" s="1"/>
    </row>
    <row r="12582" spans="5:6">
      <c r="E12582" s="1"/>
      <c r="F12582" s="1"/>
    </row>
    <row r="12583" spans="5:6">
      <c r="E12583" s="1"/>
      <c r="F12583" s="1"/>
    </row>
    <row r="12584" spans="5:6">
      <c r="E12584" s="1"/>
      <c r="F12584" s="1"/>
    </row>
    <row r="12585" spans="5:6">
      <c r="E12585" s="1"/>
      <c r="F12585" s="1"/>
    </row>
    <row r="12586" spans="5:6">
      <c r="E12586" s="1"/>
      <c r="F12586" s="1"/>
    </row>
    <row r="12587" spans="5:6">
      <c r="E12587" s="1"/>
      <c r="F12587" s="1"/>
    </row>
    <row r="12588" spans="5:6">
      <c r="E12588" s="1"/>
      <c r="F12588" s="1"/>
    </row>
    <row r="12589" spans="5:6">
      <c r="E12589" s="1"/>
      <c r="F12589" s="1"/>
    </row>
    <row r="12590" spans="5:6">
      <c r="E12590" s="1"/>
      <c r="F12590" s="1"/>
    </row>
    <row r="12591" spans="5:6">
      <c r="E12591" s="1"/>
      <c r="F12591" s="1"/>
    </row>
    <row r="12592" spans="5:6">
      <c r="E12592" s="1"/>
      <c r="F12592" s="1"/>
    </row>
    <row r="12593" spans="5:6">
      <c r="E12593" s="1"/>
      <c r="F12593" s="1"/>
    </row>
    <row r="12594" spans="5:6">
      <c r="E12594" s="1"/>
      <c r="F12594" s="1"/>
    </row>
    <row r="12595" spans="5:6">
      <c r="E12595" s="1"/>
      <c r="F12595" s="1"/>
    </row>
    <row r="12596" spans="5:6">
      <c r="E12596" s="1"/>
      <c r="F12596" s="1"/>
    </row>
    <row r="12597" spans="5:6">
      <c r="E12597" s="1"/>
      <c r="F12597" s="1"/>
    </row>
    <row r="12598" spans="5:6">
      <c r="E12598" s="1"/>
      <c r="F12598" s="1"/>
    </row>
    <row r="12599" spans="5:6">
      <c r="E12599" s="1"/>
      <c r="F12599" s="1"/>
    </row>
    <row r="12600" spans="5:6">
      <c r="E12600" s="1"/>
      <c r="F12600" s="1"/>
    </row>
    <row r="12601" spans="5:6">
      <c r="E12601" s="1"/>
      <c r="F12601" s="1"/>
    </row>
    <row r="12602" spans="5:6">
      <c r="E12602" s="1"/>
      <c r="F12602" s="1"/>
    </row>
    <row r="12603" spans="5:6">
      <c r="E12603" s="1"/>
      <c r="F12603" s="1"/>
    </row>
    <row r="12604" spans="5:6">
      <c r="E12604" s="1"/>
      <c r="F12604" s="1"/>
    </row>
    <row r="12605" spans="5:6">
      <c r="E12605" s="1"/>
      <c r="F12605" s="1"/>
    </row>
    <row r="12606" spans="5:6">
      <c r="E12606" s="1"/>
      <c r="F12606" s="1"/>
    </row>
    <row r="12607" spans="5:6">
      <c r="E12607" s="1"/>
      <c r="F12607" s="1"/>
    </row>
    <row r="12608" spans="5:6">
      <c r="E12608" s="1"/>
      <c r="F12608" s="1"/>
    </row>
    <row r="12609" spans="5:6">
      <c r="E12609" s="1"/>
      <c r="F12609" s="1"/>
    </row>
    <row r="12610" spans="5:6">
      <c r="E12610" s="1"/>
      <c r="F12610" s="1"/>
    </row>
    <row r="12611" spans="5:6">
      <c r="E12611" s="1"/>
      <c r="F12611" s="1"/>
    </row>
    <row r="12612" spans="5:6">
      <c r="E12612" s="1"/>
      <c r="F12612" s="1"/>
    </row>
    <row r="12613" spans="5:6">
      <c r="E12613" s="1"/>
      <c r="F12613" s="1"/>
    </row>
    <row r="12614" spans="5:6">
      <c r="E12614" s="1"/>
      <c r="F12614" s="1"/>
    </row>
    <row r="12615" spans="5:6">
      <c r="E12615" s="1"/>
      <c r="F12615" s="1"/>
    </row>
    <row r="12616" spans="5:6">
      <c r="E12616" s="1"/>
      <c r="F12616" s="1"/>
    </row>
    <row r="12617" spans="5:6">
      <c r="E12617" s="1"/>
      <c r="F12617" s="1"/>
    </row>
    <row r="12618" spans="5:6">
      <c r="E12618" s="1"/>
      <c r="F12618" s="1"/>
    </row>
    <row r="12619" spans="5:6">
      <c r="E12619" s="1"/>
      <c r="F12619" s="1"/>
    </row>
    <row r="12620" spans="5:6">
      <c r="E12620" s="1"/>
      <c r="F12620" s="1"/>
    </row>
    <row r="12621" spans="5:6">
      <c r="E12621" s="1"/>
      <c r="F12621" s="1"/>
    </row>
    <row r="12622" spans="5:6">
      <c r="E12622" s="1"/>
      <c r="F12622" s="1"/>
    </row>
    <row r="12623" spans="5:6">
      <c r="E12623" s="1"/>
      <c r="F12623" s="1"/>
    </row>
    <row r="12624" spans="5:6">
      <c r="E12624" s="1"/>
      <c r="F12624" s="1"/>
    </row>
    <row r="12625" spans="5:6">
      <c r="E12625" s="1"/>
      <c r="F12625" s="1"/>
    </row>
    <row r="12626" spans="5:6">
      <c r="E12626" s="1"/>
      <c r="F12626" s="1"/>
    </row>
    <row r="12627" spans="5:6">
      <c r="E12627" s="1"/>
      <c r="F12627" s="1"/>
    </row>
    <row r="12628" spans="5:6">
      <c r="E12628" s="1"/>
      <c r="F12628" s="1"/>
    </row>
    <row r="12629" spans="5:6">
      <c r="E12629" s="1"/>
      <c r="F12629" s="1"/>
    </row>
    <row r="12630" spans="5:6">
      <c r="E12630" s="1"/>
      <c r="F12630" s="1"/>
    </row>
    <row r="12631" spans="5:6">
      <c r="E12631" s="1"/>
      <c r="F12631" s="1"/>
    </row>
    <row r="12632" spans="5:6">
      <c r="E12632" s="1"/>
      <c r="F12632" s="1"/>
    </row>
    <row r="12633" spans="5:6">
      <c r="E12633" s="1"/>
      <c r="F12633" s="1"/>
    </row>
    <row r="12634" spans="5:6">
      <c r="E12634" s="1"/>
      <c r="F12634" s="1"/>
    </row>
    <row r="12635" spans="5:6">
      <c r="E12635" s="1"/>
      <c r="F12635" s="1"/>
    </row>
    <row r="12636" spans="5:6">
      <c r="E12636" s="1"/>
      <c r="F12636" s="1"/>
    </row>
    <row r="12637" spans="5:6">
      <c r="E12637" s="1"/>
      <c r="F12637" s="1"/>
    </row>
    <row r="12638" spans="5:6">
      <c r="E12638" s="1"/>
      <c r="F12638" s="1"/>
    </row>
    <row r="12639" spans="5:6">
      <c r="E12639" s="1"/>
      <c r="F12639" s="1"/>
    </row>
    <row r="12640" spans="5:6">
      <c r="E12640" s="1"/>
      <c r="F12640" s="1"/>
    </row>
    <row r="12641" spans="5:6">
      <c r="E12641" s="1"/>
      <c r="F12641" s="1"/>
    </row>
    <row r="12642" spans="5:6">
      <c r="E12642" s="1"/>
      <c r="F12642" s="1"/>
    </row>
    <row r="12643" spans="5:6">
      <c r="E12643" s="1"/>
      <c r="F12643" s="1"/>
    </row>
    <row r="12644" spans="5:6">
      <c r="E12644" s="1"/>
      <c r="F12644" s="1"/>
    </row>
    <row r="12645" spans="5:6">
      <c r="E12645" s="1"/>
      <c r="F12645" s="1"/>
    </row>
    <row r="12646" spans="5:6">
      <c r="E12646" s="1"/>
      <c r="F12646" s="1"/>
    </row>
    <row r="12647" spans="5:6">
      <c r="E12647" s="1"/>
      <c r="F12647" s="1"/>
    </row>
    <row r="12648" spans="5:6">
      <c r="E12648" s="1"/>
      <c r="F12648" s="1"/>
    </row>
    <row r="12649" spans="5:6">
      <c r="E12649" s="1"/>
      <c r="F12649" s="1"/>
    </row>
    <row r="12650" spans="5:6">
      <c r="E12650" s="1"/>
      <c r="F12650" s="1"/>
    </row>
    <row r="12651" spans="5:6">
      <c r="E12651" s="1"/>
      <c r="F12651" s="1"/>
    </row>
    <row r="12652" spans="5:6">
      <c r="E12652" s="1"/>
      <c r="F12652" s="1"/>
    </row>
    <row r="12653" spans="5:6">
      <c r="E12653" s="1"/>
      <c r="F12653" s="1"/>
    </row>
    <row r="12654" spans="5:6">
      <c r="E12654" s="1"/>
      <c r="F12654" s="1"/>
    </row>
    <row r="12655" spans="5:6">
      <c r="E12655" s="1"/>
      <c r="F12655" s="1"/>
    </row>
    <row r="12656" spans="5:6">
      <c r="E12656" s="1"/>
      <c r="F12656" s="1"/>
    </row>
    <row r="12657" spans="5:6">
      <c r="E12657" s="1"/>
      <c r="F12657" s="1"/>
    </row>
    <row r="12658" spans="5:6">
      <c r="E12658" s="1"/>
      <c r="F12658" s="1"/>
    </row>
    <row r="12659" spans="5:6">
      <c r="E12659" s="1"/>
      <c r="F12659" s="1"/>
    </row>
    <row r="12660" spans="5:6">
      <c r="E12660" s="1"/>
      <c r="F12660" s="1"/>
    </row>
    <row r="12661" spans="5:6">
      <c r="E12661" s="1"/>
      <c r="F12661" s="1"/>
    </row>
    <row r="12662" spans="5:6">
      <c r="E12662" s="1"/>
      <c r="F12662" s="1"/>
    </row>
    <row r="12663" spans="5:6">
      <c r="E12663" s="1"/>
      <c r="F12663" s="1"/>
    </row>
    <row r="12664" spans="5:6">
      <c r="E12664" s="1"/>
      <c r="F12664" s="1"/>
    </row>
    <row r="12665" spans="5:6">
      <c r="E12665" s="1"/>
      <c r="F12665" s="1"/>
    </row>
    <row r="12666" spans="5:6">
      <c r="E12666" s="1"/>
      <c r="F12666" s="1"/>
    </row>
    <row r="12667" spans="5:6">
      <c r="E12667" s="1"/>
      <c r="F12667" s="1"/>
    </row>
    <row r="12668" spans="5:6">
      <c r="E12668" s="1"/>
      <c r="F12668" s="1"/>
    </row>
    <row r="12669" spans="5:6">
      <c r="E12669" s="1"/>
      <c r="F12669" s="1"/>
    </row>
    <row r="12670" spans="5:6">
      <c r="E12670" s="1"/>
      <c r="F12670" s="1"/>
    </row>
    <row r="12671" spans="5:6">
      <c r="E12671" s="1"/>
      <c r="F12671" s="1"/>
    </row>
    <row r="12672" spans="5:6">
      <c r="E12672" s="1"/>
      <c r="F12672" s="1"/>
    </row>
    <row r="12673" spans="5:6">
      <c r="E12673" s="1"/>
      <c r="F12673" s="1"/>
    </row>
    <row r="12674" spans="5:6">
      <c r="E12674" s="1"/>
      <c r="F12674" s="1"/>
    </row>
    <row r="12675" spans="5:6">
      <c r="E12675" s="1"/>
      <c r="F12675" s="1"/>
    </row>
    <row r="12676" spans="5:6">
      <c r="E12676" s="1"/>
      <c r="F12676" s="1"/>
    </row>
    <row r="12677" spans="5:6">
      <c r="E12677" s="1"/>
      <c r="F12677" s="1"/>
    </row>
    <row r="12678" spans="5:6">
      <c r="E12678" s="1"/>
      <c r="F12678" s="1"/>
    </row>
    <row r="12679" spans="5:6">
      <c r="E12679" s="1"/>
      <c r="F12679" s="1"/>
    </row>
    <row r="12680" spans="5:6">
      <c r="E12680" s="1"/>
      <c r="F12680" s="1"/>
    </row>
    <row r="12681" spans="5:6">
      <c r="E12681" s="1"/>
      <c r="F12681" s="1"/>
    </row>
    <row r="12682" spans="5:6">
      <c r="E12682" s="1"/>
      <c r="F12682" s="1"/>
    </row>
    <row r="12683" spans="5:6">
      <c r="E12683" s="1"/>
      <c r="F12683" s="1"/>
    </row>
    <row r="12684" spans="5:6">
      <c r="E12684" s="1"/>
      <c r="F12684" s="1"/>
    </row>
    <row r="12685" spans="5:6">
      <c r="E12685" s="1"/>
      <c r="F12685" s="1"/>
    </row>
    <row r="12686" spans="5:6">
      <c r="E12686" s="1"/>
      <c r="F12686" s="1"/>
    </row>
    <row r="12687" spans="5:6">
      <c r="E12687" s="1"/>
      <c r="F12687" s="1"/>
    </row>
    <row r="12688" spans="5:6">
      <c r="E12688" s="1"/>
      <c r="F12688" s="1"/>
    </row>
    <row r="12689" spans="5:6">
      <c r="E12689" s="1"/>
      <c r="F12689" s="1"/>
    </row>
    <row r="12690" spans="5:6">
      <c r="E12690" s="1"/>
      <c r="F12690" s="1"/>
    </row>
    <row r="12691" spans="5:6">
      <c r="E12691" s="1"/>
      <c r="F12691" s="1"/>
    </row>
    <row r="12692" spans="5:6">
      <c r="E12692" s="1"/>
      <c r="F12692" s="1"/>
    </row>
    <row r="12693" spans="5:6">
      <c r="E12693" s="1"/>
      <c r="F12693" s="1"/>
    </row>
    <row r="12694" spans="5:6">
      <c r="E12694" s="1"/>
      <c r="F12694" s="1"/>
    </row>
    <row r="12695" spans="5:6">
      <c r="E12695" s="1"/>
      <c r="F12695" s="1"/>
    </row>
    <row r="12696" spans="5:6">
      <c r="E12696" s="1"/>
      <c r="F12696" s="1"/>
    </row>
    <row r="12697" spans="5:6">
      <c r="E12697" s="1"/>
      <c r="F12697" s="1"/>
    </row>
    <row r="12698" spans="5:6">
      <c r="E12698" s="1"/>
      <c r="F12698" s="1"/>
    </row>
    <row r="12699" spans="5:6">
      <c r="E12699" s="1"/>
      <c r="F12699" s="1"/>
    </row>
    <row r="12700" spans="5:6">
      <c r="E12700" s="1"/>
      <c r="F12700" s="1"/>
    </row>
    <row r="12701" spans="5:6">
      <c r="E12701" s="1"/>
      <c r="F12701" s="1"/>
    </row>
    <row r="12702" spans="5:6">
      <c r="E12702" s="1"/>
      <c r="F12702" s="1"/>
    </row>
    <row r="12703" spans="5:6">
      <c r="E12703" s="1"/>
      <c r="F12703" s="1"/>
    </row>
    <row r="12704" spans="5:6">
      <c r="E12704" s="1"/>
      <c r="F12704" s="1"/>
    </row>
    <row r="12705" spans="5:6">
      <c r="E12705" s="1"/>
      <c r="F12705" s="1"/>
    </row>
    <row r="12706" spans="5:6">
      <c r="E12706" s="1"/>
      <c r="F12706" s="1"/>
    </row>
    <row r="12707" spans="5:6">
      <c r="E12707" s="1"/>
      <c r="F12707" s="1"/>
    </row>
    <row r="12708" spans="5:6">
      <c r="E12708" s="1"/>
      <c r="F12708" s="1"/>
    </row>
    <row r="12709" spans="5:6">
      <c r="E12709" s="1"/>
      <c r="F12709" s="1"/>
    </row>
    <row r="12710" spans="5:6">
      <c r="E12710" s="1"/>
      <c r="F12710" s="1"/>
    </row>
    <row r="12711" spans="5:6">
      <c r="E12711" s="1"/>
      <c r="F12711" s="1"/>
    </row>
    <row r="12712" spans="5:6">
      <c r="E12712" s="1"/>
      <c r="F12712" s="1"/>
    </row>
    <row r="12713" spans="5:6">
      <c r="E12713" s="1"/>
      <c r="F12713" s="1"/>
    </row>
    <row r="12714" spans="5:6">
      <c r="E12714" s="1"/>
      <c r="F12714" s="1"/>
    </row>
    <row r="12715" spans="5:6">
      <c r="E12715" s="1"/>
      <c r="F12715" s="1"/>
    </row>
    <row r="12716" spans="5:6">
      <c r="E12716" s="1"/>
      <c r="F12716" s="1"/>
    </row>
    <row r="12717" spans="5:6">
      <c r="E12717" s="1"/>
      <c r="F12717" s="1"/>
    </row>
    <row r="12718" spans="5:6">
      <c r="E12718" s="1"/>
      <c r="F12718" s="1"/>
    </row>
    <row r="12719" spans="5:6">
      <c r="E12719" s="1"/>
      <c r="F12719" s="1"/>
    </row>
    <row r="12720" spans="5:6">
      <c r="E12720" s="1"/>
      <c r="F12720" s="1"/>
    </row>
    <row r="12721" spans="5:6">
      <c r="E12721" s="1"/>
      <c r="F12721" s="1"/>
    </row>
    <row r="12722" spans="5:6">
      <c r="E12722" s="1"/>
      <c r="F12722" s="1"/>
    </row>
    <row r="12723" spans="5:6">
      <c r="E12723" s="1"/>
      <c r="F12723" s="1"/>
    </row>
    <row r="12724" spans="5:6">
      <c r="E12724" s="1"/>
      <c r="F12724" s="1"/>
    </row>
    <row r="12725" spans="5:6">
      <c r="E12725" s="1"/>
      <c r="F12725" s="1"/>
    </row>
    <row r="12726" spans="5:6">
      <c r="E12726" s="1"/>
      <c r="F12726" s="1"/>
    </row>
    <row r="12727" spans="5:6">
      <c r="E12727" s="1"/>
      <c r="F12727" s="1"/>
    </row>
    <row r="12728" spans="5:6">
      <c r="E12728" s="1"/>
      <c r="F12728" s="1"/>
    </row>
    <row r="12729" spans="5:6">
      <c r="E12729" s="1"/>
      <c r="F12729" s="1"/>
    </row>
    <row r="12730" spans="5:6">
      <c r="E12730" s="1"/>
      <c r="F12730" s="1"/>
    </row>
    <row r="12731" spans="5:6">
      <c r="E12731" s="1"/>
      <c r="F12731" s="1"/>
    </row>
    <row r="12732" spans="5:6">
      <c r="E12732" s="1"/>
      <c r="F12732" s="1"/>
    </row>
    <row r="12733" spans="5:6">
      <c r="E12733" s="1"/>
      <c r="F12733" s="1"/>
    </row>
    <row r="12734" spans="5:6">
      <c r="E12734" s="1"/>
      <c r="F12734" s="1"/>
    </row>
    <row r="12735" spans="5:6">
      <c r="E12735" s="1"/>
      <c r="F12735" s="1"/>
    </row>
    <row r="12736" spans="5:6">
      <c r="E12736" s="1"/>
      <c r="F12736" s="1"/>
    </row>
    <row r="12737" spans="5:6">
      <c r="E12737" s="1"/>
      <c r="F12737" s="1"/>
    </row>
    <row r="12738" spans="5:6">
      <c r="E12738" s="1"/>
      <c r="F12738" s="1"/>
    </row>
    <row r="12739" spans="5:6">
      <c r="E12739" s="1"/>
      <c r="F12739" s="1"/>
    </row>
    <row r="12740" spans="5:6">
      <c r="E12740" s="1"/>
      <c r="F12740" s="1"/>
    </row>
    <row r="12741" spans="5:6">
      <c r="E12741" s="1"/>
      <c r="F12741" s="1"/>
    </row>
    <row r="12742" spans="5:6">
      <c r="E12742" s="1"/>
      <c r="F12742" s="1"/>
    </row>
    <row r="12743" spans="5:6">
      <c r="E12743" s="1"/>
      <c r="F12743" s="1"/>
    </row>
    <row r="12744" spans="5:6">
      <c r="E12744" s="1"/>
      <c r="F12744" s="1"/>
    </row>
    <row r="12745" spans="5:6">
      <c r="E12745" s="1"/>
      <c r="F12745" s="1"/>
    </row>
    <row r="12746" spans="5:6">
      <c r="E12746" s="1"/>
      <c r="F12746" s="1"/>
    </row>
    <row r="12747" spans="5:6">
      <c r="E12747" s="1"/>
      <c r="F12747" s="1"/>
    </row>
    <row r="12748" spans="5:6">
      <c r="E12748" s="1"/>
      <c r="F12748" s="1"/>
    </row>
    <row r="12749" spans="5:6">
      <c r="E12749" s="1"/>
      <c r="F12749" s="1"/>
    </row>
    <row r="12750" spans="5:6">
      <c r="E12750" s="1"/>
      <c r="F12750" s="1"/>
    </row>
    <row r="12751" spans="5:6">
      <c r="E12751" s="1"/>
      <c r="F12751" s="1"/>
    </row>
    <row r="12752" spans="5:6">
      <c r="E12752" s="1"/>
      <c r="F12752" s="1"/>
    </row>
    <row r="12753" spans="5:6">
      <c r="E12753" s="1"/>
      <c r="F12753" s="1"/>
    </row>
    <row r="12754" spans="5:6">
      <c r="E12754" s="1"/>
      <c r="F12754" s="1"/>
    </row>
    <row r="12755" spans="5:6">
      <c r="E12755" s="1"/>
      <c r="F12755" s="1"/>
    </row>
    <row r="12756" spans="5:6">
      <c r="E12756" s="1"/>
      <c r="F12756" s="1"/>
    </row>
    <row r="12757" spans="5:6">
      <c r="E12757" s="1"/>
      <c r="F12757" s="1"/>
    </row>
    <row r="12758" spans="5:6">
      <c r="E12758" s="1"/>
      <c r="F12758" s="1"/>
    </row>
    <row r="12759" spans="5:6">
      <c r="E12759" s="1"/>
      <c r="F12759" s="1"/>
    </row>
    <row r="12760" spans="5:6">
      <c r="E12760" s="1"/>
      <c r="F12760" s="1"/>
    </row>
    <row r="12761" spans="5:6">
      <c r="E12761" s="1"/>
      <c r="F12761" s="1"/>
    </row>
    <row r="12762" spans="5:6">
      <c r="E12762" s="1"/>
      <c r="F12762" s="1"/>
    </row>
    <row r="12763" spans="5:6">
      <c r="E12763" s="1"/>
      <c r="F12763" s="1"/>
    </row>
    <row r="12764" spans="5:6">
      <c r="E12764" s="1"/>
      <c r="F12764" s="1"/>
    </row>
    <row r="12765" spans="5:6">
      <c r="E12765" s="1"/>
      <c r="F12765" s="1"/>
    </row>
    <row r="12766" spans="5:6">
      <c r="E12766" s="1"/>
      <c r="F12766" s="1"/>
    </row>
    <row r="12767" spans="5:6">
      <c r="E12767" s="1"/>
      <c r="F12767" s="1"/>
    </row>
    <row r="12768" spans="5:6">
      <c r="E12768" s="1"/>
      <c r="F12768" s="1"/>
    </row>
    <row r="12769" spans="5:6">
      <c r="E12769" s="1"/>
      <c r="F12769" s="1"/>
    </row>
    <row r="12770" spans="5:6">
      <c r="E12770" s="1"/>
      <c r="F12770" s="1"/>
    </row>
    <row r="12771" spans="5:6">
      <c r="E12771" s="1"/>
      <c r="F12771" s="1"/>
    </row>
    <row r="12772" spans="5:6">
      <c r="E12772" s="1"/>
      <c r="F12772" s="1"/>
    </row>
    <row r="12773" spans="5:6">
      <c r="E12773" s="1"/>
      <c r="F12773" s="1"/>
    </row>
    <row r="12774" spans="5:6">
      <c r="E12774" s="1"/>
      <c r="F12774" s="1"/>
    </row>
    <row r="12775" spans="5:6">
      <c r="E12775" s="1"/>
      <c r="F12775" s="1"/>
    </row>
    <row r="12776" spans="5:6">
      <c r="E12776" s="1"/>
      <c r="F12776" s="1"/>
    </row>
    <row r="12777" spans="5:6">
      <c r="E12777" s="1"/>
      <c r="F12777" s="1"/>
    </row>
    <row r="12778" spans="5:6">
      <c r="E12778" s="1"/>
      <c r="F12778" s="1"/>
    </row>
    <row r="12779" spans="5:6">
      <c r="E12779" s="1"/>
      <c r="F12779" s="1"/>
    </row>
    <row r="12780" spans="5:6">
      <c r="E12780" s="1"/>
      <c r="F12780" s="1"/>
    </row>
    <row r="12781" spans="5:6">
      <c r="E12781" s="1"/>
      <c r="F12781" s="1"/>
    </row>
    <row r="12782" spans="5:6">
      <c r="E12782" s="1"/>
      <c r="F12782" s="1"/>
    </row>
    <row r="12783" spans="5:6">
      <c r="E12783" s="1"/>
      <c r="F12783" s="1"/>
    </row>
    <row r="12784" spans="5:6">
      <c r="E12784" s="1"/>
      <c r="F12784" s="1"/>
    </row>
    <row r="12785" spans="5:6">
      <c r="E12785" s="1"/>
      <c r="F12785" s="1"/>
    </row>
    <row r="12786" spans="5:6">
      <c r="E12786" s="1"/>
      <c r="F12786" s="1"/>
    </row>
    <row r="12787" spans="5:6">
      <c r="E12787" s="1"/>
      <c r="F12787" s="1"/>
    </row>
    <row r="12788" spans="5:6">
      <c r="E12788" s="1"/>
      <c r="F12788" s="1"/>
    </row>
    <row r="12789" spans="5:6">
      <c r="E12789" s="1"/>
      <c r="F12789" s="1"/>
    </row>
    <row r="12790" spans="5:6">
      <c r="E12790" s="1"/>
      <c r="F12790" s="1"/>
    </row>
    <row r="12791" spans="5:6">
      <c r="E12791" s="1"/>
      <c r="F12791" s="1"/>
    </row>
    <row r="12792" spans="5:6">
      <c r="E12792" s="1"/>
      <c r="F12792" s="1"/>
    </row>
    <row r="12793" spans="5:6">
      <c r="E12793" s="1"/>
      <c r="F12793" s="1"/>
    </row>
    <row r="12794" spans="5:6">
      <c r="E12794" s="1"/>
      <c r="F12794" s="1"/>
    </row>
    <row r="12795" spans="5:6">
      <c r="E12795" s="1"/>
      <c r="F12795" s="1"/>
    </row>
    <row r="12796" spans="5:6">
      <c r="E12796" s="1"/>
      <c r="F12796" s="1"/>
    </row>
    <row r="12797" spans="5:6">
      <c r="E12797" s="1"/>
      <c r="F12797" s="1"/>
    </row>
    <row r="12798" spans="5:6">
      <c r="E12798" s="1"/>
      <c r="F12798" s="1"/>
    </row>
    <row r="12799" spans="5:6">
      <c r="E12799" s="1"/>
      <c r="F12799" s="1"/>
    </row>
    <row r="12800" spans="5:6">
      <c r="E12800" s="1"/>
      <c r="F12800" s="1"/>
    </row>
    <row r="12801" spans="5:6">
      <c r="E12801" s="1"/>
      <c r="F12801" s="1"/>
    </row>
    <row r="12802" spans="5:6">
      <c r="E12802" s="1"/>
      <c r="F12802" s="1"/>
    </row>
    <row r="12803" spans="5:6">
      <c r="E12803" s="1"/>
      <c r="F12803" s="1"/>
    </row>
    <row r="12804" spans="5:6">
      <c r="E12804" s="1"/>
      <c r="F12804" s="1"/>
    </row>
    <row r="12805" spans="5:6">
      <c r="E12805" s="1"/>
      <c r="F12805" s="1"/>
    </row>
    <row r="12806" spans="5:6">
      <c r="E12806" s="1"/>
      <c r="F12806" s="1"/>
    </row>
    <row r="12807" spans="5:6">
      <c r="E12807" s="1"/>
      <c r="F12807" s="1"/>
    </row>
    <row r="12808" spans="5:6">
      <c r="E12808" s="1"/>
      <c r="F12808" s="1"/>
    </row>
    <row r="12809" spans="5:6">
      <c r="E12809" s="1"/>
      <c r="F12809" s="1"/>
    </row>
    <row r="12810" spans="5:6">
      <c r="E12810" s="1"/>
      <c r="F12810" s="1"/>
    </row>
    <row r="12811" spans="5:6">
      <c r="E12811" s="1"/>
      <c r="F12811" s="1"/>
    </row>
    <row r="12812" spans="5:6">
      <c r="E12812" s="1"/>
      <c r="F12812" s="1"/>
    </row>
    <row r="12813" spans="5:6">
      <c r="E12813" s="1"/>
      <c r="F12813" s="1"/>
    </row>
    <row r="12814" spans="5:6">
      <c r="E12814" s="1"/>
      <c r="F12814" s="1"/>
    </row>
    <row r="12815" spans="5:6">
      <c r="E12815" s="1"/>
      <c r="F12815" s="1"/>
    </row>
    <row r="12816" spans="5:6">
      <c r="E12816" s="1"/>
      <c r="F12816" s="1"/>
    </row>
    <row r="12817" spans="5:6">
      <c r="E12817" s="1"/>
      <c r="F12817" s="1"/>
    </row>
    <row r="12818" spans="5:6">
      <c r="E12818" s="1"/>
      <c r="F12818" s="1"/>
    </row>
    <row r="12819" spans="5:6">
      <c r="E12819" s="1"/>
      <c r="F12819" s="1"/>
    </row>
    <row r="12820" spans="5:6">
      <c r="E12820" s="1"/>
      <c r="F12820" s="1"/>
    </row>
    <row r="12821" spans="5:6">
      <c r="E12821" s="1"/>
      <c r="F12821" s="1"/>
    </row>
    <row r="12822" spans="5:6">
      <c r="E12822" s="1"/>
      <c r="F12822" s="1"/>
    </row>
    <row r="12823" spans="5:6">
      <c r="E12823" s="1"/>
      <c r="F12823" s="1"/>
    </row>
    <row r="12824" spans="5:6">
      <c r="E12824" s="1"/>
      <c r="F12824" s="1"/>
    </row>
    <row r="12825" spans="5:6">
      <c r="E12825" s="1"/>
      <c r="F12825" s="1"/>
    </row>
    <row r="12826" spans="5:6">
      <c r="E12826" s="1"/>
      <c r="F12826" s="1"/>
    </row>
    <row r="12827" spans="5:6">
      <c r="E12827" s="1"/>
      <c r="F12827" s="1"/>
    </row>
    <row r="12828" spans="5:6">
      <c r="E12828" s="1"/>
      <c r="F12828" s="1"/>
    </row>
    <row r="12829" spans="5:6">
      <c r="E12829" s="1"/>
      <c r="F12829" s="1"/>
    </row>
    <row r="12830" spans="5:6">
      <c r="E12830" s="1"/>
      <c r="F12830" s="1"/>
    </row>
    <row r="12831" spans="5:6">
      <c r="E12831" s="1"/>
      <c r="F12831" s="1"/>
    </row>
    <row r="12832" spans="5:6">
      <c r="E12832" s="1"/>
      <c r="F12832" s="1"/>
    </row>
    <row r="12833" spans="5:6">
      <c r="E12833" s="1"/>
      <c r="F12833" s="1"/>
    </row>
    <row r="12834" spans="5:6">
      <c r="E12834" s="1"/>
      <c r="F12834" s="1"/>
    </row>
    <row r="12835" spans="5:6">
      <c r="E12835" s="1"/>
      <c r="F12835" s="1"/>
    </row>
    <row r="12836" spans="5:6">
      <c r="E12836" s="1"/>
      <c r="F12836" s="1"/>
    </row>
    <row r="12837" spans="5:6">
      <c r="E12837" s="1"/>
      <c r="F12837" s="1"/>
    </row>
    <row r="12838" spans="5:6">
      <c r="E12838" s="1"/>
      <c r="F12838" s="1"/>
    </row>
    <row r="12839" spans="5:6">
      <c r="E12839" s="1"/>
      <c r="F12839" s="1"/>
    </row>
    <row r="12840" spans="5:6">
      <c r="E12840" s="1"/>
      <c r="F12840" s="1"/>
    </row>
    <row r="12841" spans="5:6">
      <c r="E12841" s="1"/>
      <c r="F12841" s="1"/>
    </row>
    <row r="12842" spans="5:6">
      <c r="E12842" s="1"/>
      <c r="F12842" s="1"/>
    </row>
    <row r="12843" spans="5:6">
      <c r="E12843" s="1"/>
      <c r="F12843" s="1"/>
    </row>
    <row r="12844" spans="5:6">
      <c r="E12844" s="1"/>
      <c r="F12844" s="1"/>
    </row>
    <row r="12845" spans="5:6">
      <c r="E12845" s="1"/>
      <c r="F12845" s="1"/>
    </row>
    <row r="12846" spans="5:6">
      <c r="E12846" s="1"/>
      <c r="F12846" s="1"/>
    </row>
    <row r="12847" spans="5:6">
      <c r="E12847" s="1"/>
      <c r="F12847" s="1"/>
    </row>
    <row r="12848" spans="5:6">
      <c r="E12848" s="1"/>
      <c r="F12848" s="1"/>
    </row>
    <row r="12849" spans="5:6">
      <c r="E12849" s="1"/>
      <c r="F12849" s="1"/>
    </row>
    <row r="12850" spans="5:6">
      <c r="E12850" s="1"/>
      <c r="F12850" s="1"/>
    </row>
    <row r="12851" spans="5:6">
      <c r="E12851" s="1"/>
      <c r="F12851" s="1"/>
    </row>
    <row r="12852" spans="5:6">
      <c r="E12852" s="1"/>
      <c r="F12852" s="1"/>
    </row>
    <row r="12853" spans="5:6">
      <c r="E12853" s="1"/>
      <c r="F12853" s="1"/>
    </row>
    <row r="12854" spans="5:6">
      <c r="E12854" s="1"/>
      <c r="F12854" s="1"/>
    </row>
    <row r="12855" spans="5:6">
      <c r="E12855" s="1"/>
      <c r="F12855" s="1"/>
    </row>
    <row r="12856" spans="5:6">
      <c r="E12856" s="1"/>
      <c r="F12856" s="1"/>
    </row>
    <row r="12857" spans="5:6">
      <c r="E12857" s="1"/>
      <c r="F12857" s="1"/>
    </row>
    <row r="12858" spans="5:6">
      <c r="E12858" s="1"/>
      <c r="F12858" s="1"/>
    </row>
    <row r="12859" spans="5:6">
      <c r="E12859" s="1"/>
      <c r="F12859" s="1"/>
    </row>
    <row r="12860" spans="5:6">
      <c r="E12860" s="1"/>
      <c r="F12860" s="1"/>
    </row>
    <row r="12861" spans="5:6">
      <c r="E12861" s="1"/>
      <c r="F12861" s="1"/>
    </row>
    <row r="12862" spans="5:6">
      <c r="E12862" s="1"/>
      <c r="F12862" s="1"/>
    </row>
    <row r="12863" spans="5:6">
      <c r="E12863" s="1"/>
      <c r="F12863" s="1"/>
    </row>
    <row r="12864" spans="5:6">
      <c r="E12864" s="1"/>
      <c r="F12864" s="1"/>
    </row>
    <row r="12865" spans="5:6">
      <c r="E12865" s="1"/>
      <c r="F12865" s="1"/>
    </row>
    <row r="12866" spans="5:6">
      <c r="E12866" s="1"/>
      <c r="F12866" s="1"/>
    </row>
    <row r="12867" spans="5:6">
      <c r="E12867" s="1"/>
      <c r="F12867" s="1"/>
    </row>
    <row r="12868" spans="5:6">
      <c r="E12868" s="1"/>
      <c r="F12868" s="1"/>
    </row>
    <row r="12869" spans="5:6">
      <c r="E12869" s="1"/>
      <c r="F12869" s="1"/>
    </row>
    <row r="12870" spans="5:6">
      <c r="E12870" s="1"/>
      <c r="F12870" s="1"/>
    </row>
    <row r="12871" spans="5:6">
      <c r="E12871" s="1"/>
      <c r="F12871" s="1"/>
    </row>
    <row r="12872" spans="5:6">
      <c r="E12872" s="1"/>
      <c r="F12872" s="1"/>
    </row>
    <row r="12873" spans="5:6">
      <c r="E12873" s="1"/>
      <c r="F12873" s="1"/>
    </row>
    <row r="12874" spans="5:6">
      <c r="E12874" s="1"/>
      <c r="F12874" s="1"/>
    </row>
    <row r="12875" spans="5:6">
      <c r="E12875" s="1"/>
      <c r="F12875" s="1"/>
    </row>
    <row r="12876" spans="5:6">
      <c r="E12876" s="1"/>
      <c r="F12876" s="1"/>
    </row>
    <row r="12877" spans="5:6">
      <c r="E12877" s="1"/>
      <c r="F12877" s="1"/>
    </row>
    <row r="12878" spans="5:6">
      <c r="E12878" s="1"/>
      <c r="F12878" s="1"/>
    </row>
    <row r="12879" spans="5:6">
      <c r="E12879" s="1"/>
      <c r="F12879" s="1"/>
    </row>
    <row r="12880" spans="5:6">
      <c r="E12880" s="1"/>
      <c r="F12880" s="1"/>
    </row>
    <row r="12881" spans="5:6">
      <c r="E12881" s="1"/>
      <c r="F12881" s="1"/>
    </row>
    <row r="12882" spans="5:6">
      <c r="E12882" s="1"/>
      <c r="F12882" s="1"/>
    </row>
    <row r="12883" spans="5:6">
      <c r="E12883" s="1"/>
      <c r="F12883" s="1"/>
    </row>
    <row r="12884" spans="5:6">
      <c r="E12884" s="1"/>
      <c r="F12884" s="1"/>
    </row>
    <row r="12885" spans="5:6">
      <c r="E12885" s="1"/>
      <c r="F12885" s="1"/>
    </row>
    <row r="12886" spans="5:6">
      <c r="E12886" s="1"/>
      <c r="F12886" s="1"/>
    </row>
    <row r="12887" spans="5:6">
      <c r="E12887" s="1"/>
      <c r="F12887" s="1"/>
    </row>
    <row r="12888" spans="5:6">
      <c r="E12888" s="1"/>
      <c r="F12888" s="1"/>
    </row>
    <row r="12889" spans="5:6">
      <c r="E12889" s="1"/>
      <c r="F12889" s="1"/>
    </row>
    <row r="12890" spans="5:6">
      <c r="E12890" s="1"/>
      <c r="F12890" s="1"/>
    </row>
    <row r="12891" spans="5:6">
      <c r="E12891" s="1"/>
      <c r="F12891" s="1"/>
    </row>
    <row r="12892" spans="5:6">
      <c r="E12892" s="1"/>
      <c r="F12892" s="1"/>
    </row>
    <row r="12893" spans="5:6">
      <c r="E12893" s="1"/>
      <c r="F12893" s="1"/>
    </row>
    <row r="12894" spans="5:6">
      <c r="E12894" s="1"/>
      <c r="F12894" s="1"/>
    </row>
    <row r="12895" spans="5:6">
      <c r="E12895" s="1"/>
      <c r="F12895" s="1"/>
    </row>
    <row r="12896" spans="5:6">
      <c r="E12896" s="1"/>
      <c r="F12896" s="1"/>
    </row>
    <row r="12897" spans="5:6">
      <c r="E12897" s="1"/>
      <c r="F12897" s="1"/>
    </row>
    <row r="12898" spans="5:6">
      <c r="E12898" s="1"/>
      <c r="F12898" s="1"/>
    </row>
    <row r="12899" spans="5:6">
      <c r="E12899" s="1"/>
      <c r="F12899" s="1"/>
    </row>
    <row r="12900" spans="5:6">
      <c r="E12900" s="1"/>
      <c r="F12900" s="1"/>
    </row>
    <row r="12901" spans="5:6">
      <c r="E12901" s="1"/>
      <c r="F12901" s="1"/>
    </row>
    <row r="12902" spans="5:6">
      <c r="E12902" s="1"/>
      <c r="F12902" s="1"/>
    </row>
    <row r="12903" spans="5:6">
      <c r="E12903" s="1"/>
      <c r="F12903" s="1"/>
    </row>
    <row r="12904" spans="5:6">
      <c r="E12904" s="1"/>
      <c r="F12904" s="1"/>
    </row>
    <row r="12905" spans="5:6">
      <c r="E12905" s="1"/>
      <c r="F12905" s="1"/>
    </row>
    <row r="12906" spans="5:6">
      <c r="E12906" s="1"/>
      <c r="F12906" s="1"/>
    </row>
    <row r="12907" spans="5:6">
      <c r="E12907" s="1"/>
      <c r="F12907" s="1"/>
    </row>
    <row r="12908" spans="5:6">
      <c r="E12908" s="1"/>
      <c r="F12908" s="1"/>
    </row>
    <row r="12909" spans="5:6">
      <c r="E12909" s="1"/>
      <c r="F12909" s="1"/>
    </row>
    <row r="12910" spans="5:6">
      <c r="E12910" s="1"/>
      <c r="F12910" s="1"/>
    </row>
    <row r="12911" spans="5:6">
      <c r="E12911" s="1"/>
      <c r="F12911" s="1"/>
    </row>
    <row r="12912" spans="5:6">
      <c r="E12912" s="1"/>
      <c r="F12912" s="1"/>
    </row>
    <row r="12913" spans="5:6">
      <c r="E12913" s="1"/>
      <c r="F12913" s="1"/>
    </row>
    <row r="12914" spans="5:6">
      <c r="E12914" s="1"/>
      <c r="F12914" s="1"/>
    </row>
    <row r="12915" spans="5:6">
      <c r="E12915" s="1"/>
      <c r="F12915" s="1"/>
    </row>
    <row r="12916" spans="5:6">
      <c r="E12916" s="1"/>
      <c r="F12916" s="1"/>
    </row>
    <row r="12917" spans="5:6">
      <c r="E12917" s="1"/>
      <c r="F12917" s="1"/>
    </row>
    <row r="12918" spans="5:6">
      <c r="E12918" s="1"/>
      <c r="F12918" s="1"/>
    </row>
    <row r="12919" spans="5:6">
      <c r="E12919" s="1"/>
      <c r="F12919" s="1"/>
    </row>
    <row r="12920" spans="5:6">
      <c r="E12920" s="1"/>
      <c r="F12920" s="1"/>
    </row>
    <row r="12921" spans="5:6">
      <c r="E12921" s="1"/>
      <c r="F12921" s="1"/>
    </row>
    <row r="12922" spans="5:6">
      <c r="E12922" s="1"/>
      <c r="F12922" s="1"/>
    </row>
    <row r="12923" spans="5:6">
      <c r="E12923" s="1"/>
      <c r="F12923" s="1"/>
    </row>
    <row r="12924" spans="5:6">
      <c r="E12924" s="1"/>
      <c r="F12924" s="1"/>
    </row>
    <row r="12925" spans="5:6">
      <c r="E12925" s="1"/>
      <c r="F12925" s="1"/>
    </row>
    <row r="12926" spans="5:6">
      <c r="E12926" s="1"/>
      <c r="F12926" s="1"/>
    </row>
    <row r="12927" spans="5:6">
      <c r="E12927" s="1"/>
      <c r="F12927" s="1"/>
    </row>
    <row r="12928" spans="5:6">
      <c r="E12928" s="1"/>
      <c r="F12928" s="1"/>
    </row>
    <row r="12929" spans="5:6">
      <c r="E12929" s="1"/>
      <c r="F12929" s="1"/>
    </row>
    <row r="12930" spans="5:6">
      <c r="E12930" s="1"/>
      <c r="F12930" s="1"/>
    </row>
    <row r="12931" spans="5:6">
      <c r="E12931" s="1"/>
      <c r="F12931" s="1"/>
    </row>
    <row r="12932" spans="5:6">
      <c r="E12932" s="1"/>
      <c r="F12932" s="1"/>
    </row>
    <row r="12933" spans="5:6">
      <c r="E12933" s="1"/>
      <c r="F12933" s="1"/>
    </row>
    <row r="12934" spans="5:6">
      <c r="E12934" s="1"/>
      <c r="F12934" s="1"/>
    </row>
    <row r="12935" spans="5:6">
      <c r="E12935" s="1"/>
      <c r="F12935" s="1"/>
    </row>
    <row r="12936" spans="5:6">
      <c r="E12936" s="1"/>
      <c r="F12936" s="1"/>
    </row>
    <row r="12937" spans="5:6">
      <c r="E12937" s="1"/>
      <c r="F12937" s="1"/>
    </row>
    <row r="12938" spans="5:6">
      <c r="E12938" s="1"/>
      <c r="F12938" s="1"/>
    </row>
    <row r="12939" spans="5:6">
      <c r="E12939" s="1"/>
      <c r="F12939" s="1"/>
    </row>
    <row r="12940" spans="5:6">
      <c r="E12940" s="1"/>
      <c r="F12940" s="1"/>
    </row>
    <row r="12941" spans="5:6">
      <c r="E12941" s="1"/>
      <c r="F12941" s="1"/>
    </row>
    <row r="12942" spans="5:6">
      <c r="E12942" s="1"/>
      <c r="F12942" s="1"/>
    </row>
    <row r="12943" spans="5:6">
      <c r="E12943" s="1"/>
      <c r="F12943" s="1"/>
    </row>
    <row r="12944" spans="5:6">
      <c r="E12944" s="1"/>
      <c r="F12944" s="1"/>
    </row>
    <row r="12945" spans="5:6">
      <c r="E12945" s="1"/>
      <c r="F12945" s="1"/>
    </row>
    <row r="12946" spans="5:6">
      <c r="E12946" s="1"/>
      <c r="F12946" s="1"/>
    </row>
    <row r="12947" spans="5:6">
      <c r="E12947" s="1"/>
      <c r="F12947" s="1"/>
    </row>
    <row r="12948" spans="5:6">
      <c r="E12948" s="1"/>
      <c r="F12948" s="1"/>
    </row>
    <row r="12949" spans="5:6">
      <c r="E12949" s="1"/>
      <c r="F12949" s="1"/>
    </row>
    <row r="12950" spans="5:6">
      <c r="E12950" s="1"/>
      <c r="F12950" s="1"/>
    </row>
    <row r="12951" spans="5:6">
      <c r="E12951" s="1"/>
      <c r="F12951" s="1"/>
    </row>
    <row r="12952" spans="5:6">
      <c r="E12952" s="1"/>
      <c r="F12952" s="1"/>
    </row>
    <row r="12953" spans="5:6">
      <c r="E12953" s="1"/>
      <c r="F12953" s="1"/>
    </row>
    <row r="12954" spans="5:6">
      <c r="E12954" s="1"/>
      <c r="F12954" s="1"/>
    </row>
    <row r="12955" spans="5:6">
      <c r="E12955" s="1"/>
      <c r="F12955" s="1"/>
    </row>
    <row r="12956" spans="5:6">
      <c r="E12956" s="1"/>
      <c r="F12956" s="1"/>
    </row>
    <row r="12957" spans="5:6">
      <c r="E12957" s="1"/>
      <c r="F12957" s="1"/>
    </row>
    <row r="12958" spans="5:6">
      <c r="E12958" s="1"/>
      <c r="F12958" s="1"/>
    </row>
    <row r="12959" spans="5:6">
      <c r="E12959" s="1"/>
      <c r="F12959" s="1"/>
    </row>
    <row r="12960" spans="5:6">
      <c r="E12960" s="1"/>
      <c r="F12960" s="1"/>
    </row>
    <row r="12961" spans="5:6">
      <c r="E12961" s="1"/>
      <c r="F12961" s="1"/>
    </row>
    <row r="12962" spans="5:6">
      <c r="E12962" s="1"/>
      <c r="F12962" s="1"/>
    </row>
    <row r="12963" spans="5:6">
      <c r="E12963" s="1"/>
      <c r="F12963" s="1"/>
    </row>
    <row r="12964" spans="5:6">
      <c r="E12964" s="1"/>
      <c r="F12964" s="1"/>
    </row>
    <row r="12965" spans="5:6">
      <c r="E12965" s="1"/>
      <c r="F12965" s="1"/>
    </row>
    <row r="12966" spans="5:6">
      <c r="E12966" s="1"/>
      <c r="F12966" s="1"/>
    </row>
    <row r="12967" spans="5:6">
      <c r="E12967" s="1"/>
      <c r="F12967" s="1"/>
    </row>
    <row r="12968" spans="5:6">
      <c r="E12968" s="1"/>
      <c r="F12968" s="1"/>
    </row>
    <row r="12969" spans="5:6">
      <c r="E12969" s="1"/>
      <c r="F12969" s="1"/>
    </row>
    <row r="12970" spans="5:6">
      <c r="E12970" s="1"/>
      <c r="F12970" s="1"/>
    </row>
    <row r="12971" spans="5:6">
      <c r="E12971" s="1"/>
      <c r="F12971" s="1"/>
    </row>
    <row r="12972" spans="5:6">
      <c r="E12972" s="1"/>
      <c r="F12972" s="1"/>
    </row>
    <row r="12973" spans="5:6">
      <c r="E12973" s="1"/>
      <c r="F12973" s="1"/>
    </row>
    <row r="12974" spans="5:6">
      <c r="E12974" s="1"/>
      <c r="F12974" s="1"/>
    </row>
    <row r="12975" spans="5:6">
      <c r="E12975" s="1"/>
      <c r="F12975" s="1"/>
    </row>
    <row r="12976" spans="5:6">
      <c r="E12976" s="1"/>
      <c r="F12976" s="1"/>
    </row>
    <row r="12977" spans="5:6">
      <c r="E12977" s="1"/>
      <c r="F12977" s="1"/>
    </row>
    <row r="12978" spans="5:6">
      <c r="E12978" s="1"/>
      <c r="F12978" s="1"/>
    </row>
    <row r="12979" spans="5:6">
      <c r="E12979" s="1"/>
      <c r="F12979" s="1"/>
    </row>
    <row r="12980" spans="5:6">
      <c r="E12980" s="1"/>
      <c r="F12980" s="1"/>
    </row>
    <row r="12981" spans="5:6">
      <c r="E12981" s="1"/>
      <c r="F12981" s="1"/>
    </row>
    <row r="12982" spans="5:6">
      <c r="E12982" s="1"/>
      <c r="F12982" s="1"/>
    </row>
    <row r="12983" spans="5:6">
      <c r="E12983" s="1"/>
      <c r="F12983" s="1"/>
    </row>
    <row r="12984" spans="5:6">
      <c r="E12984" s="1"/>
      <c r="F12984" s="1"/>
    </row>
    <row r="12985" spans="5:6">
      <c r="E12985" s="1"/>
      <c r="F12985" s="1"/>
    </row>
    <row r="12986" spans="5:6">
      <c r="E12986" s="1"/>
      <c r="F12986" s="1"/>
    </row>
    <row r="12987" spans="5:6">
      <c r="E12987" s="1"/>
      <c r="F12987" s="1"/>
    </row>
    <row r="12988" spans="5:6">
      <c r="E12988" s="1"/>
      <c r="F12988" s="1"/>
    </row>
    <row r="12989" spans="5:6">
      <c r="E12989" s="1"/>
      <c r="F12989" s="1"/>
    </row>
    <row r="12990" spans="5:6">
      <c r="E12990" s="1"/>
      <c r="F12990" s="1"/>
    </row>
    <row r="12991" spans="5:6">
      <c r="E12991" s="1"/>
      <c r="F12991" s="1"/>
    </row>
    <row r="12992" spans="5:6">
      <c r="E12992" s="1"/>
      <c r="F12992" s="1"/>
    </row>
    <row r="12993" spans="5:6">
      <c r="E12993" s="1"/>
      <c r="F12993" s="1"/>
    </row>
    <row r="12994" spans="5:6">
      <c r="E12994" s="1"/>
      <c r="F12994" s="1"/>
    </row>
    <row r="12995" spans="5:6">
      <c r="E12995" s="1"/>
      <c r="F12995" s="1"/>
    </row>
    <row r="12996" spans="5:6">
      <c r="E12996" s="1"/>
      <c r="F12996" s="1"/>
    </row>
    <row r="12997" spans="5:6">
      <c r="E12997" s="1"/>
      <c r="F12997" s="1"/>
    </row>
    <row r="12998" spans="5:6">
      <c r="E12998" s="1"/>
      <c r="F12998" s="1"/>
    </row>
    <row r="12999" spans="5:6">
      <c r="E12999" s="1"/>
      <c r="F12999" s="1"/>
    </row>
    <row r="13000" spans="5:6">
      <c r="E13000" s="1"/>
      <c r="F13000" s="1"/>
    </row>
    <row r="13001" spans="5:6">
      <c r="E13001" s="1"/>
      <c r="F13001" s="1"/>
    </row>
    <row r="13002" spans="5:6">
      <c r="E13002" s="1"/>
      <c r="F13002" s="1"/>
    </row>
    <row r="13003" spans="5:6">
      <c r="E13003" s="1"/>
      <c r="F13003" s="1"/>
    </row>
    <row r="13004" spans="5:6">
      <c r="E13004" s="1"/>
      <c r="F13004" s="1"/>
    </row>
    <row r="13005" spans="5:6">
      <c r="E13005" s="1"/>
      <c r="F13005" s="1"/>
    </row>
    <row r="13006" spans="5:6">
      <c r="E13006" s="1"/>
      <c r="F13006" s="1"/>
    </row>
    <row r="13007" spans="5:6">
      <c r="E13007" s="1"/>
      <c r="F13007" s="1"/>
    </row>
    <row r="13008" spans="5:6">
      <c r="E13008" s="1"/>
      <c r="F13008" s="1"/>
    </row>
    <row r="13009" spans="5:6">
      <c r="E13009" s="1"/>
      <c r="F13009" s="1"/>
    </row>
    <row r="13010" spans="5:6">
      <c r="E13010" s="1"/>
      <c r="F13010" s="1"/>
    </row>
    <row r="13011" spans="5:6">
      <c r="E13011" s="1"/>
      <c r="F13011" s="1"/>
    </row>
    <row r="13012" spans="5:6">
      <c r="E13012" s="1"/>
      <c r="F13012" s="1"/>
    </row>
    <row r="13013" spans="5:6">
      <c r="E13013" s="1"/>
      <c r="F13013" s="1"/>
    </row>
    <row r="13014" spans="5:6">
      <c r="E13014" s="1"/>
      <c r="F13014" s="1"/>
    </row>
    <row r="13015" spans="5:6">
      <c r="E13015" s="1"/>
      <c r="F13015" s="1"/>
    </row>
    <row r="13016" spans="5:6">
      <c r="E13016" s="1"/>
      <c r="F13016" s="1"/>
    </row>
    <row r="13017" spans="5:6">
      <c r="E13017" s="1"/>
      <c r="F13017" s="1"/>
    </row>
    <row r="13018" spans="5:6">
      <c r="E13018" s="1"/>
      <c r="F13018" s="1"/>
    </row>
    <row r="13019" spans="5:6">
      <c r="E13019" s="1"/>
      <c r="F13019" s="1"/>
    </row>
    <row r="13020" spans="5:6">
      <c r="E13020" s="1"/>
      <c r="F13020" s="1"/>
    </row>
    <row r="13021" spans="5:6">
      <c r="E13021" s="1"/>
      <c r="F13021" s="1"/>
    </row>
    <row r="13022" spans="5:6">
      <c r="E13022" s="1"/>
      <c r="F13022" s="1"/>
    </row>
    <row r="13023" spans="5:6">
      <c r="E13023" s="1"/>
      <c r="F13023" s="1"/>
    </row>
    <row r="13024" spans="5:6">
      <c r="E13024" s="1"/>
      <c r="F13024" s="1"/>
    </row>
    <row r="13025" spans="5:6">
      <c r="E13025" s="1"/>
      <c r="F13025" s="1"/>
    </row>
    <row r="13026" spans="5:6">
      <c r="E13026" s="1"/>
      <c r="F13026" s="1"/>
    </row>
    <row r="13027" spans="5:6">
      <c r="E13027" s="1"/>
      <c r="F13027" s="1"/>
    </row>
    <row r="13028" spans="5:6">
      <c r="E13028" s="1"/>
      <c r="F13028" s="1"/>
    </row>
    <row r="13029" spans="5:6">
      <c r="E13029" s="1"/>
      <c r="F13029" s="1"/>
    </row>
    <row r="13030" spans="5:6">
      <c r="E13030" s="1"/>
      <c r="F13030" s="1"/>
    </row>
    <row r="13031" spans="5:6">
      <c r="E13031" s="1"/>
      <c r="F13031" s="1"/>
    </row>
    <row r="13032" spans="5:6">
      <c r="E13032" s="1"/>
      <c r="F13032" s="1"/>
    </row>
    <row r="13033" spans="5:6">
      <c r="E13033" s="1"/>
      <c r="F13033" s="1"/>
    </row>
    <row r="13034" spans="5:6">
      <c r="E13034" s="1"/>
      <c r="F13034" s="1"/>
    </row>
    <row r="13035" spans="5:6">
      <c r="E13035" s="1"/>
      <c r="F13035" s="1"/>
    </row>
    <row r="13036" spans="5:6">
      <c r="E13036" s="1"/>
      <c r="F13036" s="1"/>
    </row>
    <row r="13037" spans="5:6">
      <c r="E13037" s="1"/>
      <c r="F13037" s="1"/>
    </row>
    <row r="13038" spans="5:6">
      <c r="E13038" s="1"/>
      <c r="F13038" s="1"/>
    </row>
    <row r="13039" spans="5:6">
      <c r="E13039" s="1"/>
      <c r="F13039" s="1"/>
    </row>
    <row r="13040" spans="5:6">
      <c r="E13040" s="1"/>
      <c r="F13040" s="1"/>
    </row>
    <row r="13041" spans="5:6">
      <c r="E13041" s="1"/>
      <c r="F13041" s="1"/>
    </row>
    <row r="13042" spans="5:6">
      <c r="E13042" s="1"/>
      <c r="F13042" s="1"/>
    </row>
    <row r="13043" spans="5:6">
      <c r="E13043" s="1"/>
      <c r="F13043" s="1"/>
    </row>
    <row r="13044" spans="5:6">
      <c r="E13044" s="1"/>
      <c r="F13044" s="1"/>
    </row>
    <row r="13045" spans="5:6">
      <c r="E13045" s="1"/>
      <c r="F13045" s="1"/>
    </row>
    <row r="13046" spans="5:6">
      <c r="E13046" s="1"/>
      <c r="F13046" s="1"/>
    </row>
    <row r="13047" spans="5:6">
      <c r="E13047" s="1"/>
      <c r="F13047" s="1"/>
    </row>
    <row r="13048" spans="5:6">
      <c r="E13048" s="1"/>
      <c r="F13048" s="1"/>
    </row>
    <row r="13049" spans="5:6">
      <c r="E13049" s="1"/>
      <c r="F13049" s="1"/>
    </row>
    <row r="13050" spans="5:6">
      <c r="E13050" s="1"/>
      <c r="F13050" s="1"/>
    </row>
    <row r="13051" spans="5:6">
      <c r="E13051" s="1"/>
      <c r="F13051" s="1"/>
    </row>
    <row r="13052" spans="5:6">
      <c r="E13052" s="1"/>
      <c r="F13052" s="1"/>
    </row>
    <row r="13053" spans="5:6">
      <c r="E13053" s="1"/>
      <c r="F13053" s="1"/>
    </row>
    <row r="13054" spans="5:6">
      <c r="E13054" s="1"/>
      <c r="F13054" s="1"/>
    </row>
    <row r="13055" spans="5:6">
      <c r="E13055" s="1"/>
      <c r="F13055" s="1"/>
    </row>
    <row r="13056" spans="5:6">
      <c r="E13056" s="1"/>
      <c r="F13056" s="1"/>
    </row>
    <row r="13057" spans="5:6">
      <c r="E13057" s="1"/>
      <c r="F13057" s="1"/>
    </row>
    <row r="13058" spans="5:6">
      <c r="E13058" s="1"/>
      <c r="F13058" s="1"/>
    </row>
    <row r="13059" spans="5:6">
      <c r="E13059" s="1"/>
      <c r="F13059" s="1"/>
    </row>
    <row r="13060" spans="5:6">
      <c r="E13060" s="1"/>
      <c r="F13060" s="1"/>
    </row>
    <row r="13061" spans="5:6">
      <c r="E13061" s="1"/>
      <c r="F13061" s="1"/>
    </row>
    <row r="13062" spans="5:6">
      <c r="E13062" s="1"/>
      <c r="F13062" s="1"/>
    </row>
    <row r="13063" spans="5:6">
      <c r="E13063" s="1"/>
      <c r="F13063" s="1"/>
    </row>
    <row r="13064" spans="5:6">
      <c r="E13064" s="1"/>
      <c r="F13064" s="1"/>
    </row>
    <row r="13065" spans="5:6">
      <c r="E13065" s="1"/>
      <c r="F13065" s="1"/>
    </row>
    <row r="13066" spans="5:6">
      <c r="E13066" s="1"/>
      <c r="F13066" s="1"/>
    </row>
    <row r="13067" spans="5:6">
      <c r="E13067" s="1"/>
      <c r="F13067" s="1"/>
    </row>
    <row r="13068" spans="5:6">
      <c r="E13068" s="1"/>
      <c r="F13068" s="1"/>
    </row>
    <row r="13069" spans="5:6">
      <c r="E13069" s="1"/>
      <c r="F13069" s="1"/>
    </row>
    <row r="13070" spans="5:6">
      <c r="E13070" s="1"/>
      <c r="F13070" s="1"/>
    </row>
    <row r="13071" spans="5:6">
      <c r="E13071" s="1"/>
      <c r="F13071" s="1"/>
    </row>
    <row r="13072" spans="5:6">
      <c r="E13072" s="1"/>
      <c r="F13072" s="1"/>
    </row>
    <row r="13073" spans="5:6">
      <c r="E13073" s="1"/>
      <c r="F13073" s="1"/>
    </row>
    <row r="13074" spans="5:6">
      <c r="E13074" s="1"/>
      <c r="F13074" s="1"/>
    </row>
    <row r="13075" spans="5:6">
      <c r="E13075" s="1"/>
      <c r="F13075" s="1"/>
    </row>
    <row r="13076" spans="5:6">
      <c r="E13076" s="1"/>
      <c r="F13076" s="1"/>
    </row>
    <row r="13077" spans="5:6">
      <c r="E13077" s="1"/>
      <c r="F13077" s="1"/>
    </row>
    <row r="13078" spans="5:6">
      <c r="E13078" s="1"/>
      <c r="F13078" s="1"/>
    </row>
    <row r="13079" spans="5:6">
      <c r="E13079" s="1"/>
      <c r="F13079" s="1"/>
    </row>
    <row r="13080" spans="5:6">
      <c r="E13080" s="1"/>
      <c r="F13080" s="1"/>
    </row>
    <row r="13081" spans="5:6">
      <c r="E13081" s="1"/>
      <c r="F13081" s="1"/>
    </row>
    <row r="13082" spans="5:6">
      <c r="E13082" s="1"/>
      <c r="F13082" s="1"/>
    </row>
    <row r="13083" spans="5:6">
      <c r="E13083" s="1"/>
      <c r="F13083" s="1"/>
    </row>
    <row r="13084" spans="5:6">
      <c r="E13084" s="1"/>
      <c r="F13084" s="1"/>
    </row>
    <row r="13085" spans="5:6">
      <c r="E13085" s="1"/>
      <c r="F13085" s="1"/>
    </row>
    <row r="13086" spans="5:6">
      <c r="E13086" s="1"/>
      <c r="F13086" s="1"/>
    </row>
    <row r="13087" spans="5:6">
      <c r="E13087" s="1"/>
      <c r="F13087" s="1"/>
    </row>
    <row r="13088" spans="5:6">
      <c r="E13088" s="1"/>
      <c r="F13088" s="1"/>
    </row>
    <row r="13089" spans="5:6">
      <c r="E13089" s="1"/>
      <c r="F13089" s="1"/>
    </row>
    <row r="13090" spans="5:6">
      <c r="E13090" s="1"/>
      <c r="F13090" s="1"/>
    </row>
    <row r="13091" spans="5:6">
      <c r="E13091" s="1"/>
      <c r="F13091" s="1"/>
    </row>
    <row r="13092" spans="5:6">
      <c r="E13092" s="1"/>
      <c r="F13092" s="1"/>
    </row>
    <row r="13093" spans="5:6">
      <c r="E13093" s="1"/>
      <c r="F13093" s="1"/>
    </row>
    <row r="13094" spans="5:6">
      <c r="E13094" s="1"/>
      <c r="F13094" s="1"/>
    </row>
    <row r="13095" spans="5:6">
      <c r="E13095" s="1"/>
      <c r="F13095" s="1"/>
    </row>
    <row r="13096" spans="5:6">
      <c r="E13096" s="1"/>
      <c r="F13096" s="1"/>
    </row>
    <row r="13097" spans="5:6">
      <c r="E13097" s="1"/>
      <c r="F13097" s="1"/>
    </row>
    <row r="13098" spans="5:6">
      <c r="E13098" s="1"/>
      <c r="F13098" s="1"/>
    </row>
    <row r="13099" spans="5:6">
      <c r="E13099" s="1"/>
      <c r="F13099" s="1"/>
    </row>
    <row r="13100" spans="5:6">
      <c r="E13100" s="1"/>
      <c r="F13100" s="1"/>
    </row>
    <row r="13101" spans="5:6">
      <c r="E13101" s="1"/>
      <c r="F13101" s="1"/>
    </row>
    <row r="13102" spans="5:6">
      <c r="E13102" s="1"/>
      <c r="F13102" s="1"/>
    </row>
    <row r="13103" spans="5:6">
      <c r="E13103" s="1"/>
      <c r="F13103" s="1"/>
    </row>
    <row r="13104" spans="5:6">
      <c r="E13104" s="1"/>
      <c r="F13104" s="1"/>
    </row>
    <row r="13105" spans="5:6">
      <c r="E13105" s="1"/>
      <c r="F13105" s="1"/>
    </row>
    <row r="13106" spans="5:6">
      <c r="E13106" s="1"/>
      <c r="F13106" s="1"/>
    </row>
    <row r="13107" spans="5:6">
      <c r="E13107" s="1"/>
      <c r="F13107" s="1"/>
    </row>
    <row r="13108" spans="5:6">
      <c r="E13108" s="1"/>
      <c r="F13108" s="1"/>
    </row>
    <row r="13109" spans="5:6">
      <c r="E13109" s="1"/>
      <c r="F13109" s="1"/>
    </row>
    <row r="13110" spans="5:6">
      <c r="E13110" s="1"/>
      <c r="F13110" s="1"/>
    </row>
    <row r="13111" spans="5:6">
      <c r="E13111" s="1"/>
      <c r="F13111" s="1"/>
    </row>
    <row r="13112" spans="5:6">
      <c r="E13112" s="1"/>
      <c r="F13112" s="1"/>
    </row>
    <row r="13113" spans="5:6">
      <c r="E13113" s="1"/>
      <c r="F13113" s="1"/>
    </row>
    <row r="13114" spans="5:6">
      <c r="E13114" s="1"/>
      <c r="F13114" s="1"/>
    </row>
    <row r="13115" spans="5:6">
      <c r="E13115" s="1"/>
      <c r="F13115" s="1"/>
    </row>
    <row r="13116" spans="5:6">
      <c r="E13116" s="1"/>
      <c r="F13116" s="1"/>
    </row>
    <row r="13117" spans="5:6">
      <c r="E13117" s="1"/>
      <c r="F13117" s="1"/>
    </row>
    <row r="13118" spans="5:6">
      <c r="E13118" s="1"/>
      <c r="F13118" s="1"/>
    </row>
    <row r="13119" spans="5:6">
      <c r="E13119" s="1"/>
      <c r="F13119" s="1"/>
    </row>
    <row r="13120" spans="5:6">
      <c r="E13120" s="1"/>
      <c r="F13120" s="1"/>
    </row>
    <row r="13121" spans="5:6">
      <c r="E13121" s="1"/>
      <c r="F13121" s="1"/>
    </row>
    <row r="13122" spans="5:6">
      <c r="E13122" s="1"/>
      <c r="F13122" s="1"/>
    </row>
    <row r="13123" spans="5:6">
      <c r="E13123" s="1"/>
      <c r="F13123" s="1"/>
    </row>
    <row r="13124" spans="5:6">
      <c r="E13124" s="1"/>
      <c r="F13124" s="1"/>
    </row>
    <row r="13125" spans="5:6">
      <c r="E13125" s="1"/>
      <c r="F13125" s="1"/>
    </row>
    <row r="13126" spans="5:6">
      <c r="E13126" s="1"/>
      <c r="F13126" s="1"/>
    </row>
    <row r="13127" spans="5:6">
      <c r="E13127" s="1"/>
      <c r="F13127" s="1"/>
    </row>
    <row r="13128" spans="5:6">
      <c r="E13128" s="1"/>
      <c r="F13128" s="1"/>
    </row>
    <row r="13129" spans="5:6">
      <c r="E13129" s="1"/>
      <c r="F13129" s="1"/>
    </row>
    <row r="13130" spans="5:6">
      <c r="E13130" s="1"/>
      <c r="F13130" s="1"/>
    </row>
    <row r="13131" spans="5:6">
      <c r="E13131" s="1"/>
      <c r="F13131" s="1"/>
    </row>
    <row r="13132" spans="5:6">
      <c r="E13132" s="1"/>
      <c r="F13132" s="1"/>
    </row>
    <row r="13133" spans="5:6">
      <c r="E13133" s="1"/>
      <c r="F13133" s="1"/>
    </row>
    <row r="13134" spans="5:6">
      <c r="E13134" s="1"/>
      <c r="F13134" s="1"/>
    </row>
    <row r="13135" spans="5:6">
      <c r="E13135" s="1"/>
      <c r="F13135" s="1"/>
    </row>
    <row r="13136" spans="5:6">
      <c r="E13136" s="1"/>
      <c r="F13136" s="1"/>
    </row>
    <row r="13137" spans="5:6">
      <c r="E13137" s="1"/>
      <c r="F13137" s="1"/>
    </row>
    <row r="13138" spans="5:6">
      <c r="E13138" s="1"/>
      <c r="F13138" s="1"/>
    </row>
    <row r="13139" spans="5:6">
      <c r="E13139" s="1"/>
      <c r="F13139" s="1"/>
    </row>
    <row r="13140" spans="5:6">
      <c r="E13140" s="1"/>
      <c r="F13140" s="1"/>
    </row>
    <row r="13141" spans="5:6">
      <c r="E13141" s="1"/>
      <c r="F13141" s="1"/>
    </row>
    <row r="13142" spans="5:6">
      <c r="E13142" s="1"/>
      <c r="F13142" s="1"/>
    </row>
    <row r="13143" spans="5:6">
      <c r="E13143" s="1"/>
      <c r="F13143" s="1"/>
    </row>
    <row r="13144" spans="5:6">
      <c r="E13144" s="1"/>
      <c r="F13144" s="1"/>
    </row>
    <row r="13145" spans="5:6">
      <c r="E13145" s="1"/>
      <c r="F13145" s="1"/>
    </row>
    <row r="13146" spans="5:6">
      <c r="E13146" s="1"/>
      <c r="F13146" s="1"/>
    </row>
    <row r="13147" spans="5:6">
      <c r="E13147" s="1"/>
      <c r="F13147" s="1"/>
    </row>
    <row r="13148" spans="5:6">
      <c r="E13148" s="1"/>
      <c r="F13148" s="1"/>
    </row>
    <row r="13149" spans="5:6">
      <c r="E13149" s="1"/>
      <c r="F13149" s="1"/>
    </row>
    <row r="13150" spans="5:6">
      <c r="E13150" s="1"/>
      <c r="F13150" s="1"/>
    </row>
    <row r="13151" spans="5:6">
      <c r="E13151" s="1"/>
      <c r="F13151" s="1"/>
    </row>
    <row r="13152" spans="5:6">
      <c r="E13152" s="1"/>
      <c r="F13152" s="1"/>
    </row>
    <row r="13153" spans="5:6">
      <c r="E13153" s="1"/>
      <c r="F13153" s="1"/>
    </row>
    <row r="13154" spans="5:6">
      <c r="E13154" s="1"/>
      <c r="F13154" s="1"/>
    </row>
    <row r="13155" spans="5:6">
      <c r="E13155" s="1"/>
      <c r="F13155" s="1"/>
    </row>
    <row r="13156" spans="5:6">
      <c r="E13156" s="1"/>
      <c r="F13156" s="1"/>
    </row>
    <row r="13157" spans="5:6">
      <c r="E13157" s="1"/>
      <c r="F13157" s="1"/>
    </row>
    <row r="13158" spans="5:6">
      <c r="E13158" s="1"/>
      <c r="F13158" s="1"/>
    </row>
    <row r="13159" spans="5:6">
      <c r="E13159" s="1"/>
      <c r="F13159" s="1"/>
    </row>
    <row r="13160" spans="5:6">
      <c r="E13160" s="1"/>
      <c r="F13160" s="1"/>
    </row>
    <row r="13161" spans="5:6">
      <c r="E13161" s="1"/>
      <c r="F13161" s="1"/>
    </row>
    <row r="13162" spans="5:6">
      <c r="E13162" s="1"/>
      <c r="F13162" s="1"/>
    </row>
    <row r="13163" spans="5:6">
      <c r="E13163" s="1"/>
      <c r="F13163" s="1"/>
    </row>
    <row r="13164" spans="5:6">
      <c r="E13164" s="1"/>
      <c r="F13164" s="1"/>
    </row>
    <row r="13165" spans="5:6">
      <c r="E13165" s="1"/>
      <c r="F13165" s="1"/>
    </row>
    <row r="13166" spans="5:6">
      <c r="E13166" s="1"/>
      <c r="F13166" s="1"/>
    </row>
    <row r="13167" spans="5:6">
      <c r="E13167" s="1"/>
      <c r="F13167" s="1"/>
    </row>
    <row r="13168" spans="5:6">
      <c r="E13168" s="1"/>
      <c r="F13168" s="1"/>
    </row>
    <row r="13169" spans="5:6">
      <c r="E13169" s="1"/>
      <c r="F13169" s="1"/>
    </row>
    <row r="13170" spans="5:6">
      <c r="E13170" s="1"/>
      <c r="F13170" s="1"/>
    </row>
    <row r="13171" spans="5:6">
      <c r="E13171" s="1"/>
      <c r="F13171" s="1"/>
    </row>
    <row r="13172" spans="5:6">
      <c r="E13172" s="1"/>
      <c r="F13172" s="1"/>
    </row>
    <row r="13173" spans="5:6">
      <c r="E13173" s="1"/>
      <c r="F13173" s="1"/>
    </row>
    <row r="13174" spans="5:6">
      <c r="E13174" s="1"/>
      <c r="F13174" s="1"/>
    </row>
    <row r="13175" spans="5:6">
      <c r="E13175" s="1"/>
      <c r="F13175" s="1"/>
    </row>
    <row r="13176" spans="5:6">
      <c r="E13176" s="1"/>
      <c r="F13176" s="1"/>
    </row>
    <row r="13177" spans="5:6">
      <c r="E13177" s="1"/>
      <c r="F13177" s="1"/>
    </row>
    <row r="13178" spans="5:6">
      <c r="E13178" s="1"/>
      <c r="F13178" s="1"/>
    </row>
    <row r="13179" spans="5:6">
      <c r="E13179" s="1"/>
      <c r="F13179" s="1"/>
    </row>
    <row r="13180" spans="5:6">
      <c r="E13180" s="1"/>
      <c r="F13180" s="1"/>
    </row>
    <row r="13181" spans="5:6">
      <c r="E13181" s="1"/>
      <c r="F13181" s="1"/>
    </row>
    <row r="13182" spans="5:6">
      <c r="E13182" s="1"/>
      <c r="F13182" s="1"/>
    </row>
    <row r="13183" spans="5:6">
      <c r="E13183" s="1"/>
      <c r="F13183" s="1"/>
    </row>
    <row r="13184" spans="5:6">
      <c r="E13184" s="1"/>
      <c r="F13184" s="1"/>
    </row>
    <row r="13185" spans="5:6">
      <c r="E13185" s="1"/>
      <c r="F13185" s="1"/>
    </row>
    <row r="13186" spans="5:6">
      <c r="E13186" s="1"/>
      <c r="F13186" s="1"/>
    </row>
    <row r="13187" spans="5:6">
      <c r="E13187" s="1"/>
      <c r="F13187" s="1"/>
    </row>
    <row r="13188" spans="5:6">
      <c r="E13188" s="1"/>
      <c r="F13188" s="1"/>
    </row>
    <row r="13189" spans="5:6">
      <c r="E13189" s="1"/>
      <c r="F13189" s="1"/>
    </row>
    <row r="13190" spans="5:6">
      <c r="E13190" s="1"/>
      <c r="F13190" s="1"/>
    </row>
    <row r="13191" spans="5:6">
      <c r="E13191" s="1"/>
      <c r="F13191" s="1"/>
    </row>
    <row r="13192" spans="5:6">
      <c r="E13192" s="1"/>
      <c r="F13192" s="1"/>
    </row>
    <row r="13193" spans="5:6">
      <c r="E13193" s="1"/>
      <c r="F13193" s="1"/>
    </row>
    <row r="13194" spans="5:6">
      <c r="E13194" s="1"/>
      <c r="F13194" s="1"/>
    </row>
    <row r="13195" spans="5:6">
      <c r="E13195" s="1"/>
      <c r="F13195" s="1"/>
    </row>
    <row r="13196" spans="5:6">
      <c r="E13196" s="1"/>
      <c r="F13196" s="1"/>
    </row>
    <row r="13197" spans="5:6">
      <c r="E13197" s="1"/>
      <c r="F13197" s="1"/>
    </row>
    <row r="13198" spans="5:6">
      <c r="E13198" s="1"/>
      <c r="F13198" s="1"/>
    </row>
    <row r="13199" spans="5:6">
      <c r="E13199" s="1"/>
      <c r="F13199" s="1"/>
    </row>
    <row r="13200" spans="5:6">
      <c r="E13200" s="1"/>
      <c r="F13200" s="1"/>
    </row>
    <row r="13201" spans="5:6">
      <c r="E13201" s="1"/>
      <c r="F13201" s="1"/>
    </row>
    <row r="13202" spans="5:6">
      <c r="E13202" s="1"/>
      <c r="F13202" s="1"/>
    </row>
    <row r="13203" spans="5:6">
      <c r="E13203" s="1"/>
      <c r="F13203" s="1"/>
    </row>
    <row r="13204" spans="5:6">
      <c r="E13204" s="1"/>
      <c r="F13204" s="1"/>
    </row>
    <row r="13205" spans="5:6">
      <c r="E13205" s="1"/>
      <c r="F13205" s="1"/>
    </row>
    <row r="13206" spans="5:6">
      <c r="E13206" s="1"/>
      <c r="F13206" s="1"/>
    </row>
    <row r="13207" spans="5:6">
      <c r="E13207" s="1"/>
      <c r="F13207" s="1"/>
    </row>
    <row r="13208" spans="5:6">
      <c r="E13208" s="1"/>
      <c r="F13208" s="1"/>
    </row>
    <row r="13209" spans="5:6">
      <c r="E13209" s="1"/>
      <c r="F13209" s="1"/>
    </row>
    <row r="13210" spans="5:6">
      <c r="E13210" s="1"/>
      <c r="F13210" s="1"/>
    </row>
    <row r="13211" spans="5:6">
      <c r="E13211" s="1"/>
      <c r="F13211" s="1"/>
    </row>
    <row r="13212" spans="5:6">
      <c r="E13212" s="1"/>
      <c r="F13212" s="1"/>
    </row>
    <row r="13213" spans="5:6">
      <c r="E13213" s="1"/>
      <c r="F13213" s="1"/>
    </row>
    <row r="13214" spans="5:6">
      <c r="E13214" s="1"/>
      <c r="F13214" s="1"/>
    </row>
    <row r="13215" spans="5:6">
      <c r="E13215" s="1"/>
      <c r="F13215" s="1"/>
    </row>
    <row r="13216" spans="5:6">
      <c r="E13216" s="1"/>
      <c r="F13216" s="1"/>
    </row>
    <row r="13217" spans="5:6">
      <c r="E13217" s="1"/>
      <c r="F13217" s="1"/>
    </row>
    <row r="13218" spans="5:6">
      <c r="E13218" s="1"/>
      <c r="F13218" s="1"/>
    </row>
    <row r="13219" spans="5:6">
      <c r="E13219" s="1"/>
      <c r="F13219" s="1"/>
    </row>
    <row r="13220" spans="5:6">
      <c r="E13220" s="1"/>
      <c r="F13220" s="1"/>
    </row>
    <row r="13221" spans="5:6">
      <c r="E13221" s="1"/>
      <c r="F13221" s="1"/>
    </row>
    <row r="13222" spans="5:6">
      <c r="E13222" s="1"/>
      <c r="F13222" s="1"/>
    </row>
    <row r="13223" spans="5:6">
      <c r="E13223" s="1"/>
      <c r="F13223" s="1"/>
    </row>
    <row r="13224" spans="5:6">
      <c r="E13224" s="1"/>
      <c r="F13224" s="1"/>
    </row>
    <row r="13225" spans="5:6">
      <c r="E13225" s="1"/>
      <c r="F13225" s="1"/>
    </row>
    <row r="13226" spans="5:6">
      <c r="E13226" s="1"/>
      <c r="F13226" s="1"/>
    </row>
    <row r="13227" spans="5:6">
      <c r="E13227" s="1"/>
      <c r="F13227" s="1"/>
    </row>
    <row r="13228" spans="5:6">
      <c r="E13228" s="1"/>
      <c r="F13228" s="1"/>
    </row>
    <row r="13229" spans="5:6">
      <c r="E13229" s="1"/>
      <c r="F13229" s="1"/>
    </row>
    <row r="13230" spans="5:6">
      <c r="E13230" s="1"/>
      <c r="F13230" s="1"/>
    </row>
    <row r="13231" spans="5:6">
      <c r="E13231" s="1"/>
      <c r="F13231" s="1"/>
    </row>
    <row r="13232" spans="5:6">
      <c r="E13232" s="1"/>
      <c r="F13232" s="1"/>
    </row>
    <row r="13233" spans="5:6">
      <c r="E13233" s="1"/>
      <c r="F13233" s="1"/>
    </row>
    <row r="13234" spans="5:6">
      <c r="E13234" s="1"/>
      <c r="F13234" s="1"/>
    </row>
    <row r="13235" spans="5:6">
      <c r="E13235" s="1"/>
      <c r="F13235" s="1"/>
    </row>
    <row r="13236" spans="5:6">
      <c r="E13236" s="1"/>
      <c r="F13236" s="1"/>
    </row>
    <row r="13237" spans="5:6">
      <c r="E13237" s="1"/>
      <c r="F13237" s="1"/>
    </row>
    <row r="13238" spans="5:6">
      <c r="E13238" s="1"/>
      <c r="F13238" s="1"/>
    </row>
    <row r="13239" spans="5:6">
      <c r="E13239" s="1"/>
      <c r="F13239" s="1"/>
    </row>
    <row r="13240" spans="5:6">
      <c r="E13240" s="1"/>
      <c r="F13240" s="1"/>
    </row>
    <row r="13241" spans="5:6">
      <c r="E13241" s="1"/>
      <c r="F13241" s="1"/>
    </row>
    <row r="13242" spans="5:6">
      <c r="E13242" s="1"/>
      <c r="F13242" s="1"/>
    </row>
    <row r="13243" spans="5:6">
      <c r="E13243" s="1"/>
      <c r="F13243" s="1"/>
    </row>
    <row r="13244" spans="5:6">
      <c r="E13244" s="1"/>
      <c r="F13244" s="1"/>
    </row>
    <row r="13245" spans="5:6">
      <c r="E13245" s="1"/>
      <c r="F13245" s="1"/>
    </row>
    <row r="13246" spans="5:6">
      <c r="E13246" s="1"/>
      <c r="F13246" s="1"/>
    </row>
    <row r="13247" spans="5:6">
      <c r="E13247" s="1"/>
      <c r="F13247" s="1"/>
    </row>
    <row r="13248" spans="5:6">
      <c r="E13248" s="1"/>
      <c r="F13248" s="1"/>
    </row>
    <row r="13249" spans="5:6">
      <c r="E13249" s="1"/>
      <c r="F13249" s="1"/>
    </row>
    <row r="13250" spans="5:6">
      <c r="E13250" s="1"/>
      <c r="F13250" s="1"/>
    </row>
    <row r="13251" spans="5:6">
      <c r="E13251" s="1"/>
      <c r="F13251" s="1"/>
    </row>
    <row r="13252" spans="5:6">
      <c r="E13252" s="1"/>
      <c r="F13252" s="1"/>
    </row>
    <row r="13253" spans="5:6">
      <c r="E13253" s="1"/>
      <c r="F13253" s="1"/>
    </row>
    <row r="13254" spans="5:6">
      <c r="E13254" s="1"/>
      <c r="F13254" s="1"/>
    </row>
    <row r="13255" spans="5:6">
      <c r="E13255" s="1"/>
      <c r="F13255" s="1"/>
    </row>
    <row r="13256" spans="5:6">
      <c r="E13256" s="1"/>
      <c r="F13256" s="1"/>
    </row>
    <row r="13257" spans="5:6">
      <c r="E13257" s="1"/>
      <c r="F13257" s="1"/>
    </row>
    <row r="13258" spans="5:6">
      <c r="E13258" s="1"/>
      <c r="F13258" s="1"/>
    </row>
    <row r="13259" spans="5:6">
      <c r="E13259" s="1"/>
      <c r="F13259" s="1"/>
    </row>
    <row r="13260" spans="5:6">
      <c r="E13260" s="1"/>
      <c r="F13260" s="1"/>
    </row>
    <row r="13261" spans="5:6">
      <c r="E13261" s="1"/>
      <c r="F13261" s="1"/>
    </row>
    <row r="13262" spans="5:6">
      <c r="E13262" s="1"/>
      <c r="F13262" s="1"/>
    </row>
    <row r="13263" spans="5:6">
      <c r="E13263" s="1"/>
      <c r="F13263" s="1"/>
    </row>
    <row r="13264" spans="5:6">
      <c r="E13264" s="1"/>
      <c r="F13264" s="1"/>
    </row>
    <row r="13265" spans="5:6">
      <c r="E13265" s="1"/>
      <c r="F13265" s="1"/>
    </row>
    <row r="13266" spans="5:6">
      <c r="E13266" s="1"/>
      <c r="F13266" s="1"/>
    </row>
    <row r="13267" spans="5:6">
      <c r="E13267" s="1"/>
      <c r="F13267" s="1"/>
    </row>
    <row r="13268" spans="5:6">
      <c r="E13268" s="1"/>
      <c r="F13268" s="1"/>
    </row>
    <row r="13269" spans="5:6">
      <c r="E13269" s="1"/>
      <c r="F13269" s="1"/>
    </row>
    <row r="13270" spans="5:6">
      <c r="E13270" s="1"/>
      <c r="F13270" s="1"/>
    </row>
    <row r="13271" spans="5:6">
      <c r="E13271" s="1"/>
      <c r="F13271" s="1"/>
    </row>
    <row r="13272" spans="5:6">
      <c r="E13272" s="1"/>
      <c r="F13272" s="1"/>
    </row>
    <row r="13273" spans="5:6">
      <c r="E13273" s="1"/>
      <c r="F13273" s="1"/>
    </row>
    <row r="13274" spans="5:6">
      <c r="E13274" s="1"/>
      <c r="F13274" s="1"/>
    </row>
    <row r="13275" spans="5:6">
      <c r="E13275" s="1"/>
      <c r="F13275" s="1"/>
    </row>
    <row r="13276" spans="5:6">
      <c r="E13276" s="1"/>
      <c r="F13276" s="1"/>
    </row>
    <row r="13277" spans="5:6">
      <c r="E13277" s="1"/>
      <c r="F13277" s="1"/>
    </row>
    <row r="13278" spans="5:6">
      <c r="E13278" s="1"/>
      <c r="F13278" s="1"/>
    </row>
    <row r="13279" spans="5:6">
      <c r="E13279" s="1"/>
      <c r="F13279" s="1"/>
    </row>
    <row r="13280" spans="5:6">
      <c r="E13280" s="1"/>
      <c r="F13280" s="1"/>
    </row>
    <row r="13281" spans="5:6">
      <c r="E13281" s="1"/>
      <c r="F13281" s="1"/>
    </row>
    <row r="13282" spans="5:6">
      <c r="E13282" s="1"/>
      <c r="F13282" s="1"/>
    </row>
    <row r="13283" spans="5:6">
      <c r="E13283" s="1"/>
      <c r="F13283" s="1"/>
    </row>
    <row r="13284" spans="5:6">
      <c r="E13284" s="1"/>
      <c r="F13284" s="1"/>
    </row>
    <row r="13285" spans="5:6">
      <c r="E13285" s="1"/>
      <c r="F13285" s="1"/>
    </row>
    <row r="13286" spans="5:6">
      <c r="E13286" s="1"/>
      <c r="F13286" s="1"/>
    </row>
    <row r="13287" spans="5:6">
      <c r="E13287" s="1"/>
      <c r="F13287" s="1"/>
    </row>
    <row r="13288" spans="5:6">
      <c r="E13288" s="1"/>
      <c r="F13288" s="1"/>
    </row>
    <row r="13289" spans="5:6">
      <c r="E13289" s="1"/>
      <c r="F13289" s="1"/>
    </row>
    <row r="13290" spans="5:6">
      <c r="E13290" s="1"/>
      <c r="F13290" s="1"/>
    </row>
    <row r="13291" spans="5:6">
      <c r="E13291" s="1"/>
      <c r="F13291" s="1"/>
    </row>
    <row r="13292" spans="5:6">
      <c r="E13292" s="1"/>
      <c r="F13292" s="1"/>
    </row>
    <row r="13293" spans="5:6">
      <c r="E13293" s="1"/>
      <c r="F13293" s="1"/>
    </row>
    <row r="13294" spans="5:6">
      <c r="E13294" s="1"/>
      <c r="F13294" s="1"/>
    </row>
    <row r="13295" spans="5:6">
      <c r="E13295" s="1"/>
      <c r="F13295" s="1"/>
    </row>
    <row r="13296" spans="5:6">
      <c r="E13296" s="1"/>
      <c r="F13296" s="1"/>
    </row>
    <row r="13297" spans="5:6">
      <c r="E13297" s="1"/>
      <c r="F13297" s="1"/>
    </row>
    <row r="13298" spans="5:6">
      <c r="E13298" s="1"/>
      <c r="F13298" s="1"/>
    </row>
    <row r="13299" spans="5:6">
      <c r="E13299" s="1"/>
      <c r="F13299" s="1"/>
    </row>
    <row r="13300" spans="5:6">
      <c r="E13300" s="1"/>
      <c r="F13300" s="1"/>
    </row>
    <row r="13301" spans="5:6">
      <c r="E13301" s="1"/>
      <c r="F13301" s="1"/>
    </row>
    <row r="13302" spans="5:6">
      <c r="E13302" s="1"/>
      <c r="F13302" s="1"/>
    </row>
    <row r="13303" spans="5:6">
      <c r="E13303" s="1"/>
      <c r="F13303" s="1"/>
    </row>
    <row r="13304" spans="5:6">
      <c r="E13304" s="1"/>
      <c r="F13304" s="1"/>
    </row>
    <row r="13305" spans="5:6">
      <c r="E13305" s="1"/>
      <c r="F13305" s="1"/>
    </row>
    <row r="13306" spans="5:6">
      <c r="E13306" s="1"/>
      <c r="F13306" s="1"/>
    </row>
    <row r="13307" spans="5:6">
      <c r="E13307" s="1"/>
      <c r="F13307" s="1"/>
    </row>
    <row r="13308" spans="5:6">
      <c r="E13308" s="1"/>
      <c r="F13308" s="1"/>
    </row>
    <row r="13309" spans="5:6">
      <c r="E13309" s="1"/>
      <c r="F13309" s="1"/>
    </row>
    <row r="13310" spans="5:6">
      <c r="E13310" s="1"/>
      <c r="F13310" s="1"/>
    </row>
    <row r="13311" spans="5:6">
      <c r="E13311" s="1"/>
      <c r="F13311" s="1"/>
    </row>
    <row r="13312" spans="5:6">
      <c r="E13312" s="1"/>
      <c r="F13312" s="1"/>
    </row>
    <row r="13313" spans="5:6">
      <c r="E13313" s="1"/>
      <c r="F13313" s="1"/>
    </row>
    <row r="13314" spans="5:6">
      <c r="E13314" s="1"/>
      <c r="F13314" s="1"/>
    </row>
    <row r="13315" spans="5:6">
      <c r="E13315" s="1"/>
      <c r="F13315" s="1"/>
    </row>
    <row r="13316" spans="5:6">
      <c r="E13316" s="1"/>
      <c r="F13316" s="1"/>
    </row>
    <row r="13317" spans="5:6">
      <c r="E13317" s="1"/>
      <c r="F13317" s="1"/>
    </row>
    <row r="13318" spans="5:6">
      <c r="E13318" s="1"/>
      <c r="F13318" s="1"/>
    </row>
    <row r="13319" spans="5:6">
      <c r="E13319" s="1"/>
      <c r="F13319" s="1"/>
    </row>
    <row r="13320" spans="5:6">
      <c r="E13320" s="1"/>
      <c r="F13320" s="1"/>
    </row>
    <row r="13321" spans="5:6">
      <c r="E13321" s="1"/>
      <c r="F13321" s="1"/>
    </row>
    <row r="13322" spans="5:6">
      <c r="E13322" s="1"/>
      <c r="F13322" s="1"/>
    </row>
    <row r="13323" spans="5:6">
      <c r="E13323" s="1"/>
      <c r="F13323" s="1"/>
    </row>
    <row r="13324" spans="5:6">
      <c r="E13324" s="1"/>
      <c r="F13324" s="1"/>
    </row>
    <row r="13325" spans="5:6">
      <c r="E13325" s="1"/>
      <c r="F13325" s="1"/>
    </row>
    <row r="13326" spans="5:6">
      <c r="E13326" s="1"/>
      <c r="F13326" s="1"/>
    </row>
    <row r="13327" spans="5:6">
      <c r="E13327" s="1"/>
      <c r="F13327" s="1"/>
    </row>
    <row r="13328" spans="5:6">
      <c r="E13328" s="1"/>
      <c r="F13328" s="1"/>
    </row>
    <row r="13329" spans="5:6">
      <c r="E13329" s="1"/>
      <c r="F13329" s="1"/>
    </row>
    <row r="13330" spans="5:6">
      <c r="E13330" s="1"/>
      <c r="F13330" s="1"/>
    </row>
    <row r="13331" spans="5:6">
      <c r="E13331" s="1"/>
      <c r="F13331" s="1"/>
    </row>
    <row r="13332" spans="5:6">
      <c r="E13332" s="1"/>
      <c r="F13332" s="1"/>
    </row>
    <row r="13333" spans="5:6">
      <c r="E13333" s="1"/>
      <c r="F13333" s="1"/>
    </row>
    <row r="13334" spans="5:6">
      <c r="E13334" s="1"/>
      <c r="F13334" s="1"/>
    </row>
    <row r="13335" spans="5:6">
      <c r="E13335" s="1"/>
      <c r="F13335" s="1"/>
    </row>
    <row r="13336" spans="5:6">
      <c r="E13336" s="1"/>
      <c r="F13336" s="1"/>
    </row>
    <row r="13337" spans="5:6">
      <c r="E13337" s="1"/>
      <c r="F13337" s="1"/>
    </row>
    <row r="13338" spans="5:6">
      <c r="E13338" s="1"/>
      <c r="F13338" s="1"/>
    </row>
    <row r="13339" spans="5:6">
      <c r="E13339" s="1"/>
      <c r="F13339" s="1"/>
    </row>
    <row r="13340" spans="5:6">
      <c r="E13340" s="1"/>
      <c r="F13340" s="1"/>
    </row>
    <row r="13341" spans="5:6">
      <c r="E13341" s="1"/>
      <c r="F13341" s="1"/>
    </row>
    <row r="13342" spans="5:6">
      <c r="E13342" s="1"/>
      <c r="F13342" s="1"/>
    </row>
    <row r="13343" spans="5:6">
      <c r="E13343" s="1"/>
      <c r="F13343" s="1"/>
    </row>
    <row r="13344" spans="5:6">
      <c r="E13344" s="1"/>
      <c r="F13344" s="1"/>
    </row>
    <row r="13345" spans="5:6">
      <c r="E13345" s="1"/>
      <c r="F13345" s="1"/>
    </row>
    <row r="13346" spans="5:6">
      <c r="E13346" s="1"/>
      <c r="F13346" s="1"/>
    </row>
    <row r="13347" spans="5:6">
      <c r="E13347" s="1"/>
      <c r="F13347" s="1"/>
    </row>
    <row r="13348" spans="5:6">
      <c r="E13348" s="1"/>
      <c r="F13348" s="1"/>
    </row>
    <row r="13349" spans="5:6">
      <c r="E13349" s="1"/>
      <c r="F13349" s="1"/>
    </row>
    <row r="13350" spans="5:6">
      <c r="E13350" s="1"/>
      <c r="F13350" s="1"/>
    </row>
    <row r="13351" spans="5:6">
      <c r="E13351" s="1"/>
      <c r="F13351" s="1"/>
    </row>
    <row r="13352" spans="5:6">
      <c r="E13352" s="1"/>
      <c r="F13352" s="1"/>
    </row>
    <row r="13353" spans="5:6">
      <c r="E13353" s="1"/>
      <c r="F13353" s="1"/>
    </row>
    <row r="13354" spans="5:6">
      <c r="E13354" s="1"/>
      <c r="F13354" s="1"/>
    </row>
    <row r="13355" spans="5:6">
      <c r="E13355" s="1"/>
      <c r="F13355" s="1"/>
    </row>
    <row r="13356" spans="5:6">
      <c r="E13356" s="1"/>
      <c r="F13356" s="1"/>
    </row>
    <row r="13357" spans="5:6">
      <c r="E13357" s="1"/>
      <c r="F13357" s="1"/>
    </row>
    <row r="13358" spans="5:6">
      <c r="E13358" s="1"/>
      <c r="F13358" s="1"/>
    </row>
    <row r="13359" spans="5:6">
      <c r="E13359" s="1"/>
      <c r="F13359" s="1"/>
    </row>
    <row r="13360" spans="5:6">
      <c r="E13360" s="1"/>
      <c r="F13360" s="1"/>
    </row>
    <row r="13361" spans="5:6">
      <c r="E13361" s="1"/>
      <c r="F13361" s="1"/>
    </row>
    <row r="13362" spans="5:6">
      <c r="E13362" s="1"/>
      <c r="F13362" s="1"/>
    </row>
    <row r="13363" spans="5:6">
      <c r="E13363" s="1"/>
      <c r="F13363" s="1"/>
    </row>
    <row r="13364" spans="5:6">
      <c r="E13364" s="1"/>
      <c r="F13364" s="1"/>
    </row>
    <row r="13365" spans="5:6">
      <c r="E13365" s="1"/>
      <c r="F13365" s="1"/>
    </row>
    <row r="13366" spans="5:6">
      <c r="E13366" s="1"/>
      <c r="F13366" s="1"/>
    </row>
    <row r="13367" spans="5:6">
      <c r="E13367" s="1"/>
      <c r="F13367" s="1"/>
    </row>
    <row r="13368" spans="5:6">
      <c r="E13368" s="1"/>
      <c r="F13368" s="1"/>
    </row>
    <row r="13369" spans="5:6">
      <c r="E13369" s="1"/>
      <c r="F13369" s="1"/>
    </row>
    <row r="13370" spans="5:6">
      <c r="E13370" s="1"/>
      <c r="F13370" s="1"/>
    </row>
    <row r="13371" spans="5:6">
      <c r="E13371" s="1"/>
      <c r="F13371" s="1"/>
    </row>
    <row r="13372" spans="5:6">
      <c r="E13372" s="1"/>
      <c r="F13372" s="1"/>
    </row>
    <row r="13373" spans="5:6">
      <c r="E13373" s="1"/>
      <c r="F13373" s="1"/>
    </row>
    <row r="13374" spans="5:6">
      <c r="E13374" s="1"/>
      <c r="F13374" s="1"/>
    </row>
    <row r="13375" spans="5:6">
      <c r="E13375" s="1"/>
      <c r="F13375" s="1"/>
    </row>
    <row r="13376" spans="5:6">
      <c r="E13376" s="1"/>
      <c r="F13376" s="1"/>
    </row>
    <row r="13377" spans="5:6">
      <c r="E13377" s="1"/>
      <c r="F13377" s="1"/>
    </row>
    <row r="13378" spans="5:6">
      <c r="E13378" s="1"/>
      <c r="F13378" s="1"/>
    </row>
    <row r="13379" spans="5:6">
      <c r="E13379" s="1"/>
      <c r="F13379" s="1"/>
    </row>
    <row r="13380" spans="5:6">
      <c r="E13380" s="1"/>
      <c r="F13380" s="1"/>
    </row>
    <row r="13381" spans="5:6">
      <c r="E13381" s="1"/>
      <c r="F13381" s="1"/>
    </row>
    <row r="13382" spans="5:6">
      <c r="E13382" s="1"/>
      <c r="F13382" s="1"/>
    </row>
    <row r="13383" spans="5:6">
      <c r="E13383" s="1"/>
      <c r="F13383" s="1"/>
    </row>
    <row r="13384" spans="5:6">
      <c r="E13384" s="1"/>
      <c r="F13384" s="1"/>
    </row>
    <row r="13385" spans="5:6">
      <c r="E13385" s="1"/>
      <c r="F13385" s="1"/>
    </row>
    <row r="13386" spans="5:6">
      <c r="E13386" s="1"/>
      <c r="F13386" s="1"/>
    </row>
    <row r="13387" spans="5:6">
      <c r="E13387" s="1"/>
      <c r="F13387" s="1"/>
    </row>
    <row r="13388" spans="5:6">
      <c r="E13388" s="1"/>
      <c r="F13388" s="1"/>
    </row>
    <row r="13389" spans="5:6">
      <c r="E13389" s="1"/>
      <c r="F13389" s="1"/>
    </row>
    <row r="13390" spans="5:6">
      <c r="E13390" s="1"/>
      <c r="F13390" s="1"/>
    </row>
    <row r="13391" spans="5:6">
      <c r="E13391" s="1"/>
      <c r="F13391" s="1"/>
    </row>
    <row r="13392" spans="5:6">
      <c r="E13392" s="1"/>
      <c r="F13392" s="1"/>
    </row>
    <row r="13393" spans="5:6">
      <c r="E13393" s="1"/>
      <c r="F13393" s="1"/>
    </row>
    <row r="13394" spans="5:6">
      <c r="E13394" s="1"/>
      <c r="F13394" s="1"/>
    </row>
    <row r="13395" spans="5:6">
      <c r="E13395" s="1"/>
      <c r="F13395" s="1"/>
    </row>
    <row r="13396" spans="5:6">
      <c r="E13396" s="1"/>
      <c r="F13396" s="1"/>
    </row>
    <row r="13397" spans="5:6">
      <c r="E13397" s="1"/>
      <c r="F13397" s="1"/>
    </row>
    <row r="13398" spans="5:6">
      <c r="E13398" s="1"/>
      <c r="F13398" s="1"/>
    </row>
    <row r="13399" spans="5:6">
      <c r="E13399" s="1"/>
      <c r="F13399" s="1"/>
    </row>
    <row r="13400" spans="5:6">
      <c r="E13400" s="1"/>
      <c r="F13400" s="1"/>
    </row>
    <row r="13401" spans="5:6">
      <c r="E13401" s="1"/>
      <c r="F13401" s="1"/>
    </row>
    <row r="13402" spans="5:6">
      <c r="E13402" s="1"/>
      <c r="F13402" s="1"/>
    </row>
    <row r="13403" spans="5:6">
      <c r="E13403" s="1"/>
      <c r="F13403" s="1"/>
    </row>
    <row r="13404" spans="5:6">
      <c r="E13404" s="1"/>
      <c r="F13404" s="1"/>
    </row>
    <row r="13405" spans="5:6">
      <c r="E13405" s="1"/>
      <c r="F13405" s="1"/>
    </row>
    <row r="13406" spans="5:6">
      <c r="E13406" s="1"/>
      <c r="F13406" s="1"/>
    </row>
    <row r="13407" spans="5:6">
      <c r="E13407" s="1"/>
      <c r="F13407" s="1"/>
    </row>
    <row r="13408" spans="5:6">
      <c r="E13408" s="1"/>
      <c r="F13408" s="1"/>
    </row>
    <row r="13409" spans="5:6">
      <c r="E13409" s="1"/>
      <c r="F13409" s="1"/>
    </row>
    <row r="13410" spans="5:6">
      <c r="E13410" s="1"/>
      <c r="F13410" s="1"/>
    </row>
    <row r="13411" spans="5:6">
      <c r="E13411" s="1"/>
      <c r="F13411" s="1"/>
    </row>
    <row r="13412" spans="5:6">
      <c r="E13412" s="1"/>
      <c r="F13412" s="1"/>
    </row>
    <row r="13413" spans="5:6">
      <c r="E13413" s="1"/>
      <c r="F13413" s="1"/>
    </row>
    <row r="13414" spans="5:6">
      <c r="E13414" s="1"/>
      <c r="F13414" s="1"/>
    </row>
    <row r="13415" spans="5:6">
      <c r="E13415" s="1"/>
      <c r="F13415" s="1"/>
    </row>
    <row r="13416" spans="5:6">
      <c r="E13416" s="1"/>
      <c r="F13416" s="1"/>
    </row>
    <row r="13417" spans="5:6">
      <c r="E13417" s="1"/>
      <c r="F13417" s="1"/>
    </row>
    <row r="13418" spans="5:6">
      <c r="E13418" s="1"/>
      <c r="F13418" s="1"/>
    </row>
    <row r="13419" spans="5:6">
      <c r="E13419" s="1"/>
      <c r="F13419" s="1"/>
    </row>
    <row r="13420" spans="5:6">
      <c r="E13420" s="1"/>
      <c r="F13420" s="1"/>
    </row>
    <row r="13421" spans="5:6">
      <c r="E13421" s="1"/>
      <c r="F13421" s="1"/>
    </row>
    <row r="13422" spans="5:6">
      <c r="E13422" s="1"/>
      <c r="F13422" s="1"/>
    </row>
    <row r="13423" spans="5:6">
      <c r="E13423" s="1"/>
      <c r="F13423" s="1"/>
    </row>
    <row r="13424" spans="5:6">
      <c r="E13424" s="1"/>
      <c r="F13424" s="1"/>
    </row>
    <row r="13425" spans="5:6">
      <c r="E13425" s="1"/>
      <c r="F13425" s="1"/>
    </row>
    <row r="13426" spans="5:6">
      <c r="E13426" s="1"/>
      <c r="F13426" s="1"/>
    </row>
    <row r="13427" spans="5:6">
      <c r="E13427" s="1"/>
      <c r="F13427" s="1"/>
    </row>
    <row r="13428" spans="5:6">
      <c r="E13428" s="1"/>
      <c r="F13428" s="1"/>
    </row>
    <row r="13429" spans="5:6">
      <c r="E13429" s="1"/>
      <c r="F13429" s="1"/>
    </row>
    <row r="13430" spans="5:6">
      <c r="E13430" s="1"/>
      <c r="F13430" s="1"/>
    </row>
    <row r="13431" spans="5:6">
      <c r="E13431" s="1"/>
      <c r="F13431" s="1"/>
    </row>
    <row r="13432" spans="5:6">
      <c r="E13432" s="1"/>
      <c r="F13432" s="1"/>
    </row>
    <row r="13433" spans="5:6">
      <c r="E13433" s="1"/>
      <c r="F13433" s="1"/>
    </row>
    <row r="13434" spans="5:6">
      <c r="E13434" s="1"/>
      <c r="F13434" s="1"/>
    </row>
    <row r="13435" spans="5:6">
      <c r="E13435" s="1"/>
      <c r="F13435" s="1"/>
    </row>
    <row r="13436" spans="5:6">
      <c r="E13436" s="1"/>
      <c r="F13436" s="1"/>
    </row>
    <row r="13437" spans="5:6">
      <c r="E13437" s="1"/>
      <c r="F13437" s="1"/>
    </row>
    <row r="13438" spans="5:6">
      <c r="E13438" s="1"/>
      <c r="F13438" s="1"/>
    </row>
    <row r="13439" spans="5:6">
      <c r="E13439" s="1"/>
      <c r="F13439" s="1"/>
    </row>
    <row r="13440" spans="5:6">
      <c r="E13440" s="1"/>
      <c r="F13440" s="1"/>
    </row>
    <row r="13441" spans="5:6">
      <c r="E13441" s="1"/>
      <c r="F13441" s="1"/>
    </row>
    <row r="13442" spans="5:6">
      <c r="E13442" s="1"/>
      <c r="F13442" s="1"/>
    </row>
    <row r="13443" spans="5:6">
      <c r="E13443" s="1"/>
      <c r="F13443" s="1"/>
    </row>
    <row r="13444" spans="5:6">
      <c r="E13444" s="1"/>
      <c r="F13444" s="1"/>
    </row>
    <row r="13445" spans="5:6">
      <c r="E13445" s="1"/>
      <c r="F13445" s="1"/>
    </row>
    <row r="13446" spans="5:6">
      <c r="E13446" s="1"/>
      <c r="F13446" s="1"/>
    </row>
    <row r="13447" spans="5:6">
      <c r="E13447" s="1"/>
      <c r="F13447" s="1"/>
    </row>
    <row r="13448" spans="5:6">
      <c r="E13448" s="1"/>
      <c r="F13448" s="1"/>
    </row>
    <row r="13449" spans="5:6">
      <c r="E13449" s="1"/>
      <c r="F13449" s="1"/>
    </row>
    <row r="13450" spans="5:6">
      <c r="E13450" s="1"/>
      <c r="F13450" s="1"/>
    </row>
    <row r="13451" spans="5:6">
      <c r="E13451" s="1"/>
      <c r="F13451" s="1"/>
    </row>
    <row r="13452" spans="5:6">
      <c r="E13452" s="1"/>
      <c r="F13452" s="1"/>
    </row>
    <row r="13453" spans="5:6">
      <c r="E13453" s="1"/>
      <c r="F13453" s="1"/>
    </row>
    <row r="13454" spans="5:6">
      <c r="E13454" s="1"/>
      <c r="F13454" s="1"/>
    </row>
    <row r="13455" spans="5:6">
      <c r="E13455" s="1"/>
      <c r="F13455" s="1"/>
    </row>
    <row r="13456" spans="5:6">
      <c r="E13456" s="1"/>
      <c r="F13456" s="1"/>
    </row>
    <row r="13457" spans="5:6">
      <c r="E13457" s="1"/>
      <c r="F13457" s="1"/>
    </row>
    <row r="13458" spans="5:6">
      <c r="E13458" s="1"/>
      <c r="F13458" s="1"/>
    </row>
    <row r="13459" spans="5:6">
      <c r="E13459" s="1"/>
      <c r="F13459" s="1"/>
    </row>
    <row r="13460" spans="5:6">
      <c r="E13460" s="1"/>
      <c r="F13460" s="1"/>
    </row>
    <row r="13461" spans="5:6">
      <c r="E13461" s="1"/>
      <c r="F13461" s="1"/>
    </row>
    <row r="13462" spans="5:6">
      <c r="E13462" s="1"/>
      <c r="F13462" s="1"/>
    </row>
    <row r="13463" spans="5:6">
      <c r="E13463" s="1"/>
      <c r="F13463" s="1"/>
    </row>
    <row r="13464" spans="5:6">
      <c r="E13464" s="1"/>
      <c r="F13464" s="1"/>
    </row>
    <row r="13465" spans="5:6">
      <c r="E13465" s="1"/>
      <c r="F13465" s="1"/>
    </row>
    <row r="13466" spans="5:6">
      <c r="E13466" s="1"/>
      <c r="F13466" s="1"/>
    </row>
    <row r="13467" spans="5:6">
      <c r="E13467" s="1"/>
      <c r="F13467" s="1"/>
    </row>
    <row r="13468" spans="5:6">
      <c r="E13468" s="1"/>
      <c r="F13468" s="1"/>
    </row>
    <row r="13469" spans="5:6">
      <c r="E13469" s="1"/>
      <c r="F13469" s="1"/>
    </row>
    <row r="13470" spans="5:6">
      <c r="E13470" s="1"/>
      <c r="F13470" s="1"/>
    </row>
    <row r="13471" spans="5:6">
      <c r="E13471" s="1"/>
      <c r="F13471" s="1"/>
    </row>
    <row r="13472" spans="5:6">
      <c r="E13472" s="1"/>
      <c r="F13472" s="1"/>
    </row>
    <row r="13473" spans="5:6">
      <c r="E13473" s="1"/>
      <c r="F13473" s="1"/>
    </row>
    <row r="13474" spans="5:6">
      <c r="E13474" s="1"/>
      <c r="F13474" s="1"/>
    </row>
    <row r="13475" spans="5:6">
      <c r="E13475" s="1"/>
      <c r="F13475" s="1"/>
    </row>
    <row r="13476" spans="5:6">
      <c r="E13476" s="1"/>
      <c r="F13476" s="1"/>
    </row>
    <row r="13477" spans="5:6">
      <c r="E13477" s="1"/>
      <c r="F13477" s="1"/>
    </row>
    <row r="13478" spans="5:6">
      <c r="E13478" s="1"/>
      <c r="F13478" s="1"/>
    </row>
    <row r="13479" spans="5:6">
      <c r="E13479" s="1"/>
      <c r="F13479" s="1"/>
    </row>
    <row r="13480" spans="5:6">
      <c r="E13480" s="1"/>
      <c r="F13480" s="1"/>
    </row>
    <row r="13481" spans="5:6">
      <c r="E13481" s="1"/>
      <c r="F13481" s="1"/>
    </row>
    <row r="13482" spans="5:6">
      <c r="E13482" s="1"/>
      <c r="F13482" s="1"/>
    </row>
    <row r="13483" spans="5:6">
      <c r="E13483" s="1"/>
      <c r="F13483" s="1"/>
    </row>
    <row r="13484" spans="5:6">
      <c r="E13484" s="1"/>
      <c r="F13484" s="1"/>
    </row>
    <row r="13485" spans="5:6">
      <c r="E13485" s="1"/>
      <c r="F13485" s="1"/>
    </row>
    <row r="13486" spans="5:6">
      <c r="E13486" s="1"/>
      <c r="F13486" s="1"/>
    </row>
    <row r="13487" spans="5:6">
      <c r="E13487" s="1"/>
      <c r="F13487" s="1"/>
    </row>
    <row r="13488" spans="5:6">
      <c r="E13488" s="1"/>
      <c r="F13488" s="1"/>
    </row>
    <row r="13489" spans="5:6">
      <c r="E13489" s="1"/>
      <c r="F13489" s="1"/>
    </row>
    <row r="13490" spans="5:6">
      <c r="E13490" s="1"/>
      <c r="F13490" s="1"/>
    </row>
    <row r="13491" spans="5:6">
      <c r="E13491" s="1"/>
      <c r="F13491" s="1"/>
    </row>
    <row r="13492" spans="5:6">
      <c r="E13492" s="1"/>
      <c r="F13492" s="1"/>
    </row>
    <row r="13493" spans="5:6">
      <c r="E13493" s="1"/>
      <c r="F13493" s="1"/>
    </row>
    <row r="13494" spans="5:6">
      <c r="E13494" s="1"/>
      <c r="F13494" s="1"/>
    </row>
    <row r="13495" spans="5:6">
      <c r="E13495" s="1"/>
      <c r="F13495" s="1"/>
    </row>
    <row r="13496" spans="5:6">
      <c r="E13496" s="1"/>
      <c r="F13496" s="1"/>
    </row>
    <row r="13497" spans="5:6">
      <c r="E13497" s="1"/>
      <c r="F13497" s="1"/>
    </row>
    <row r="13498" spans="5:6">
      <c r="E13498" s="1"/>
      <c r="F13498" s="1"/>
    </row>
    <row r="13499" spans="5:6">
      <c r="E13499" s="1"/>
      <c r="F13499" s="1"/>
    </row>
    <row r="13500" spans="5:6">
      <c r="E13500" s="1"/>
      <c r="F13500" s="1"/>
    </row>
    <row r="13501" spans="5:6">
      <c r="E13501" s="1"/>
      <c r="F13501" s="1"/>
    </row>
    <row r="13502" spans="5:6">
      <c r="E13502" s="1"/>
      <c r="F13502" s="1"/>
    </row>
    <row r="13503" spans="5:6">
      <c r="E13503" s="1"/>
      <c r="F13503" s="1"/>
    </row>
    <row r="13504" spans="5:6">
      <c r="E13504" s="1"/>
      <c r="F13504" s="1"/>
    </row>
    <row r="13505" spans="5:6">
      <c r="E13505" s="1"/>
      <c r="F13505" s="1"/>
    </row>
    <row r="13506" spans="5:6">
      <c r="E13506" s="1"/>
      <c r="F13506" s="1"/>
    </row>
    <row r="13507" spans="5:6">
      <c r="E13507" s="1"/>
      <c r="F13507" s="1"/>
    </row>
    <row r="13508" spans="5:6">
      <c r="E13508" s="1"/>
      <c r="F13508" s="1"/>
    </row>
    <row r="13509" spans="5:6">
      <c r="E13509" s="1"/>
      <c r="F13509" s="1"/>
    </row>
    <row r="13510" spans="5:6">
      <c r="E13510" s="1"/>
      <c r="F13510" s="1"/>
    </row>
    <row r="13511" spans="5:6">
      <c r="E13511" s="1"/>
      <c r="F13511" s="1"/>
    </row>
    <row r="13512" spans="5:6">
      <c r="E13512" s="1"/>
      <c r="F13512" s="1"/>
    </row>
    <row r="13513" spans="5:6">
      <c r="E13513" s="1"/>
      <c r="F13513" s="1"/>
    </row>
    <row r="13514" spans="5:6">
      <c r="E13514" s="1"/>
      <c r="F13514" s="1"/>
    </row>
    <row r="13515" spans="5:6">
      <c r="E13515" s="1"/>
      <c r="F13515" s="1"/>
    </row>
    <row r="13516" spans="5:6">
      <c r="E13516" s="1"/>
      <c r="F13516" s="1"/>
    </row>
    <row r="13517" spans="5:6">
      <c r="E13517" s="1"/>
      <c r="F13517" s="1"/>
    </row>
    <row r="13518" spans="5:6">
      <c r="E13518" s="1"/>
      <c r="F13518" s="1"/>
    </row>
    <row r="13519" spans="5:6">
      <c r="E13519" s="1"/>
      <c r="F13519" s="1"/>
    </row>
    <row r="13520" spans="5:6">
      <c r="E13520" s="1"/>
      <c r="F13520" s="1"/>
    </row>
    <row r="13521" spans="5:6">
      <c r="E13521" s="1"/>
      <c r="F13521" s="1"/>
    </row>
    <row r="13522" spans="5:6">
      <c r="E13522" s="1"/>
      <c r="F13522" s="1"/>
    </row>
    <row r="13523" spans="5:6">
      <c r="E13523" s="1"/>
      <c r="F13523" s="1"/>
    </row>
    <row r="13524" spans="5:6">
      <c r="E13524" s="1"/>
      <c r="F13524" s="1"/>
    </row>
    <row r="13525" spans="5:6">
      <c r="E13525" s="1"/>
      <c r="F13525" s="1"/>
    </row>
    <row r="13526" spans="5:6">
      <c r="E13526" s="1"/>
      <c r="F13526" s="1"/>
    </row>
    <row r="13527" spans="5:6">
      <c r="E13527" s="1"/>
      <c r="F13527" s="1"/>
    </row>
    <row r="13528" spans="5:6">
      <c r="E13528" s="1"/>
      <c r="F13528" s="1"/>
    </row>
    <row r="13529" spans="5:6">
      <c r="E13529" s="1"/>
      <c r="F13529" s="1"/>
    </row>
    <row r="13530" spans="5:6">
      <c r="E13530" s="1"/>
      <c r="F13530" s="1"/>
    </row>
    <row r="13531" spans="5:6">
      <c r="E13531" s="1"/>
      <c r="F13531" s="1"/>
    </row>
    <row r="13532" spans="5:6">
      <c r="E13532" s="1"/>
      <c r="F13532" s="1"/>
    </row>
    <row r="13533" spans="5:6">
      <c r="E13533" s="1"/>
      <c r="F13533" s="1"/>
    </row>
    <row r="13534" spans="5:6">
      <c r="E13534" s="1"/>
      <c r="F13534" s="1"/>
    </row>
    <row r="13535" spans="5:6">
      <c r="E13535" s="1"/>
      <c r="F13535" s="1"/>
    </row>
    <row r="13536" spans="5:6">
      <c r="E13536" s="1"/>
      <c r="F13536" s="1"/>
    </row>
    <row r="13537" spans="5:6">
      <c r="E13537" s="1"/>
      <c r="F13537" s="1"/>
    </row>
    <row r="13538" spans="5:6">
      <c r="E13538" s="1"/>
      <c r="F13538" s="1"/>
    </row>
    <row r="13539" spans="5:6">
      <c r="E13539" s="1"/>
      <c r="F13539" s="1"/>
    </row>
    <row r="13540" spans="5:6">
      <c r="E13540" s="1"/>
      <c r="F13540" s="1"/>
    </row>
    <row r="13541" spans="5:6">
      <c r="E13541" s="1"/>
      <c r="F13541" s="1"/>
    </row>
    <row r="13542" spans="5:6">
      <c r="E13542" s="1"/>
      <c r="F13542" s="1"/>
    </row>
    <row r="13543" spans="5:6">
      <c r="E13543" s="1"/>
      <c r="F13543" s="1"/>
    </row>
    <row r="13544" spans="5:6">
      <c r="E13544" s="1"/>
      <c r="F13544" s="1"/>
    </row>
    <row r="13545" spans="5:6">
      <c r="E13545" s="1"/>
      <c r="F13545" s="1"/>
    </row>
    <row r="13546" spans="5:6">
      <c r="E13546" s="1"/>
      <c r="F13546" s="1"/>
    </row>
    <row r="13547" spans="5:6">
      <c r="E13547" s="1"/>
      <c r="F13547" s="1"/>
    </row>
    <row r="13548" spans="5:6">
      <c r="E13548" s="1"/>
      <c r="F13548" s="1"/>
    </row>
    <row r="13549" spans="5:6">
      <c r="E13549" s="1"/>
      <c r="F13549" s="1"/>
    </row>
    <row r="13550" spans="5:6">
      <c r="E13550" s="1"/>
      <c r="F13550" s="1"/>
    </row>
    <row r="13551" spans="5:6">
      <c r="E13551" s="1"/>
      <c r="F13551" s="1"/>
    </row>
    <row r="13552" spans="5:6">
      <c r="E13552" s="1"/>
      <c r="F13552" s="1"/>
    </row>
    <row r="13553" spans="5:6">
      <c r="E13553" s="1"/>
      <c r="F13553" s="1"/>
    </row>
    <row r="13554" spans="5:6">
      <c r="E13554" s="1"/>
      <c r="F13554" s="1"/>
    </row>
    <row r="13555" spans="5:6">
      <c r="E13555" s="1"/>
      <c r="F13555" s="1"/>
    </row>
    <row r="13556" spans="5:6">
      <c r="E13556" s="1"/>
      <c r="F13556" s="1"/>
    </row>
    <row r="13557" spans="5:6">
      <c r="E13557" s="1"/>
      <c r="F13557" s="1"/>
    </row>
    <row r="13558" spans="5:6">
      <c r="E13558" s="1"/>
      <c r="F13558" s="1"/>
    </row>
    <row r="13559" spans="5:6">
      <c r="E13559" s="1"/>
      <c r="F13559" s="1"/>
    </row>
    <row r="13560" spans="5:6">
      <c r="E13560" s="1"/>
      <c r="F13560" s="1"/>
    </row>
    <row r="13561" spans="5:6">
      <c r="E13561" s="1"/>
      <c r="F13561" s="1"/>
    </row>
    <row r="13562" spans="5:6">
      <c r="E13562" s="1"/>
      <c r="F13562" s="1"/>
    </row>
    <row r="13563" spans="5:6">
      <c r="E13563" s="1"/>
      <c r="F13563" s="1"/>
    </row>
    <row r="13564" spans="5:6">
      <c r="E13564" s="1"/>
      <c r="F13564" s="1"/>
    </row>
    <row r="13565" spans="5:6">
      <c r="E13565" s="1"/>
      <c r="F13565" s="1"/>
    </row>
    <row r="13566" spans="5:6">
      <c r="E13566" s="1"/>
      <c r="F13566" s="1"/>
    </row>
    <row r="13567" spans="5:6">
      <c r="E13567" s="1"/>
      <c r="F13567" s="1"/>
    </row>
    <row r="13568" spans="5:6">
      <c r="E13568" s="1"/>
      <c r="F13568" s="1"/>
    </row>
    <row r="13569" spans="5:6">
      <c r="E13569" s="1"/>
      <c r="F13569" s="1"/>
    </row>
    <row r="13570" spans="5:6">
      <c r="E13570" s="1"/>
      <c r="F13570" s="1"/>
    </row>
    <row r="13571" spans="5:6">
      <c r="E13571" s="1"/>
      <c r="F13571" s="1"/>
    </row>
    <row r="13572" spans="5:6">
      <c r="E13572" s="1"/>
      <c r="F13572" s="1"/>
    </row>
    <row r="13573" spans="5:6">
      <c r="E13573" s="1"/>
      <c r="F13573" s="1"/>
    </row>
    <row r="13574" spans="5:6">
      <c r="E13574" s="1"/>
      <c r="F13574" s="1"/>
    </row>
    <row r="13575" spans="5:6">
      <c r="E13575" s="1"/>
      <c r="F13575" s="1"/>
    </row>
    <row r="13576" spans="5:6">
      <c r="E13576" s="1"/>
      <c r="F13576" s="1"/>
    </row>
    <row r="13577" spans="5:6">
      <c r="E13577" s="1"/>
      <c r="F13577" s="1"/>
    </row>
    <row r="13578" spans="5:6">
      <c r="E13578" s="1"/>
      <c r="F13578" s="1"/>
    </row>
    <row r="13579" spans="5:6">
      <c r="E13579" s="1"/>
      <c r="F13579" s="1"/>
    </row>
    <row r="13580" spans="5:6">
      <c r="E13580" s="1"/>
      <c r="F13580" s="1"/>
    </row>
    <row r="13581" spans="5:6">
      <c r="E13581" s="1"/>
      <c r="F13581" s="1"/>
    </row>
    <row r="13582" spans="5:6">
      <c r="E13582" s="1"/>
      <c r="F13582" s="1"/>
    </row>
    <row r="13583" spans="5:6">
      <c r="E13583" s="1"/>
      <c r="F13583" s="1"/>
    </row>
    <row r="13584" spans="5:6">
      <c r="E13584" s="1"/>
      <c r="F13584" s="1"/>
    </row>
    <row r="13585" spans="5:6">
      <c r="E13585" s="1"/>
      <c r="F13585" s="1"/>
    </row>
    <row r="13586" spans="5:6">
      <c r="E13586" s="1"/>
      <c r="F13586" s="1"/>
    </row>
    <row r="13587" spans="5:6">
      <c r="E13587" s="1"/>
      <c r="F13587" s="1"/>
    </row>
    <row r="13588" spans="5:6">
      <c r="E13588" s="1"/>
      <c r="F13588" s="1"/>
    </row>
    <row r="13589" spans="5:6">
      <c r="E13589" s="1"/>
      <c r="F13589" s="1"/>
    </row>
    <row r="13590" spans="5:6">
      <c r="E13590" s="1"/>
      <c r="F13590" s="1"/>
    </row>
    <row r="13591" spans="5:6">
      <c r="E13591" s="1"/>
      <c r="F13591" s="1"/>
    </row>
    <row r="13592" spans="5:6">
      <c r="E13592" s="1"/>
      <c r="F13592" s="1"/>
    </row>
    <row r="13593" spans="5:6">
      <c r="E13593" s="1"/>
      <c r="F13593" s="1"/>
    </row>
    <row r="13594" spans="5:6">
      <c r="E13594" s="1"/>
      <c r="F13594" s="1"/>
    </row>
    <row r="13595" spans="5:6">
      <c r="E13595" s="1"/>
      <c r="F13595" s="1"/>
    </row>
    <row r="13596" spans="5:6">
      <c r="E13596" s="1"/>
      <c r="F13596" s="1"/>
    </row>
    <row r="13597" spans="5:6">
      <c r="E13597" s="1"/>
      <c r="F13597" s="1"/>
    </row>
    <row r="13598" spans="5:6">
      <c r="E13598" s="1"/>
      <c r="F13598" s="1"/>
    </row>
    <row r="13599" spans="5:6">
      <c r="E13599" s="1"/>
      <c r="F13599" s="1"/>
    </row>
    <row r="13600" spans="5:6">
      <c r="E13600" s="1"/>
      <c r="F13600" s="1"/>
    </row>
    <row r="13601" spans="5:6">
      <c r="E13601" s="1"/>
      <c r="F13601" s="1"/>
    </row>
    <row r="13602" spans="5:6">
      <c r="E13602" s="1"/>
      <c r="F13602" s="1"/>
    </row>
    <row r="13603" spans="5:6">
      <c r="E13603" s="1"/>
      <c r="F13603" s="1"/>
    </row>
    <row r="13604" spans="5:6">
      <c r="E13604" s="1"/>
      <c r="F13604" s="1"/>
    </row>
    <row r="13605" spans="5:6">
      <c r="E13605" s="1"/>
      <c r="F13605" s="1"/>
    </row>
    <row r="13606" spans="5:6">
      <c r="E13606" s="1"/>
      <c r="F13606" s="1"/>
    </row>
    <row r="13607" spans="5:6">
      <c r="E13607" s="1"/>
      <c r="F13607" s="1"/>
    </row>
    <row r="13608" spans="5:6">
      <c r="E13608" s="1"/>
      <c r="F13608" s="1"/>
    </row>
    <row r="13609" spans="5:6">
      <c r="E13609" s="1"/>
      <c r="F13609" s="1"/>
    </row>
    <row r="13610" spans="5:6">
      <c r="E13610" s="1"/>
      <c r="F13610" s="1"/>
    </row>
    <row r="13611" spans="5:6">
      <c r="E13611" s="1"/>
      <c r="F13611" s="1"/>
    </row>
    <row r="13612" spans="5:6">
      <c r="E13612" s="1"/>
      <c r="F13612" s="1"/>
    </row>
    <row r="13613" spans="5:6">
      <c r="E13613" s="1"/>
      <c r="F13613" s="1"/>
    </row>
    <row r="13614" spans="5:6">
      <c r="E13614" s="1"/>
      <c r="F13614" s="1"/>
    </row>
    <row r="13615" spans="5:6">
      <c r="E13615" s="1"/>
      <c r="F13615" s="1"/>
    </row>
    <row r="13616" spans="5:6">
      <c r="E13616" s="1"/>
      <c r="F13616" s="1"/>
    </row>
    <row r="13617" spans="5:6">
      <c r="E13617" s="1"/>
      <c r="F13617" s="1"/>
    </row>
    <row r="13618" spans="5:6">
      <c r="E13618" s="1"/>
      <c r="F13618" s="1"/>
    </row>
    <row r="13619" spans="5:6">
      <c r="E13619" s="1"/>
      <c r="F13619" s="1"/>
    </row>
    <row r="13620" spans="5:6">
      <c r="E13620" s="1"/>
      <c r="F13620" s="1"/>
    </row>
    <row r="13621" spans="5:6">
      <c r="E13621" s="1"/>
      <c r="F13621" s="1"/>
    </row>
    <row r="13622" spans="5:6">
      <c r="E13622" s="1"/>
      <c r="F13622" s="1"/>
    </row>
    <row r="13623" spans="5:6">
      <c r="E13623" s="1"/>
      <c r="F13623" s="1"/>
    </row>
    <row r="13624" spans="5:6">
      <c r="E13624" s="1"/>
      <c r="F13624" s="1"/>
    </row>
    <row r="13625" spans="5:6">
      <c r="E13625" s="1"/>
      <c r="F13625" s="1"/>
    </row>
    <row r="13626" spans="5:6">
      <c r="E13626" s="1"/>
      <c r="F13626" s="1"/>
    </row>
    <row r="13627" spans="5:6">
      <c r="E13627" s="1"/>
      <c r="F13627" s="1"/>
    </row>
    <row r="13628" spans="5:6">
      <c r="E13628" s="1"/>
      <c r="F13628" s="1"/>
    </row>
    <row r="13629" spans="5:6">
      <c r="E13629" s="1"/>
      <c r="F13629" s="1"/>
    </row>
    <row r="13630" spans="5:6">
      <c r="E13630" s="1"/>
      <c r="F13630" s="1"/>
    </row>
    <row r="13631" spans="5:6">
      <c r="E13631" s="1"/>
      <c r="F13631" s="1"/>
    </row>
    <row r="13632" spans="5:6">
      <c r="E13632" s="1"/>
      <c r="F13632" s="1"/>
    </row>
    <row r="13633" spans="5:6">
      <c r="E13633" s="1"/>
      <c r="F13633" s="1"/>
    </row>
    <row r="13634" spans="5:6">
      <c r="E13634" s="1"/>
      <c r="F13634" s="1"/>
    </row>
    <row r="13635" spans="5:6">
      <c r="E13635" s="1"/>
      <c r="F13635" s="1"/>
    </row>
    <row r="13636" spans="5:6">
      <c r="E13636" s="1"/>
      <c r="F13636" s="1"/>
    </row>
    <row r="13637" spans="5:6">
      <c r="E13637" s="1"/>
      <c r="F13637" s="1"/>
    </row>
    <row r="13638" spans="5:6">
      <c r="E13638" s="1"/>
      <c r="F13638" s="1"/>
    </row>
    <row r="13639" spans="5:6">
      <c r="E13639" s="1"/>
      <c r="F13639" s="1"/>
    </row>
    <row r="13640" spans="5:6">
      <c r="E13640" s="1"/>
      <c r="F13640" s="1"/>
    </row>
    <row r="13641" spans="5:6">
      <c r="E13641" s="1"/>
      <c r="F13641" s="1"/>
    </row>
    <row r="13642" spans="5:6">
      <c r="E13642" s="1"/>
      <c r="F13642" s="1"/>
    </row>
    <row r="13643" spans="5:6">
      <c r="E13643" s="1"/>
      <c r="F13643" s="1"/>
    </row>
    <row r="13644" spans="5:6">
      <c r="E13644" s="1"/>
      <c r="F13644" s="1"/>
    </row>
    <row r="13645" spans="5:6">
      <c r="E13645" s="1"/>
      <c r="F13645" s="1"/>
    </row>
    <row r="13646" spans="5:6">
      <c r="E13646" s="1"/>
      <c r="F13646" s="1"/>
    </row>
    <row r="13647" spans="5:6">
      <c r="E13647" s="1"/>
      <c r="F13647" s="1"/>
    </row>
    <row r="13648" spans="5:6">
      <c r="E13648" s="1"/>
      <c r="F13648" s="1"/>
    </row>
    <row r="13649" spans="5:6">
      <c r="E13649" s="1"/>
      <c r="F13649" s="1"/>
    </row>
    <row r="13650" spans="5:6">
      <c r="E13650" s="1"/>
      <c r="F13650" s="1"/>
    </row>
    <row r="13651" spans="5:6">
      <c r="E13651" s="1"/>
      <c r="F13651" s="1"/>
    </row>
    <row r="13652" spans="5:6">
      <c r="E13652" s="1"/>
      <c r="F13652" s="1"/>
    </row>
    <row r="13653" spans="5:6">
      <c r="E13653" s="1"/>
      <c r="F13653" s="1"/>
    </row>
    <row r="13654" spans="5:6">
      <c r="E13654" s="1"/>
      <c r="F13654" s="1"/>
    </row>
    <row r="13655" spans="5:6">
      <c r="E13655" s="1"/>
      <c r="F13655" s="1"/>
    </row>
    <row r="13656" spans="5:6">
      <c r="E13656" s="1"/>
      <c r="F13656" s="1"/>
    </row>
    <row r="13657" spans="5:6">
      <c r="E13657" s="1"/>
      <c r="F13657" s="1"/>
    </row>
    <row r="13658" spans="5:6">
      <c r="E13658" s="1"/>
      <c r="F13658" s="1"/>
    </row>
    <row r="13659" spans="5:6">
      <c r="E13659" s="1"/>
      <c r="F13659" s="1"/>
    </row>
    <row r="13660" spans="5:6">
      <c r="E13660" s="1"/>
      <c r="F13660" s="1"/>
    </row>
    <row r="13661" spans="5:6">
      <c r="E13661" s="1"/>
      <c r="F13661" s="1"/>
    </row>
    <row r="13662" spans="5:6">
      <c r="E13662" s="1"/>
      <c r="F13662" s="1"/>
    </row>
    <row r="13663" spans="5:6">
      <c r="E13663" s="1"/>
      <c r="F13663" s="1"/>
    </row>
    <row r="13664" spans="5:6">
      <c r="E13664" s="1"/>
      <c r="F13664" s="1"/>
    </row>
    <row r="13665" spans="5:6">
      <c r="E13665" s="1"/>
      <c r="F13665" s="1"/>
    </row>
    <row r="13666" spans="5:6">
      <c r="E13666" s="1"/>
      <c r="F13666" s="1"/>
    </row>
    <row r="13667" spans="5:6">
      <c r="E13667" s="1"/>
      <c r="F13667" s="1"/>
    </row>
    <row r="13668" spans="5:6">
      <c r="E13668" s="1"/>
      <c r="F13668" s="1"/>
    </row>
    <row r="13669" spans="5:6">
      <c r="E13669" s="1"/>
      <c r="F13669" s="1"/>
    </row>
    <row r="13670" spans="5:6">
      <c r="E13670" s="1"/>
      <c r="F13670" s="1"/>
    </row>
    <row r="13671" spans="5:6">
      <c r="E13671" s="1"/>
      <c r="F13671" s="1"/>
    </row>
    <row r="13672" spans="5:6">
      <c r="E13672" s="1"/>
      <c r="F13672" s="1"/>
    </row>
    <row r="13673" spans="5:6">
      <c r="E13673" s="1"/>
      <c r="F13673" s="1"/>
    </row>
    <row r="13674" spans="5:6">
      <c r="E13674" s="1"/>
      <c r="F13674" s="1"/>
    </row>
    <row r="13675" spans="5:6">
      <c r="E13675" s="1"/>
      <c r="F13675" s="1"/>
    </row>
    <row r="13676" spans="5:6">
      <c r="E13676" s="1"/>
      <c r="F13676" s="1"/>
    </row>
    <row r="13677" spans="5:6">
      <c r="E13677" s="1"/>
      <c r="F13677" s="1"/>
    </row>
    <row r="13678" spans="5:6">
      <c r="E13678" s="1"/>
      <c r="F13678" s="1"/>
    </row>
    <row r="13679" spans="5:6">
      <c r="E13679" s="1"/>
      <c r="F13679" s="1"/>
    </row>
    <row r="13680" spans="5:6">
      <c r="E13680" s="1"/>
      <c r="F13680" s="1"/>
    </row>
    <row r="13681" spans="5:6">
      <c r="E13681" s="1"/>
      <c r="F13681" s="1"/>
    </row>
    <row r="13682" spans="5:6">
      <c r="E13682" s="1"/>
      <c r="F13682" s="1"/>
    </row>
    <row r="13683" spans="5:6">
      <c r="E13683" s="1"/>
      <c r="F13683" s="1"/>
    </row>
    <row r="13684" spans="5:6">
      <c r="E13684" s="1"/>
      <c r="F13684" s="1"/>
    </row>
    <row r="13685" spans="5:6">
      <c r="E13685" s="1"/>
      <c r="F13685" s="1"/>
    </row>
    <row r="13686" spans="5:6">
      <c r="E13686" s="1"/>
      <c r="F13686" s="1"/>
    </row>
    <row r="13687" spans="5:6">
      <c r="E13687" s="1"/>
      <c r="F13687" s="1"/>
    </row>
    <row r="13688" spans="5:6">
      <c r="E13688" s="1"/>
      <c r="F13688" s="1"/>
    </row>
    <row r="13689" spans="5:6">
      <c r="E13689" s="1"/>
      <c r="F13689" s="1"/>
    </row>
    <row r="13690" spans="5:6">
      <c r="E13690" s="1"/>
      <c r="F13690" s="1"/>
    </row>
    <row r="13691" spans="5:6">
      <c r="E13691" s="1"/>
      <c r="F13691" s="1"/>
    </row>
    <row r="13692" spans="5:6">
      <c r="E13692" s="1"/>
      <c r="F13692" s="1"/>
    </row>
    <row r="13693" spans="5:6">
      <c r="E13693" s="1"/>
      <c r="F13693" s="1"/>
    </row>
    <row r="13694" spans="5:6">
      <c r="E13694" s="1"/>
      <c r="F13694" s="1"/>
    </row>
    <row r="13695" spans="5:6">
      <c r="E13695" s="1"/>
      <c r="F13695" s="1"/>
    </row>
    <row r="13696" spans="5:6">
      <c r="E13696" s="1"/>
      <c r="F13696" s="1"/>
    </row>
    <row r="13697" spans="5:6">
      <c r="E13697" s="1"/>
      <c r="F13697" s="1"/>
    </row>
    <row r="13698" spans="5:6">
      <c r="E13698" s="1"/>
      <c r="F13698" s="1"/>
    </row>
    <row r="13699" spans="5:6">
      <c r="E13699" s="1"/>
      <c r="F13699" s="1"/>
    </row>
    <row r="13700" spans="5:6">
      <c r="E13700" s="1"/>
      <c r="F13700" s="1"/>
    </row>
    <row r="13701" spans="5:6">
      <c r="E13701" s="1"/>
      <c r="F13701" s="1"/>
    </row>
    <row r="13702" spans="5:6">
      <c r="E13702" s="1"/>
      <c r="F13702" s="1"/>
    </row>
    <row r="13703" spans="5:6">
      <c r="E13703" s="1"/>
      <c r="F13703" s="1"/>
    </row>
    <row r="13704" spans="5:6">
      <c r="E13704" s="1"/>
      <c r="F13704" s="1"/>
    </row>
    <row r="13705" spans="5:6">
      <c r="E13705" s="1"/>
      <c r="F13705" s="1"/>
    </row>
    <row r="13706" spans="5:6">
      <c r="E13706" s="1"/>
      <c r="F13706" s="1"/>
    </row>
    <row r="13707" spans="5:6">
      <c r="E13707" s="1"/>
      <c r="F13707" s="1"/>
    </row>
    <row r="13708" spans="5:6">
      <c r="E13708" s="1"/>
      <c r="F13708" s="1"/>
    </row>
    <row r="13709" spans="5:6">
      <c r="E13709" s="1"/>
      <c r="F13709" s="1"/>
    </row>
    <row r="13710" spans="5:6">
      <c r="E13710" s="1"/>
      <c r="F13710" s="1"/>
    </row>
    <row r="13711" spans="5:6">
      <c r="E13711" s="1"/>
      <c r="F13711" s="1"/>
    </row>
    <row r="13712" spans="5:6">
      <c r="E13712" s="1"/>
      <c r="F13712" s="1"/>
    </row>
    <row r="13713" spans="5:6">
      <c r="E13713" s="1"/>
      <c r="F13713" s="1"/>
    </row>
    <row r="13714" spans="5:6">
      <c r="E13714" s="1"/>
      <c r="F13714" s="1"/>
    </row>
    <row r="13715" spans="5:6">
      <c r="E13715" s="1"/>
      <c r="F13715" s="1"/>
    </row>
    <row r="13716" spans="5:6">
      <c r="E13716" s="1"/>
      <c r="F13716" s="1"/>
    </row>
    <row r="13717" spans="5:6">
      <c r="E13717" s="1"/>
      <c r="F13717" s="1"/>
    </row>
    <row r="13718" spans="5:6">
      <c r="E13718" s="1"/>
      <c r="F13718" s="1"/>
    </row>
    <row r="13719" spans="5:6">
      <c r="E13719" s="1"/>
      <c r="F13719" s="1"/>
    </row>
    <row r="13720" spans="5:6">
      <c r="E13720" s="1"/>
      <c r="F13720" s="1"/>
    </row>
    <row r="13721" spans="5:6">
      <c r="E13721" s="1"/>
      <c r="F13721" s="1"/>
    </row>
    <row r="13722" spans="5:6">
      <c r="E13722" s="1"/>
      <c r="F13722" s="1"/>
    </row>
    <row r="13723" spans="5:6">
      <c r="E13723" s="1"/>
      <c r="F13723" s="1"/>
    </row>
    <row r="13724" spans="5:6">
      <c r="E13724" s="1"/>
      <c r="F13724" s="1"/>
    </row>
    <row r="13725" spans="5:6">
      <c r="E13725" s="1"/>
      <c r="F13725" s="1"/>
    </row>
    <row r="13726" spans="5:6">
      <c r="E13726" s="1"/>
      <c r="F13726" s="1"/>
    </row>
    <row r="13727" spans="5:6">
      <c r="E13727" s="1"/>
      <c r="F13727" s="1"/>
    </row>
    <row r="13728" spans="5:6">
      <c r="E13728" s="1"/>
      <c r="F13728" s="1"/>
    </row>
    <row r="13729" spans="5:6">
      <c r="E13729" s="1"/>
      <c r="F13729" s="1"/>
    </row>
    <row r="13730" spans="5:6">
      <c r="E13730" s="1"/>
      <c r="F13730" s="1"/>
    </row>
    <row r="13731" spans="5:6">
      <c r="E13731" s="1"/>
      <c r="F13731" s="1"/>
    </row>
    <row r="13732" spans="5:6">
      <c r="E13732" s="1"/>
      <c r="F13732" s="1"/>
    </row>
    <row r="13733" spans="5:6">
      <c r="E13733" s="1"/>
      <c r="F13733" s="1"/>
    </row>
    <row r="13734" spans="5:6">
      <c r="E13734" s="1"/>
      <c r="F13734" s="1"/>
    </row>
    <row r="13735" spans="5:6">
      <c r="E13735" s="1"/>
      <c r="F13735" s="1"/>
    </row>
    <row r="13736" spans="5:6">
      <c r="E13736" s="1"/>
      <c r="F13736" s="1"/>
    </row>
    <row r="13737" spans="5:6">
      <c r="E13737" s="1"/>
      <c r="F13737" s="1"/>
    </row>
    <row r="13738" spans="5:6">
      <c r="E13738" s="1"/>
      <c r="F13738" s="1"/>
    </row>
    <row r="13739" spans="5:6">
      <c r="E13739" s="1"/>
      <c r="F13739" s="1"/>
    </row>
    <row r="13740" spans="5:6">
      <c r="E13740" s="1"/>
      <c r="F13740" s="1"/>
    </row>
    <row r="13741" spans="5:6">
      <c r="E13741" s="1"/>
      <c r="F13741" s="1"/>
    </row>
    <row r="13742" spans="5:6">
      <c r="E13742" s="1"/>
      <c r="F13742" s="1"/>
    </row>
    <row r="13743" spans="5:6">
      <c r="E13743" s="1"/>
      <c r="F13743" s="1"/>
    </row>
    <row r="13744" spans="5:6">
      <c r="E13744" s="1"/>
      <c r="F13744" s="1"/>
    </row>
    <row r="13745" spans="5:6">
      <c r="E13745" s="1"/>
      <c r="F13745" s="1"/>
    </row>
    <row r="13746" spans="5:6">
      <c r="E13746" s="1"/>
      <c r="F13746" s="1"/>
    </row>
    <row r="13747" spans="5:6">
      <c r="E13747" s="1"/>
      <c r="F13747" s="1"/>
    </row>
    <row r="13748" spans="5:6">
      <c r="E13748" s="1"/>
      <c r="F13748" s="1"/>
    </row>
    <row r="13749" spans="5:6">
      <c r="E13749" s="1"/>
      <c r="F13749" s="1"/>
    </row>
    <row r="13750" spans="5:6">
      <c r="E13750" s="1"/>
      <c r="F13750" s="1"/>
    </row>
    <row r="13751" spans="5:6">
      <c r="E13751" s="1"/>
      <c r="F13751" s="1"/>
    </row>
    <row r="13752" spans="5:6">
      <c r="E13752" s="1"/>
      <c r="F13752" s="1"/>
    </row>
    <row r="13753" spans="5:6">
      <c r="E13753" s="1"/>
      <c r="F13753" s="1"/>
    </row>
    <row r="13754" spans="5:6">
      <c r="E13754" s="1"/>
      <c r="F13754" s="1"/>
    </row>
    <row r="13755" spans="5:6">
      <c r="E13755" s="1"/>
      <c r="F13755" s="1"/>
    </row>
    <row r="13756" spans="5:6">
      <c r="E13756" s="1"/>
      <c r="F13756" s="1"/>
    </row>
    <row r="13757" spans="5:6">
      <c r="E13757" s="1"/>
      <c r="F13757" s="1"/>
    </row>
    <row r="13758" spans="5:6">
      <c r="E13758" s="1"/>
      <c r="F13758" s="1"/>
    </row>
    <row r="13759" spans="5:6">
      <c r="E13759" s="1"/>
      <c r="F13759" s="1"/>
    </row>
    <row r="13760" spans="5:6">
      <c r="E13760" s="1"/>
      <c r="F13760" s="1"/>
    </row>
    <row r="13761" spans="5:6">
      <c r="E13761" s="1"/>
      <c r="F13761" s="1"/>
    </row>
    <row r="13762" spans="5:6">
      <c r="E13762" s="1"/>
      <c r="F13762" s="1"/>
    </row>
    <row r="13763" spans="5:6">
      <c r="E13763" s="1"/>
      <c r="F13763" s="1"/>
    </row>
    <row r="13764" spans="5:6">
      <c r="E13764" s="1"/>
      <c r="F13764" s="1"/>
    </row>
    <row r="13765" spans="5:6">
      <c r="E13765" s="1"/>
      <c r="F13765" s="1"/>
    </row>
    <row r="13766" spans="5:6">
      <c r="E13766" s="1"/>
      <c r="F13766" s="1"/>
    </row>
    <row r="13767" spans="5:6">
      <c r="E13767" s="1"/>
      <c r="F13767" s="1"/>
    </row>
    <row r="13768" spans="5:6">
      <c r="E13768" s="1"/>
      <c r="F13768" s="1"/>
    </row>
    <row r="13769" spans="5:6">
      <c r="E13769" s="1"/>
      <c r="F13769" s="1"/>
    </row>
    <row r="13770" spans="5:6">
      <c r="E13770" s="1"/>
      <c r="F13770" s="1"/>
    </row>
    <row r="13771" spans="5:6">
      <c r="E13771" s="1"/>
      <c r="F13771" s="1"/>
    </row>
    <row r="13772" spans="5:6">
      <c r="E13772" s="1"/>
      <c r="F13772" s="1"/>
    </row>
    <row r="13773" spans="5:6">
      <c r="E13773" s="1"/>
      <c r="F13773" s="1"/>
    </row>
    <row r="13774" spans="5:6">
      <c r="E13774" s="1"/>
      <c r="F13774" s="1"/>
    </row>
    <row r="13775" spans="5:6">
      <c r="E13775" s="1"/>
      <c r="F13775" s="1"/>
    </row>
    <row r="13776" spans="5:6">
      <c r="E13776" s="1"/>
      <c r="F13776" s="1"/>
    </row>
    <row r="13777" spans="5:6">
      <c r="E13777" s="1"/>
      <c r="F13777" s="1"/>
    </row>
    <row r="13778" spans="5:6">
      <c r="E13778" s="1"/>
      <c r="F13778" s="1"/>
    </row>
    <row r="13779" spans="5:6">
      <c r="E13779" s="1"/>
      <c r="F13779" s="1"/>
    </row>
    <row r="13780" spans="5:6">
      <c r="E13780" s="1"/>
      <c r="F13780" s="1"/>
    </row>
    <row r="13781" spans="5:6">
      <c r="E13781" s="1"/>
      <c r="F13781" s="1"/>
    </row>
    <row r="13782" spans="5:6">
      <c r="E13782" s="1"/>
      <c r="F13782" s="1"/>
    </row>
    <row r="13783" spans="5:6">
      <c r="E13783" s="1"/>
      <c r="F13783" s="1"/>
    </row>
    <row r="13784" spans="5:6">
      <c r="E13784" s="1"/>
      <c r="F13784" s="1"/>
    </row>
    <row r="13785" spans="5:6">
      <c r="E13785" s="1"/>
      <c r="F13785" s="1"/>
    </row>
    <row r="13786" spans="5:6">
      <c r="E13786" s="1"/>
      <c r="F13786" s="1"/>
    </row>
    <row r="13787" spans="5:6">
      <c r="E13787" s="1"/>
      <c r="F13787" s="1"/>
    </row>
    <row r="13788" spans="5:6">
      <c r="E13788" s="1"/>
      <c r="F13788" s="1"/>
    </row>
    <row r="13789" spans="5:6">
      <c r="E13789" s="1"/>
      <c r="F13789" s="1"/>
    </row>
    <row r="13790" spans="5:6">
      <c r="E13790" s="1"/>
      <c r="F13790" s="1"/>
    </row>
    <row r="13791" spans="5:6">
      <c r="E13791" s="1"/>
      <c r="F13791" s="1"/>
    </row>
    <row r="13792" spans="5:6">
      <c r="E13792" s="1"/>
      <c r="F13792" s="1"/>
    </row>
    <row r="13793" spans="5:6">
      <c r="E13793" s="1"/>
      <c r="F13793" s="1"/>
    </row>
    <row r="13794" spans="5:6">
      <c r="E13794" s="1"/>
      <c r="F13794" s="1"/>
    </row>
    <row r="13795" spans="5:6">
      <c r="E13795" s="1"/>
      <c r="F13795" s="1"/>
    </row>
    <row r="13796" spans="5:6">
      <c r="E13796" s="1"/>
      <c r="F13796" s="1"/>
    </row>
    <row r="13797" spans="5:6">
      <c r="E13797" s="1"/>
      <c r="F13797" s="1"/>
    </row>
    <row r="13798" spans="5:6">
      <c r="E13798" s="1"/>
      <c r="F13798" s="1"/>
    </row>
    <row r="13799" spans="5:6">
      <c r="E13799" s="1"/>
      <c r="F13799" s="1"/>
    </row>
    <row r="13800" spans="5:6">
      <c r="E13800" s="1"/>
      <c r="F13800" s="1"/>
    </row>
    <row r="13801" spans="5:6">
      <c r="E13801" s="1"/>
      <c r="F13801" s="1"/>
    </row>
    <row r="13802" spans="5:6">
      <c r="E13802" s="1"/>
      <c r="F13802" s="1"/>
    </row>
    <row r="13803" spans="5:6">
      <c r="E13803" s="1"/>
      <c r="F13803" s="1"/>
    </row>
    <row r="13804" spans="5:6">
      <c r="E13804" s="1"/>
      <c r="F13804" s="1"/>
    </row>
    <row r="13805" spans="5:6">
      <c r="E13805" s="1"/>
      <c r="F13805" s="1"/>
    </row>
    <row r="13806" spans="5:6">
      <c r="E13806" s="1"/>
      <c r="F13806" s="1"/>
    </row>
    <row r="13807" spans="5:6">
      <c r="E13807" s="1"/>
      <c r="F13807" s="1"/>
    </row>
    <row r="13808" spans="5:6">
      <c r="E13808" s="1"/>
      <c r="F13808" s="1"/>
    </row>
    <row r="13809" spans="5:6">
      <c r="E13809" s="1"/>
      <c r="F13809" s="1"/>
    </row>
    <row r="13810" spans="5:6">
      <c r="E13810" s="1"/>
      <c r="F13810" s="1"/>
    </row>
    <row r="13811" spans="5:6">
      <c r="E13811" s="1"/>
      <c r="F13811" s="1"/>
    </row>
    <row r="13812" spans="5:6">
      <c r="E13812" s="1"/>
      <c r="F13812" s="1"/>
    </row>
    <row r="13813" spans="5:6">
      <c r="E13813" s="1"/>
      <c r="F13813" s="1"/>
    </row>
    <row r="13814" spans="5:6">
      <c r="E13814" s="1"/>
      <c r="F13814" s="1"/>
    </row>
    <row r="13815" spans="5:6">
      <c r="E13815" s="1"/>
      <c r="F13815" s="1"/>
    </row>
    <row r="13816" spans="5:6">
      <c r="E13816" s="1"/>
      <c r="F13816" s="1"/>
    </row>
    <row r="13817" spans="5:6">
      <c r="E13817" s="1"/>
      <c r="F13817" s="1"/>
    </row>
    <row r="13818" spans="5:6">
      <c r="E13818" s="1"/>
      <c r="F13818" s="1"/>
    </row>
    <row r="13819" spans="5:6">
      <c r="E13819" s="1"/>
      <c r="F13819" s="1"/>
    </row>
    <row r="13820" spans="5:6">
      <c r="E13820" s="1"/>
      <c r="F13820" s="1"/>
    </row>
    <row r="13821" spans="5:6">
      <c r="E13821" s="1"/>
      <c r="F13821" s="1"/>
    </row>
    <row r="13822" spans="5:6">
      <c r="E13822" s="1"/>
      <c r="F13822" s="1"/>
    </row>
    <row r="13823" spans="5:6">
      <c r="E13823" s="1"/>
      <c r="F13823" s="1"/>
    </row>
    <row r="13824" spans="5:6">
      <c r="E13824" s="1"/>
      <c r="F13824" s="1"/>
    </row>
    <row r="13825" spans="5:6">
      <c r="E13825" s="1"/>
      <c r="F13825" s="1"/>
    </row>
    <row r="13826" spans="5:6">
      <c r="E13826" s="1"/>
      <c r="F13826" s="1"/>
    </row>
    <row r="13827" spans="5:6">
      <c r="E13827" s="1"/>
      <c r="F13827" s="1"/>
    </row>
    <row r="13828" spans="5:6">
      <c r="E13828" s="1"/>
      <c r="F13828" s="1"/>
    </row>
    <row r="13829" spans="5:6">
      <c r="E13829" s="1"/>
      <c r="F13829" s="1"/>
    </row>
    <row r="13830" spans="5:6">
      <c r="E13830" s="1"/>
      <c r="F13830" s="1"/>
    </row>
    <row r="13831" spans="5:6">
      <c r="E13831" s="1"/>
      <c r="F13831" s="1"/>
    </row>
    <row r="13832" spans="5:6">
      <c r="E13832" s="1"/>
      <c r="F13832" s="1"/>
    </row>
    <row r="13833" spans="5:6">
      <c r="E13833" s="1"/>
      <c r="F13833" s="1"/>
    </row>
    <row r="13834" spans="5:6">
      <c r="E13834" s="1"/>
      <c r="F13834" s="1"/>
    </row>
    <row r="13835" spans="5:6">
      <c r="E13835" s="1"/>
      <c r="F13835" s="1"/>
    </row>
    <row r="13836" spans="5:6">
      <c r="E13836" s="1"/>
      <c r="F13836" s="1"/>
    </row>
    <row r="13837" spans="5:6">
      <c r="E13837" s="1"/>
      <c r="F13837" s="1"/>
    </row>
    <row r="13838" spans="5:6">
      <c r="E13838" s="1"/>
      <c r="F13838" s="1"/>
    </row>
    <row r="13839" spans="5:6">
      <c r="E13839" s="1"/>
      <c r="F13839" s="1"/>
    </row>
    <row r="13840" spans="5:6">
      <c r="E13840" s="1"/>
      <c r="F13840" s="1"/>
    </row>
    <row r="13841" spans="5:6">
      <c r="E13841" s="1"/>
      <c r="F13841" s="1"/>
    </row>
    <row r="13842" spans="5:6">
      <c r="E13842" s="1"/>
      <c r="F13842" s="1"/>
    </row>
    <row r="13843" spans="5:6">
      <c r="E13843" s="1"/>
      <c r="F13843" s="1"/>
    </row>
    <row r="13844" spans="5:6">
      <c r="E13844" s="1"/>
      <c r="F13844" s="1"/>
    </row>
    <row r="13845" spans="5:6">
      <c r="E13845" s="1"/>
      <c r="F13845" s="1"/>
    </row>
    <row r="13846" spans="5:6">
      <c r="E13846" s="1"/>
      <c r="F13846" s="1"/>
    </row>
    <row r="13847" spans="5:6">
      <c r="E13847" s="1"/>
      <c r="F13847" s="1"/>
    </row>
    <row r="13848" spans="5:6">
      <c r="E13848" s="1"/>
      <c r="F13848" s="1"/>
    </row>
    <row r="13849" spans="5:6">
      <c r="E13849" s="1"/>
      <c r="F13849" s="1"/>
    </row>
    <row r="13850" spans="5:6">
      <c r="E13850" s="1"/>
      <c r="F13850" s="1"/>
    </row>
    <row r="13851" spans="5:6">
      <c r="E13851" s="1"/>
      <c r="F13851" s="1"/>
    </row>
    <row r="13852" spans="5:6">
      <c r="E13852" s="1"/>
      <c r="F13852" s="1"/>
    </row>
    <row r="13853" spans="5:6">
      <c r="E13853" s="1"/>
      <c r="F13853" s="1"/>
    </row>
    <row r="13854" spans="5:6">
      <c r="E13854" s="1"/>
      <c r="F13854" s="1"/>
    </row>
    <row r="13855" spans="5:6">
      <c r="E13855" s="1"/>
      <c r="F13855" s="1"/>
    </row>
    <row r="13856" spans="5:6">
      <c r="E13856" s="1"/>
      <c r="F13856" s="1"/>
    </row>
    <row r="13857" spans="5:6">
      <c r="E13857" s="1"/>
      <c r="F13857" s="1"/>
    </row>
    <row r="13858" spans="5:6">
      <c r="E13858" s="1"/>
      <c r="F13858" s="1"/>
    </row>
    <row r="13859" spans="5:6">
      <c r="E13859" s="1"/>
      <c r="F13859" s="1"/>
    </row>
    <row r="13860" spans="5:6">
      <c r="E13860" s="1"/>
      <c r="F13860" s="1"/>
    </row>
    <row r="13861" spans="5:6">
      <c r="E13861" s="1"/>
      <c r="F13861" s="1"/>
    </row>
    <row r="13862" spans="5:6">
      <c r="E13862" s="1"/>
      <c r="F13862" s="1"/>
    </row>
    <row r="13863" spans="5:6">
      <c r="E13863" s="1"/>
      <c r="F13863" s="1"/>
    </row>
    <row r="13864" spans="5:6">
      <c r="E13864" s="1"/>
      <c r="F13864" s="1"/>
    </row>
    <row r="13865" spans="5:6">
      <c r="E13865" s="1"/>
      <c r="F13865" s="1"/>
    </row>
    <row r="13866" spans="5:6">
      <c r="E13866" s="1"/>
      <c r="F13866" s="1"/>
    </row>
    <row r="13867" spans="5:6">
      <c r="E13867" s="1"/>
      <c r="F13867" s="1"/>
    </row>
    <row r="13868" spans="5:6">
      <c r="E13868" s="1"/>
      <c r="F13868" s="1"/>
    </row>
    <row r="13869" spans="5:6">
      <c r="E13869" s="1"/>
      <c r="F13869" s="1"/>
    </row>
    <row r="13870" spans="5:6">
      <c r="E13870" s="1"/>
      <c r="F13870" s="1"/>
    </row>
    <row r="13871" spans="5:6">
      <c r="E13871" s="1"/>
      <c r="F13871" s="1"/>
    </row>
    <row r="13872" spans="5:6">
      <c r="E13872" s="1"/>
      <c r="F13872" s="1"/>
    </row>
    <row r="13873" spans="5:6">
      <c r="E13873" s="1"/>
      <c r="F13873" s="1"/>
    </row>
    <row r="13874" spans="5:6">
      <c r="E13874" s="1"/>
      <c r="F13874" s="1"/>
    </row>
    <row r="13875" spans="5:6">
      <c r="E13875" s="1"/>
      <c r="F13875" s="1"/>
    </row>
    <row r="13876" spans="5:6">
      <c r="E13876" s="1"/>
      <c r="F13876" s="1"/>
    </row>
    <row r="13877" spans="5:6">
      <c r="E13877" s="1"/>
      <c r="F13877" s="1"/>
    </row>
    <row r="13878" spans="5:6">
      <c r="E13878" s="1"/>
      <c r="F13878" s="1"/>
    </row>
    <row r="13879" spans="5:6">
      <c r="E13879" s="1"/>
      <c r="F13879" s="1"/>
    </row>
    <row r="13880" spans="5:6">
      <c r="E13880" s="1"/>
      <c r="F13880" s="1"/>
    </row>
    <row r="13881" spans="5:6">
      <c r="E13881" s="1"/>
      <c r="F13881" s="1"/>
    </row>
    <row r="13882" spans="5:6">
      <c r="E13882" s="1"/>
      <c r="F13882" s="1"/>
    </row>
    <row r="13883" spans="5:6">
      <c r="E13883" s="1"/>
      <c r="F13883" s="1"/>
    </row>
    <row r="13884" spans="5:6">
      <c r="E13884" s="1"/>
      <c r="F13884" s="1"/>
    </row>
    <row r="13885" spans="5:6">
      <c r="E13885" s="1"/>
      <c r="F13885" s="1"/>
    </row>
    <row r="13886" spans="5:6">
      <c r="E13886" s="1"/>
      <c r="F13886" s="1"/>
    </row>
    <row r="13887" spans="5:6">
      <c r="E13887" s="1"/>
      <c r="F13887" s="1"/>
    </row>
    <row r="13888" spans="5:6">
      <c r="E13888" s="1"/>
      <c r="F13888" s="1"/>
    </row>
    <row r="13889" spans="5:6">
      <c r="E13889" s="1"/>
      <c r="F13889" s="1"/>
    </row>
    <row r="13890" spans="5:6">
      <c r="E13890" s="1"/>
      <c r="F13890" s="1"/>
    </row>
    <row r="13891" spans="5:6">
      <c r="E13891" s="1"/>
      <c r="F13891" s="1"/>
    </row>
    <row r="13892" spans="5:6">
      <c r="E13892" s="1"/>
      <c r="F13892" s="1"/>
    </row>
    <row r="13893" spans="5:6">
      <c r="E13893" s="1"/>
      <c r="F13893" s="1"/>
    </row>
    <row r="13894" spans="5:6">
      <c r="E13894" s="1"/>
      <c r="F13894" s="1"/>
    </row>
    <row r="13895" spans="5:6">
      <c r="E13895" s="1"/>
      <c r="F13895" s="1"/>
    </row>
    <row r="13896" spans="5:6">
      <c r="E13896" s="1"/>
      <c r="F13896" s="1"/>
    </row>
    <row r="13897" spans="5:6">
      <c r="E13897" s="1"/>
      <c r="F13897" s="1"/>
    </row>
    <row r="13898" spans="5:6">
      <c r="E13898" s="1"/>
      <c r="F13898" s="1"/>
    </row>
    <row r="13899" spans="5:6">
      <c r="E13899" s="1"/>
      <c r="F13899" s="1"/>
    </row>
    <row r="13900" spans="5:6">
      <c r="E13900" s="1"/>
      <c r="F13900" s="1"/>
    </row>
    <row r="13901" spans="5:6">
      <c r="E13901" s="1"/>
      <c r="F13901" s="1"/>
    </row>
    <row r="13902" spans="5:6">
      <c r="E13902" s="1"/>
      <c r="F13902" s="1"/>
    </row>
    <row r="13903" spans="5:6">
      <c r="E13903" s="1"/>
      <c r="F13903" s="1"/>
    </row>
    <row r="13904" spans="5:6">
      <c r="E13904" s="1"/>
      <c r="F13904" s="1"/>
    </row>
    <row r="13905" spans="5:6">
      <c r="E13905" s="1"/>
      <c r="F13905" s="1"/>
    </row>
    <row r="13906" spans="5:6">
      <c r="E13906" s="1"/>
      <c r="F13906" s="1"/>
    </row>
    <row r="13907" spans="5:6">
      <c r="E13907" s="1"/>
      <c r="F13907" s="1"/>
    </row>
    <row r="13908" spans="5:6">
      <c r="E13908" s="1"/>
      <c r="F13908" s="1"/>
    </row>
    <row r="13909" spans="5:6">
      <c r="E13909" s="1"/>
      <c r="F13909" s="1"/>
    </row>
    <row r="13910" spans="5:6">
      <c r="E13910" s="1"/>
      <c r="F13910" s="1"/>
    </row>
    <row r="13911" spans="5:6">
      <c r="E13911" s="1"/>
      <c r="F13911" s="1"/>
    </row>
    <row r="13912" spans="5:6">
      <c r="E13912" s="1"/>
      <c r="F13912" s="1"/>
    </row>
    <row r="13913" spans="5:6">
      <c r="E13913" s="1"/>
      <c r="F13913" s="1"/>
    </row>
    <row r="13914" spans="5:6">
      <c r="E13914" s="1"/>
      <c r="F13914" s="1"/>
    </row>
    <row r="13915" spans="5:6">
      <c r="E13915" s="1"/>
      <c r="F13915" s="1"/>
    </row>
    <row r="13916" spans="5:6">
      <c r="E13916" s="1"/>
      <c r="F13916" s="1"/>
    </row>
    <row r="13917" spans="5:6">
      <c r="E13917" s="1"/>
      <c r="F13917" s="1"/>
    </row>
    <row r="13918" spans="5:6">
      <c r="E13918" s="1"/>
      <c r="F13918" s="1"/>
    </row>
    <row r="13919" spans="5:6">
      <c r="E13919" s="1"/>
      <c r="F13919" s="1"/>
    </row>
    <row r="13920" spans="5:6">
      <c r="E13920" s="1"/>
      <c r="F13920" s="1"/>
    </row>
    <row r="13921" spans="5:6">
      <c r="E13921" s="1"/>
      <c r="F13921" s="1"/>
    </row>
    <row r="13922" spans="5:6">
      <c r="E13922" s="1"/>
      <c r="F13922" s="1"/>
    </row>
    <row r="13923" spans="5:6">
      <c r="E13923" s="1"/>
      <c r="F13923" s="1"/>
    </row>
    <row r="13924" spans="5:6">
      <c r="E13924" s="1"/>
      <c r="F13924" s="1"/>
    </row>
    <row r="13925" spans="5:6">
      <c r="E13925" s="1"/>
      <c r="F13925" s="1"/>
    </row>
    <row r="13926" spans="5:6">
      <c r="E13926" s="1"/>
      <c r="F13926" s="1"/>
    </row>
    <row r="13927" spans="5:6">
      <c r="E13927" s="1"/>
      <c r="F13927" s="1"/>
    </row>
    <row r="13928" spans="5:6">
      <c r="E13928" s="1"/>
      <c r="F13928" s="1"/>
    </row>
    <row r="13929" spans="5:6">
      <c r="E13929" s="1"/>
      <c r="F13929" s="1"/>
    </row>
    <row r="13930" spans="5:6">
      <c r="E13930" s="1"/>
      <c r="F13930" s="1"/>
    </row>
    <row r="13931" spans="5:6">
      <c r="E13931" s="1"/>
      <c r="F13931" s="1"/>
    </row>
    <row r="13932" spans="5:6">
      <c r="E13932" s="1"/>
      <c r="F13932" s="1"/>
    </row>
    <row r="13933" spans="5:6">
      <c r="E13933" s="1"/>
      <c r="F13933" s="1"/>
    </row>
    <row r="13934" spans="5:6">
      <c r="E13934" s="1"/>
      <c r="F13934" s="1"/>
    </row>
    <row r="13935" spans="5:6">
      <c r="E13935" s="1"/>
      <c r="F13935" s="1"/>
    </row>
    <row r="13936" spans="5:6">
      <c r="E13936" s="1"/>
      <c r="F13936" s="1"/>
    </row>
    <row r="13937" spans="5:6">
      <c r="E13937" s="1"/>
      <c r="F13937" s="1"/>
    </row>
    <row r="13938" spans="5:6">
      <c r="E13938" s="1"/>
      <c r="F13938" s="1"/>
    </row>
    <row r="13939" spans="5:6">
      <c r="E13939" s="1"/>
      <c r="F13939" s="1"/>
    </row>
    <row r="13940" spans="5:6">
      <c r="E13940" s="1"/>
      <c r="F13940" s="1"/>
    </row>
    <row r="13941" spans="5:6">
      <c r="E13941" s="1"/>
      <c r="F13941" s="1"/>
    </row>
    <row r="13942" spans="5:6">
      <c r="E13942" s="1"/>
      <c r="F13942" s="1"/>
    </row>
    <row r="13943" spans="5:6">
      <c r="E13943" s="1"/>
      <c r="F13943" s="1"/>
    </row>
    <row r="13944" spans="5:6">
      <c r="E13944" s="1"/>
      <c r="F13944" s="1"/>
    </row>
    <row r="13945" spans="5:6">
      <c r="E13945" s="1"/>
      <c r="F13945" s="1"/>
    </row>
    <row r="13946" spans="5:6">
      <c r="E13946" s="1"/>
      <c r="F13946" s="1"/>
    </row>
    <row r="13947" spans="5:6">
      <c r="E13947" s="1"/>
      <c r="F13947" s="1"/>
    </row>
    <row r="13948" spans="5:6">
      <c r="E13948" s="1"/>
      <c r="F13948" s="1"/>
    </row>
    <row r="13949" spans="5:6">
      <c r="E13949" s="1"/>
      <c r="F13949" s="1"/>
    </row>
    <row r="13950" spans="5:6">
      <c r="E13950" s="1"/>
      <c r="F13950" s="1"/>
    </row>
    <row r="13951" spans="5:6">
      <c r="E13951" s="1"/>
      <c r="F13951" s="1"/>
    </row>
    <row r="13952" spans="5:6">
      <c r="E13952" s="1"/>
      <c r="F13952" s="1"/>
    </row>
    <row r="13953" spans="5:6">
      <c r="E13953" s="1"/>
      <c r="F13953" s="1"/>
    </row>
    <row r="13954" spans="5:6">
      <c r="E13954" s="1"/>
      <c r="F13954" s="1"/>
    </row>
    <row r="13955" spans="5:6">
      <c r="E13955" s="1"/>
      <c r="F13955" s="1"/>
    </row>
    <row r="13956" spans="5:6">
      <c r="E13956" s="1"/>
      <c r="F13956" s="1"/>
    </row>
    <row r="13957" spans="5:6">
      <c r="E13957" s="1"/>
      <c r="F13957" s="1"/>
    </row>
    <row r="13958" spans="5:6">
      <c r="E13958" s="1"/>
      <c r="F13958" s="1"/>
    </row>
    <row r="13959" spans="5:6">
      <c r="E13959" s="1"/>
      <c r="F13959" s="1"/>
    </row>
    <row r="13960" spans="5:6">
      <c r="E13960" s="1"/>
      <c r="F13960" s="1"/>
    </row>
    <row r="13961" spans="5:6">
      <c r="E13961" s="1"/>
      <c r="F13961" s="1"/>
    </row>
    <row r="13962" spans="5:6">
      <c r="E13962" s="1"/>
      <c r="F13962" s="1"/>
    </row>
    <row r="13963" spans="5:6">
      <c r="E13963" s="1"/>
      <c r="F13963" s="1"/>
    </row>
    <row r="13964" spans="5:6">
      <c r="E13964" s="1"/>
      <c r="F13964" s="1"/>
    </row>
    <row r="13965" spans="5:6">
      <c r="E13965" s="1"/>
      <c r="F13965" s="1"/>
    </row>
    <row r="13966" spans="5:6">
      <c r="E13966" s="1"/>
      <c r="F13966" s="1"/>
    </row>
    <row r="13967" spans="5:6">
      <c r="E13967" s="1"/>
      <c r="F13967" s="1"/>
    </row>
    <row r="13968" spans="5:6">
      <c r="E13968" s="1"/>
      <c r="F13968" s="1"/>
    </row>
    <row r="13969" spans="5:6">
      <c r="E13969" s="1"/>
      <c r="F13969" s="1"/>
    </row>
    <row r="13970" spans="5:6">
      <c r="E13970" s="1"/>
      <c r="F13970" s="1"/>
    </row>
    <row r="13971" spans="5:6">
      <c r="E13971" s="1"/>
      <c r="F13971" s="1"/>
    </row>
    <row r="13972" spans="5:6">
      <c r="E13972" s="1"/>
      <c r="F13972" s="1"/>
    </row>
    <row r="13973" spans="5:6">
      <c r="E13973" s="1"/>
      <c r="F13973" s="1"/>
    </row>
    <row r="13974" spans="5:6">
      <c r="E13974" s="1"/>
      <c r="F13974" s="1"/>
    </row>
    <row r="13975" spans="5:6">
      <c r="E13975" s="1"/>
      <c r="F13975" s="1"/>
    </row>
    <row r="13976" spans="5:6">
      <c r="E13976" s="1"/>
      <c r="F13976" s="1"/>
    </row>
    <row r="13977" spans="5:6">
      <c r="E13977" s="1"/>
      <c r="F13977" s="1"/>
    </row>
    <row r="13978" spans="5:6">
      <c r="E13978" s="1"/>
      <c r="F13978" s="1"/>
    </row>
    <row r="13979" spans="5:6">
      <c r="E13979" s="1"/>
      <c r="F13979" s="1"/>
    </row>
    <row r="13980" spans="5:6">
      <c r="E13980" s="1"/>
      <c r="F13980" s="1"/>
    </row>
    <row r="13981" spans="5:6">
      <c r="E13981" s="1"/>
      <c r="F13981" s="1"/>
    </row>
    <row r="13982" spans="5:6">
      <c r="E13982" s="1"/>
      <c r="F13982" s="1"/>
    </row>
    <row r="13983" spans="5:6">
      <c r="E13983" s="1"/>
      <c r="F13983" s="1"/>
    </row>
    <row r="13984" spans="5:6">
      <c r="E13984" s="1"/>
      <c r="F13984" s="1"/>
    </row>
    <row r="13985" spans="5:6">
      <c r="E13985" s="1"/>
      <c r="F13985" s="1"/>
    </row>
    <row r="13986" spans="5:6">
      <c r="E13986" s="1"/>
      <c r="F13986" s="1"/>
    </row>
    <row r="13987" spans="5:6">
      <c r="E13987" s="1"/>
      <c r="F13987" s="1"/>
    </row>
    <row r="13988" spans="5:6">
      <c r="E13988" s="1"/>
      <c r="F13988" s="1"/>
    </row>
    <row r="13989" spans="5:6">
      <c r="E13989" s="1"/>
      <c r="F13989" s="1"/>
    </row>
    <row r="13990" spans="5:6">
      <c r="E13990" s="1"/>
      <c r="F13990" s="1"/>
    </row>
    <row r="13991" spans="5:6">
      <c r="E13991" s="1"/>
      <c r="F13991" s="1"/>
    </row>
    <row r="13992" spans="5:6">
      <c r="E13992" s="1"/>
      <c r="F13992" s="1"/>
    </row>
    <row r="13993" spans="5:6">
      <c r="E13993" s="1"/>
      <c r="F13993" s="1"/>
    </row>
    <row r="13994" spans="5:6">
      <c r="E13994" s="1"/>
      <c r="F13994" s="1"/>
    </row>
    <row r="13995" spans="5:6">
      <c r="E13995" s="1"/>
      <c r="F13995" s="1"/>
    </row>
    <row r="13996" spans="5:6">
      <c r="E13996" s="1"/>
      <c r="F13996" s="1"/>
    </row>
    <row r="13997" spans="5:6">
      <c r="E13997" s="1"/>
      <c r="F13997" s="1"/>
    </row>
    <row r="13998" spans="5:6">
      <c r="E13998" s="1"/>
      <c r="F13998" s="1"/>
    </row>
    <row r="13999" spans="5:6">
      <c r="E13999" s="1"/>
      <c r="F13999" s="1"/>
    </row>
    <row r="14000" spans="5:6">
      <c r="E14000" s="1"/>
      <c r="F14000" s="1"/>
    </row>
    <row r="14001" spans="5:6">
      <c r="E14001" s="1"/>
      <c r="F14001" s="1"/>
    </row>
    <row r="14002" spans="5:6">
      <c r="E14002" s="1"/>
      <c r="F14002" s="1"/>
    </row>
    <row r="14003" spans="5:6">
      <c r="E14003" s="1"/>
      <c r="F14003" s="1"/>
    </row>
    <row r="14004" spans="5:6">
      <c r="E14004" s="1"/>
      <c r="F14004" s="1"/>
    </row>
    <row r="14005" spans="5:6">
      <c r="E14005" s="1"/>
      <c r="F14005" s="1"/>
    </row>
    <row r="14006" spans="5:6">
      <c r="E14006" s="1"/>
      <c r="F14006" s="1"/>
    </row>
    <row r="14007" spans="5:6">
      <c r="E14007" s="1"/>
      <c r="F14007" s="1"/>
    </row>
    <row r="14008" spans="5:6">
      <c r="E14008" s="1"/>
      <c r="F14008" s="1"/>
    </row>
    <row r="14009" spans="5:6">
      <c r="E14009" s="1"/>
      <c r="F14009" s="1"/>
    </row>
    <row r="14010" spans="5:6">
      <c r="E14010" s="1"/>
      <c r="F14010" s="1"/>
    </row>
    <row r="14011" spans="5:6">
      <c r="E14011" s="1"/>
      <c r="F14011" s="1"/>
    </row>
    <row r="14012" spans="5:6">
      <c r="E14012" s="1"/>
      <c r="F14012" s="1"/>
    </row>
    <row r="14013" spans="5:6">
      <c r="E14013" s="1"/>
      <c r="F14013" s="1"/>
    </row>
    <row r="14014" spans="5:6">
      <c r="E14014" s="1"/>
      <c r="F14014" s="1"/>
    </row>
    <row r="14015" spans="5:6">
      <c r="E14015" s="1"/>
      <c r="F14015" s="1"/>
    </row>
    <row r="14016" spans="5:6">
      <c r="E14016" s="1"/>
      <c r="F14016" s="1"/>
    </row>
    <row r="14017" spans="5:6">
      <c r="E14017" s="1"/>
      <c r="F14017" s="1"/>
    </row>
    <row r="14018" spans="5:6">
      <c r="E14018" s="1"/>
      <c r="F14018" s="1"/>
    </row>
    <row r="14019" spans="5:6">
      <c r="E14019" s="1"/>
      <c r="F14019" s="1"/>
    </row>
    <row r="14020" spans="5:6">
      <c r="E14020" s="1"/>
      <c r="F14020" s="1"/>
    </row>
    <row r="14021" spans="5:6">
      <c r="E14021" s="1"/>
      <c r="F14021" s="1"/>
    </row>
    <row r="14022" spans="5:6">
      <c r="E14022" s="1"/>
      <c r="F14022" s="1"/>
    </row>
    <row r="14023" spans="5:6">
      <c r="E14023" s="1"/>
      <c r="F14023" s="1"/>
    </row>
    <row r="14024" spans="5:6">
      <c r="E14024" s="1"/>
      <c r="F14024" s="1"/>
    </row>
    <row r="14025" spans="5:6">
      <c r="E14025" s="1"/>
      <c r="F14025" s="1"/>
    </row>
    <row r="14026" spans="5:6">
      <c r="E14026" s="1"/>
      <c r="F14026" s="1"/>
    </row>
    <row r="14027" spans="5:6">
      <c r="E14027" s="1"/>
      <c r="F14027" s="1"/>
    </row>
    <row r="14028" spans="5:6">
      <c r="E14028" s="1"/>
      <c r="F14028" s="1"/>
    </row>
    <row r="14029" spans="5:6">
      <c r="E14029" s="1"/>
      <c r="F14029" s="1"/>
    </row>
    <row r="14030" spans="5:6">
      <c r="E14030" s="1"/>
      <c r="F14030" s="1"/>
    </row>
    <row r="14031" spans="5:6">
      <c r="E14031" s="1"/>
      <c r="F14031" s="1"/>
    </row>
    <row r="14032" spans="5:6">
      <c r="E14032" s="1"/>
      <c r="F14032" s="1"/>
    </row>
    <row r="14033" spans="5:6">
      <c r="E14033" s="1"/>
      <c r="F14033" s="1"/>
    </row>
    <row r="14034" spans="5:6">
      <c r="E14034" s="1"/>
      <c r="F14034" s="1"/>
    </row>
    <row r="14035" spans="5:6">
      <c r="E14035" s="1"/>
      <c r="F14035" s="1"/>
    </row>
    <row r="14036" spans="5:6">
      <c r="E14036" s="1"/>
      <c r="F14036" s="1"/>
    </row>
    <row r="14037" spans="5:6">
      <c r="E14037" s="1"/>
      <c r="F14037" s="1"/>
    </row>
    <row r="14038" spans="5:6">
      <c r="E14038" s="1"/>
      <c r="F14038" s="1"/>
    </row>
    <row r="14039" spans="5:6">
      <c r="E14039" s="1"/>
      <c r="F14039" s="1"/>
    </row>
    <row r="14040" spans="5:6">
      <c r="E14040" s="1"/>
      <c r="F14040" s="1"/>
    </row>
    <row r="14041" spans="5:6">
      <c r="E14041" s="1"/>
      <c r="F14041" s="1"/>
    </row>
    <row r="14042" spans="5:6">
      <c r="E14042" s="1"/>
      <c r="F14042" s="1"/>
    </row>
    <row r="14043" spans="5:6">
      <c r="E14043" s="1"/>
      <c r="F14043" s="1"/>
    </row>
    <row r="14044" spans="5:6">
      <c r="E14044" s="1"/>
      <c r="F14044" s="1"/>
    </row>
    <row r="14045" spans="5:6">
      <c r="E14045" s="1"/>
      <c r="F14045" s="1"/>
    </row>
    <row r="14046" spans="5:6">
      <c r="E14046" s="1"/>
      <c r="F14046" s="1"/>
    </row>
    <row r="14047" spans="5:6">
      <c r="E14047" s="1"/>
      <c r="F14047" s="1"/>
    </row>
    <row r="14048" spans="5:6">
      <c r="E14048" s="1"/>
      <c r="F14048" s="1"/>
    </row>
    <row r="14049" spans="5:6">
      <c r="E14049" s="1"/>
      <c r="F14049" s="1"/>
    </row>
    <row r="14050" spans="5:6">
      <c r="E14050" s="1"/>
      <c r="F14050" s="1"/>
    </row>
    <row r="14051" spans="5:6">
      <c r="E14051" s="1"/>
      <c r="F14051" s="1"/>
    </row>
    <row r="14052" spans="5:6">
      <c r="E14052" s="1"/>
      <c r="F14052" s="1"/>
    </row>
    <row r="14053" spans="5:6">
      <c r="E14053" s="1"/>
      <c r="F14053" s="1"/>
    </row>
    <row r="14054" spans="5:6">
      <c r="E14054" s="1"/>
      <c r="F14054" s="1"/>
    </row>
    <row r="14055" spans="5:6">
      <c r="E14055" s="1"/>
      <c r="F14055" s="1"/>
    </row>
    <row r="14056" spans="5:6">
      <c r="E14056" s="1"/>
      <c r="F14056" s="1"/>
    </row>
    <row r="14057" spans="5:6">
      <c r="E14057" s="1"/>
      <c r="F14057" s="1"/>
    </row>
    <row r="14058" spans="5:6">
      <c r="E14058" s="1"/>
      <c r="F14058" s="1"/>
    </row>
    <row r="14059" spans="5:6">
      <c r="E14059" s="1"/>
      <c r="F14059" s="1"/>
    </row>
    <row r="14060" spans="5:6">
      <c r="E14060" s="1"/>
      <c r="F14060" s="1"/>
    </row>
    <row r="14061" spans="5:6">
      <c r="E14061" s="1"/>
      <c r="F14061" s="1"/>
    </row>
    <row r="14062" spans="5:6">
      <c r="E14062" s="1"/>
      <c r="F14062" s="1"/>
    </row>
    <row r="14063" spans="5:6">
      <c r="E14063" s="1"/>
      <c r="F14063" s="1"/>
    </row>
    <row r="14064" spans="5:6">
      <c r="E14064" s="1"/>
      <c r="F14064" s="1"/>
    </row>
    <row r="14065" spans="5:6">
      <c r="E14065" s="1"/>
      <c r="F14065" s="1"/>
    </row>
    <row r="14066" spans="5:6">
      <c r="E14066" s="1"/>
      <c r="F14066" s="1"/>
    </row>
    <row r="14067" spans="5:6">
      <c r="E14067" s="1"/>
      <c r="F14067" s="1"/>
    </row>
    <row r="14068" spans="5:6">
      <c r="E14068" s="1"/>
      <c r="F14068" s="1"/>
    </row>
    <row r="14069" spans="5:6">
      <c r="E14069" s="1"/>
      <c r="F14069" s="1"/>
    </row>
    <row r="14070" spans="5:6">
      <c r="E14070" s="1"/>
      <c r="F14070" s="1"/>
    </row>
    <row r="14071" spans="5:6">
      <c r="E14071" s="1"/>
      <c r="F14071" s="1"/>
    </row>
    <row r="14072" spans="5:6">
      <c r="E14072" s="1"/>
      <c r="F14072" s="1"/>
    </row>
    <row r="14073" spans="5:6">
      <c r="E14073" s="1"/>
      <c r="F14073" s="1"/>
    </row>
    <row r="14074" spans="5:6">
      <c r="E14074" s="1"/>
      <c r="F14074" s="1"/>
    </row>
    <row r="14075" spans="5:6">
      <c r="E14075" s="1"/>
      <c r="F14075" s="1"/>
    </row>
    <row r="14076" spans="5:6">
      <c r="E14076" s="1"/>
      <c r="F14076" s="1"/>
    </row>
    <row r="14077" spans="5:6">
      <c r="E14077" s="1"/>
      <c r="F14077" s="1"/>
    </row>
    <row r="14078" spans="5:6">
      <c r="E14078" s="1"/>
      <c r="F14078" s="1"/>
    </row>
    <row r="14079" spans="5:6">
      <c r="E14079" s="1"/>
      <c r="F14079" s="1"/>
    </row>
    <row r="14080" spans="5:6">
      <c r="E14080" s="1"/>
      <c r="F14080" s="1"/>
    </row>
    <row r="14081" spans="5:6">
      <c r="E14081" s="1"/>
      <c r="F14081" s="1"/>
    </row>
    <row r="14082" spans="5:6">
      <c r="E14082" s="1"/>
      <c r="F14082" s="1"/>
    </row>
    <row r="14083" spans="5:6">
      <c r="E14083" s="1"/>
      <c r="F14083" s="1"/>
    </row>
    <row r="14084" spans="5:6">
      <c r="E14084" s="1"/>
      <c r="F14084" s="1"/>
    </row>
    <row r="14085" spans="5:6">
      <c r="E14085" s="1"/>
      <c r="F14085" s="1"/>
    </row>
    <row r="14086" spans="5:6">
      <c r="E14086" s="1"/>
      <c r="F14086" s="1"/>
    </row>
    <row r="14087" spans="5:6">
      <c r="E14087" s="1"/>
      <c r="F14087" s="1"/>
    </row>
    <row r="14088" spans="5:6">
      <c r="E14088" s="1"/>
      <c r="F14088" s="1"/>
    </row>
    <row r="14089" spans="5:6">
      <c r="E14089" s="1"/>
      <c r="F14089" s="1"/>
    </row>
    <row r="14090" spans="5:6">
      <c r="E14090" s="1"/>
      <c r="F14090" s="1"/>
    </row>
    <row r="14091" spans="5:6">
      <c r="E14091" s="1"/>
      <c r="F14091" s="1"/>
    </row>
    <row r="14092" spans="5:6">
      <c r="E14092" s="1"/>
      <c r="F14092" s="1"/>
    </row>
    <row r="14093" spans="5:6">
      <c r="E14093" s="1"/>
      <c r="F14093" s="1"/>
    </row>
    <row r="14094" spans="5:6">
      <c r="E14094" s="1"/>
      <c r="F14094" s="1"/>
    </row>
    <row r="14095" spans="5:6">
      <c r="E14095" s="1"/>
      <c r="F14095" s="1"/>
    </row>
    <row r="14096" spans="5:6">
      <c r="E14096" s="1"/>
      <c r="F14096" s="1"/>
    </row>
    <row r="14097" spans="5:6">
      <c r="E14097" s="1"/>
      <c r="F14097" s="1"/>
    </row>
    <row r="14098" spans="5:6">
      <c r="E14098" s="1"/>
      <c r="F14098" s="1"/>
    </row>
    <row r="14099" spans="5:6">
      <c r="E14099" s="1"/>
      <c r="F14099" s="1"/>
    </row>
    <row r="14100" spans="5:6">
      <c r="E14100" s="1"/>
      <c r="F14100" s="1"/>
    </row>
    <row r="14101" spans="5:6">
      <c r="E14101" s="1"/>
      <c r="F14101" s="1"/>
    </row>
    <row r="14102" spans="5:6">
      <c r="E14102" s="1"/>
      <c r="F14102" s="1"/>
    </row>
    <row r="14103" spans="5:6">
      <c r="E14103" s="1"/>
      <c r="F14103" s="1"/>
    </row>
    <row r="14104" spans="5:6">
      <c r="E14104" s="1"/>
      <c r="F14104" s="1"/>
    </row>
    <row r="14105" spans="5:6">
      <c r="E14105" s="1"/>
      <c r="F14105" s="1"/>
    </row>
    <row r="14106" spans="5:6">
      <c r="E14106" s="1"/>
      <c r="F14106" s="1"/>
    </row>
    <row r="14107" spans="5:6">
      <c r="E14107" s="1"/>
      <c r="F14107" s="1"/>
    </row>
    <row r="14108" spans="5:6">
      <c r="E14108" s="1"/>
      <c r="F14108" s="1"/>
    </row>
    <row r="14109" spans="5:6">
      <c r="E14109" s="1"/>
      <c r="F14109" s="1"/>
    </row>
    <row r="14110" spans="5:6">
      <c r="E14110" s="1"/>
      <c r="F14110" s="1"/>
    </row>
    <row r="14111" spans="5:6">
      <c r="E14111" s="1"/>
      <c r="F14111" s="1"/>
    </row>
    <row r="14112" spans="5:6">
      <c r="E14112" s="1"/>
      <c r="F14112" s="1"/>
    </row>
    <row r="14113" spans="5:6">
      <c r="E14113" s="1"/>
      <c r="F14113" s="1"/>
    </row>
    <row r="14114" spans="5:6">
      <c r="E14114" s="1"/>
      <c r="F14114" s="1"/>
    </row>
    <row r="14115" spans="5:6">
      <c r="E14115" s="1"/>
      <c r="F14115" s="1"/>
    </row>
    <row r="14116" spans="5:6">
      <c r="E14116" s="1"/>
      <c r="F14116" s="1"/>
    </row>
    <row r="14117" spans="5:6">
      <c r="E14117" s="1"/>
      <c r="F14117" s="1"/>
    </row>
    <row r="14118" spans="5:6">
      <c r="E14118" s="1"/>
      <c r="F14118" s="1"/>
    </row>
    <row r="14119" spans="5:6">
      <c r="E14119" s="1"/>
      <c r="F14119" s="1"/>
    </row>
    <row r="14120" spans="5:6">
      <c r="E14120" s="1"/>
      <c r="F14120" s="1"/>
    </row>
    <row r="14121" spans="5:6">
      <c r="E14121" s="1"/>
      <c r="F14121" s="1"/>
    </row>
    <row r="14122" spans="5:6">
      <c r="E14122" s="1"/>
      <c r="F14122" s="1"/>
    </row>
    <row r="14123" spans="5:6">
      <c r="E14123" s="1"/>
      <c r="F14123" s="1"/>
    </row>
    <row r="14124" spans="5:6">
      <c r="E14124" s="1"/>
      <c r="F14124" s="1"/>
    </row>
    <row r="14125" spans="5:6">
      <c r="E14125" s="1"/>
      <c r="F14125" s="1"/>
    </row>
    <row r="14126" spans="5:6">
      <c r="E14126" s="1"/>
      <c r="F14126" s="1"/>
    </row>
    <row r="14127" spans="5:6">
      <c r="E14127" s="1"/>
      <c r="F14127" s="1"/>
    </row>
    <row r="14128" spans="5:6">
      <c r="E14128" s="1"/>
      <c r="F14128" s="1"/>
    </row>
    <row r="14129" spans="5:6">
      <c r="E14129" s="1"/>
      <c r="F14129" s="1"/>
    </row>
    <row r="14130" spans="5:6">
      <c r="E14130" s="1"/>
      <c r="F14130" s="1"/>
    </row>
    <row r="14131" spans="5:6">
      <c r="E14131" s="1"/>
      <c r="F14131" s="1"/>
    </row>
    <row r="14132" spans="5:6">
      <c r="E14132" s="1"/>
      <c r="F14132" s="1"/>
    </row>
    <row r="14133" spans="5:6">
      <c r="E14133" s="1"/>
      <c r="F14133" s="1"/>
    </row>
    <row r="14134" spans="5:6">
      <c r="E14134" s="1"/>
      <c r="F14134" s="1"/>
    </row>
    <row r="14135" spans="5:6">
      <c r="E14135" s="1"/>
      <c r="F14135" s="1"/>
    </row>
    <row r="14136" spans="5:6">
      <c r="E14136" s="1"/>
      <c r="F14136" s="1"/>
    </row>
    <row r="14137" spans="5:6">
      <c r="E14137" s="1"/>
      <c r="F14137" s="1"/>
    </row>
    <row r="14138" spans="5:6">
      <c r="E14138" s="1"/>
      <c r="F14138" s="1"/>
    </row>
    <row r="14139" spans="5:6">
      <c r="E14139" s="1"/>
      <c r="F14139" s="1"/>
    </row>
    <row r="14140" spans="5:6">
      <c r="E14140" s="1"/>
      <c r="F14140" s="1"/>
    </row>
    <row r="14141" spans="5:6">
      <c r="E14141" s="1"/>
      <c r="F14141" s="1"/>
    </row>
    <row r="14142" spans="5:6">
      <c r="E14142" s="1"/>
      <c r="F14142" s="1"/>
    </row>
    <row r="14143" spans="5:6">
      <c r="E14143" s="1"/>
      <c r="F14143" s="1"/>
    </row>
    <row r="14144" spans="5:6">
      <c r="E14144" s="1"/>
      <c r="F14144" s="1"/>
    </row>
    <row r="14145" spans="5:6">
      <c r="E14145" s="1"/>
      <c r="F14145" s="1"/>
    </row>
    <row r="14146" spans="5:6">
      <c r="E14146" s="1"/>
      <c r="F14146" s="1"/>
    </row>
    <row r="14147" spans="5:6">
      <c r="E14147" s="1"/>
      <c r="F14147" s="1"/>
    </row>
    <row r="14148" spans="5:6">
      <c r="E14148" s="1"/>
      <c r="F14148" s="1"/>
    </row>
    <row r="14149" spans="5:6">
      <c r="E14149" s="1"/>
      <c r="F14149" s="1"/>
    </row>
    <row r="14150" spans="5:6">
      <c r="E14150" s="1"/>
      <c r="F14150" s="1"/>
    </row>
    <row r="14151" spans="5:6">
      <c r="E14151" s="1"/>
      <c r="F14151" s="1"/>
    </row>
    <row r="14152" spans="5:6">
      <c r="E14152" s="1"/>
      <c r="F14152" s="1"/>
    </row>
    <row r="14153" spans="5:6">
      <c r="E14153" s="1"/>
      <c r="F14153" s="1"/>
    </row>
    <row r="14154" spans="5:6">
      <c r="E14154" s="1"/>
      <c r="F14154" s="1"/>
    </row>
    <row r="14155" spans="5:6">
      <c r="E14155" s="1"/>
      <c r="F14155" s="1"/>
    </row>
    <row r="14156" spans="5:6">
      <c r="E14156" s="1"/>
      <c r="F14156" s="1"/>
    </row>
    <row r="14157" spans="5:6">
      <c r="E14157" s="1"/>
      <c r="F14157" s="1"/>
    </row>
    <row r="14158" spans="5:6">
      <c r="E14158" s="1"/>
      <c r="F14158" s="1"/>
    </row>
    <row r="14159" spans="5:6">
      <c r="E14159" s="1"/>
      <c r="F14159" s="1"/>
    </row>
    <row r="14160" spans="5:6">
      <c r="E14160" s="1"/>
      <c r="F14160" s="1"/>
    </row>
    <row r="14161" spans="5:6">
      <c r="E14161" s="1"/>
      <c r="F14161" s="1"/>
    </row>
    <row r="14162" spans="5:6">
      <c r="E14162" s="1"/>
      <c r="F14162" s="1"/>
    </row>
    <row r="14163" spans="5:6">
      <c r="E14163" s="1"/>
      <c r="F14163" s="1"/>
    </row>
    <row r="14164" spans="5:6">
      <c r="E14164" s="1"/>
      <c r="F14164" s="1"/>
    </row>
    <row r="14165" spans="5:6">
      <c r="E14165" s="1"/>
      <c r="F14165" s="1"/>
    </row>
    <row r="14166" spans="5:6">
      <c r="E14166" s="1"/>
      <c r="F14166" s="1"/>
    </row>
    <row r="14167" spans="5:6">
      <c r="E14167" s="1"/>
      <c r="F14167" s="1"/>
    </row>
    <row r="14168" spans="5:6">
      <c r="E14168" s="1"/>
      <c r="F14168" s="1"/>
    </row>
    <row r="14169" spans="5:6">
      <c r="E14169" s="1"/>
      <c r="F14169" s="1"/>
    </row>
    <row r="14170" spans="5:6">
      <c r="E14170" s="1"/>
      <c r="F14170" s="1"/>
    </row>
    <row r="14171" spans="5:6">
      <c r="E14171" s="1"/>
      <c r="F14171" s="1"/>
    </row>
    <row r="14172" spans="5:6">
      <c r="E14172" s="1"/>
      <c r="F14172" s="1"/>
    </row>
    <row r="14173" spans="5:6">
      <c r="E14173" s="1"/>
      <c r="F14173" s="1"/>
    </row>
    <row r="14174" spans="5:6">
      <c r="E14174" s="1"/>
      <c r="F14174" s="1"/>
    </row>
    <row r="14175" spans="5:6">
      <c r="E14175" s="1"/>
      <c r="F14175" s="1"/>
    </row>
    <row r="14176" spans="5:6">
      <c r="E14176" s="1"/>
      <c r="F14176" s="1"/>
    </row>
    <row r="14177" spans="5:6">
      <c r="E14177" s="1"/>
      <c r="F14177" s="1"/>
    </row>
    <row r="14178" spans="5:6">
      <c r="E14178" s="1"/>
      <c r="F14178" s="1"/>
    </row>
    <row r="14179" spans="5:6">
      <c r="E14179" s="1"/>
      <c r="F14179" s="1"/>
    </row>
    <row r="14180" spans="5:6">
      <c r="E14180" s="1"/>
      <c r="F14180" s="1"/>
    </row>
    <row r="14181" spans="5:6">
      <c r="E14181" s="1"/>
      <c r="F14181" s="1"/>
    </row>
    <row r="14182" spans="5:6">
      <c r="E14182" s="1"/>
      <c r="F14182" s="1"/>
    </row>
    <row r="14183" spans="5:6">
      <c r="E14183" s="1"/>
      <c r="F14183" s="1"/>
    </row>
    <row r="14184" spans="5:6">
      <c r="E14184" s="1"/>
      <c r="F14184" s="1"/>
    </row>
    <row r="14185" spans="5:6">
      <c r="E14185" s="1"/>
      <c r="F14185" s="1"/>
    </row>
    <row r="14186" spans="5:6">
      <c r="E14186" s="1"/>
      <c r="F14186" s="1"/>
    </row>
    <row r="14187" spans="5:6">
      <c r="E14187" s="1"/>
      <c r="F14187" s="1"/>
    </row>
    <row r="14188" spans="5:6">
      <c r="E14188" s="1"/>
      <c r="F14188" s="1"/>
    </row>
    <row r="14189" spans="5:6">
      <c r="E14189" s="1"/>
      <c r="F14189" s="1"/>
    </row>
    <row r="14190" spans="5:6">
      <c r="E14190" s="1"/>
      <c r="F14190" s="1"/>
    </row>
    <row r="14191" spans="5:6">
      <c r="E14191" s="1"/>
      <c r="F14191" s="1"/>
    </row>
    <row r="14192" spans="5:6">
      <c r="E14192" s="1"/>
      <c r="F14192" s="1"/>
    </row>
    <row r="14193" spans="5:6">
      <c r="E14193" s="1"/>
      <c r="F14193" s="1"/>
    </row>
    <row r="14194" spans="5:6">
      <c r="E14194" s="1"/>
      <c r="F14194" s="1"/>
    </row>
    <row r="14195" spans="5:6">
      <c r="E14195" s="1"/>
      <c r="F14195" s="1"/>
    </row>
    <row r="14196" spans="5:6">
      <c r="E14196" s="1"/>
      <c r="F14196" s="1"/>
    </row>
    <row r="14197" spans="5:6">
      <c r="E14197" s="1"/>
      <c r="F14197" s="1"/>
    </row>
    <row r="14198" spans="5:6">
      <c r="E14198" s="1"/>
      <c r="F14198" s="1"/>
    </row>
    <row r="14199" spans="5:6">
      <c r="E14199" s="1"/>
      <c r="F14199" s="1"/>
    </row>
    <row r="14200" spans="5:6">
      <c r="E14200" s="1"/>
      <c r="F14200" s="1"/>
    </row>
    <row r="14201" spans="5:6">
      <c r="E14201" s="1"/>
      <c r="F14201" s="1"/>
    </row>
    <row r="14202" spans="5:6">
      <c r="E14202" s="1"/>
      <c r="F14202" s="1"/>
    </row>
    <row r="14203" spans="5:6">
      <c r="E14203" s="1"/>
      <c r="F14203" s="1"/>
    </row>
    <row r="14204" spans="5:6">
      <c r="E14204" s="1"/>
      <c r="F14204" s="1"/>
    </row>
    <row r="14205" spans="5:6">
      <c r="E14205" s="1"/>
      <c r="F14205" s="1"/>
    </row>
    <row r="14206" spans="5:6">
      <c r="E14206" s="1"/>
      <c r="F14206" s="1"/>
    </row>
    <row r="14207" spans="5:6">
      <c r="E14207" s="1"/>
      <c r="F14207" s="1"/>
    </row>
    <row r="14208" spans="5:6">
      <c r="E14208" s="1"/>
      <c r="F14208" s="1"/>
    </row>
    <row r="14209" spans="5:6">
      <c r="E14209" s="1"/>
      <c r="F14209" s="1"/>
    </row>
    <row r="14210" spans="5:6">
      <c r="E14210" s="1"/>
      <c r="F14210" s="1"/>
    </row>
    <row r="14211" spans="5:6">
      <c r="E14211" s="1"/>
      <c r="F14211" s="1"/>
    </row>
    <row r="14212" spans="5:6">
      <c r="E14212" s="1"/>
      <c r="F14212" s="1"/>
    </row>
    <row r="14213" spans="5:6">
      <c r="E14213" s="1"/>
      <c r="F14213" s="1"/>
    </row>
    <row r="14214" spans="5:6">
      <c r="E14214" s="1"/>
      <c r="F14214" s="1"/>
    </row>
    <row r="14215" spans="5:6">
      <c r="E14215" s="1"/>
      <c r="F14215" s="1"/>
    </row>
    <row r="14216" spans="5:6">
      <c r="E14216" s="1"/>
      <c r="F14216" s="1"/>
    </row>
    <row r="14217" spans="5:6">
      <c r="E14217" s="1"/>
      <c r="F14217" s="1"/>
    </row>
    <row r="14218" spans="5:6">
      <c r="E14218" s="1"/>
      <c r="F14218" s="1"/>
    </row>
    <row r="14219" spans="5:6">
      <c r="E14219" s="1"/>
      <c r="F14219" s="1"/>
    </row>
    <row r="14220" spans="5:6">
      <c r="E14220" s="1"/>
      <c r="F14220" s="1"/>
    </row>
    <row r="14221" spans="5:6">
      <c r="E14221" s="1"/>
      <c r="F14221" s="1"/>
    </row>
    <row r="14222" spans="5:6">
      <c r="E14222" s="1"/>
      <c r="F14222" s="1"/>
    </row>
    <row r="14223" spans="5:6">
      <c r="E14223" s="1"/>
      <c r="F14223" s="1"/>
    </row>
    <row r="14224" spans="5:6">
      <c r="E14224" s="1"/>
      <c r="F14224" s="1"/>
    </row>
    <row r="14225" spans="5:6">
      <c r="E14225" s="1"/>
      <c r="F14225" s="1"/>
    </row>
    <row r="14226" spans="5:6">
      <c r="E14226" s="1"/>
      <c r="F14226" s="1"/>
    </row>
    <row r="14227" spans="5:6">
      <c r="E14227" s="1"/>
      <c r="F14227" s="1"/>
    </row>
    <row r="14228" spans="5:6">
      <c r="E14228" s="1"/>
      <c r="F14228" s="1"/>
    </row>
    <row r="14229" spans="5:6">
      <c r="E14229" s="1"/>
      <c r="F14229" s="1"/>
    </row>
    <row r="14230" spans="5:6">
      <c r="E14230" s="1"/>
      <c r="F14230" s="1"/>
    </row>
    <row r="14231" spans="5:6">
      <c r="E14231" s="1"/>
      <c r="F14231" s="1"/>
    </row>
    <row r="14232" spans="5:6">
      <c r="E14232" s="1"/>
      <c r="F14232" s="1"/>
    </row>
    <row r="14233" spans="5:6">
      <c r="E14233" s="1"/>
      <c r="F14233" s="1"/>
    </row>
    <row r="14234" spans="5:6">
      <c r="E14234" s="1"/>
      <c r="F14234" s="1"/>
    </row>
    <row r="14235" spans="5:6">
      <c r="E14235" s="1"/>
      <c r="F14235" s="1"/>
    </row>
    <row r="14236" spans="5:6">
      <c r="E14236" s="1"/>
      <c r="F14236" s="1"/>
    </row>
    <row r="14237" spans="5:6">
      <c r="E14237" s="1"/>
      <c r="F14237" s="1"/>
    </row>
    <row r="14238" spans="5:6">
      <c r="E14238" s="1"/>
      <c r="F14238" s="1"/>
    </row>
    <row r="14239" spans="5:6">
      <c r="E14239" s="1"/>
      <c r="F14239" s="1"/>
    </row>
    <row r="14240" spans="5:6">
      <c r="E14240" s="1"/>
      <c r="F14240" s="1"/>
    </row>
    <row r="14241" spans="5:6">
      <c r="E14241" s="1"/>
      <c r="F14241" s="1"/>
    </row>
    <row r="14242" spans="5:6">
      <c r="E14242" s="1"/>
      <c r="F14242" s="1"/>
    </row>
    <row r="14243" spans="5:6">
      <c r="E14243" s="1"/>
      <c r="F14243" s="1"/>
    </row>
    <row r="14244" spans="5:6">
      <c r="E14244" s="1"/>
      <c r="F14244" s="1"/>
    </row>
    <row r="14245" spans="5:6">
      <c r="E14245" s="1"/>
      <c r="F14245" s="1"/>
    </row>
    <row r="14246" spans="5:6">
      <c r="E14246" s="1"/>
      <c r="F14246" s="1"/>
    </row>
    <row r="14247" spans="5:6">
      <c r="E14247" s="1"/>
      <c r="F14247" s="1"/>
    </row>
    <row r="14248" spans="5:6">
      <c r="E14248" s="1"/>
      <c r="F14248" s="1"/>
    </row>
    <row r="14249" spans="5:6">
      <c r="E14249" s="1"/>
      <c r="F14249" s="1"/>
    </row>
    <row r="14250" spans="5:6">
      <c r="E14250" s="1"/>
      <c r="F14250" s="1"/>
    </row>
    <row r="14251" spans="5:6">
      <c r="E14251" s="1"/>
      <c r="F14251" s="1"/>
    </row>
    <row r="14252" spans="5:6">
      <c r="E14252" s="1"/>
      <c r="F14252" s="1"/>
    </row>
    <row r="14253" spans="5:6">
      <c r="E14253" s="1"/>
      <c r="F14253" s="1"/>
    </row>
    <row r="14254" spans="5:6">
      <c r="E14254" s="1"/>
      <c r="F14254" s="1"/>
    </row>
    <row r="14255" spans="5:6">
      <c r="E14255" s="1"/>
      <c r="F14255" s="1"/>
    </row>
    <row r="14256" spans="5:6">
      <c r="E14256" s="1"/>
      <c r="F14256" s="1"/>
    </row>
    <row r="14257" spans="5:6">
      <c r="E14257" s="1"/>
      <c r="F14257" s="1"/>
    </row>
    <row r="14258" spans="5:6">
      <c r="E14258" s="1"/>
      <c r="F14258" s="1"/>
    </row>
    <row r="14259" spans="5:6">
      <c r="E14259" s="1"/>
      <c r="F14259" s="1"/>
    </row>
    <row r="14260" spans="5:6">
      <c r="E14260" s="1"/>
      <c r="F14260" s="1"/>
    </row>
    <row r="14261" spans="5:6">
      <c r="E14261" s="1"/>
      <c r="F14261" s="1"/>
    </row>
    <row r="14262" spans="5:6">
      <c r="E14262" s="1"/>
      <c r="F14262" s="1"/>
    </row>
    <row r="14263" spans="5:6">
      <c r="E14263" s="1"/>
      <c r="F14263" s="1"/>
    </row>
    <row r="14264" spans="5:6">
      <c r="E14264" s="1"/>
      <c r="F14264" s="1"/>
    </row>
    <row r="14265" spans="5:6">
      <c r="E14265" s="1"/>
      <c r="F14265" s="1"/>
    </row>
    <row r="14266" spans="5:6">
      <c r="E14266" s="1"/>
      <c r="F14266" s="1"/>
    </row>
    <row r="14267" spans="5:6">
      <c r="E14267" s="1"/>
      <c r="F14267" s="1"/>
    </row>
    <row r="14268" spans="5:6">
      <c r="E14268" s="1"/>
      <c r="F14268" s="1"/>
    </row>
    <row r="14269" spans="5:6">
      <c r="E14269" s="1"/>
      <c r="F14269" s="1"/>
    </row>
    <row r="14270" spans="5:6">
      <c r="E14270" s="1"/>
      <c r="F14270" s="1"/>
    </row>
    <row r="14271" spans="5:6">
      <c r="E14271" s="1"/>
      <c r="F14271" s="1"/>
    </row>
    <row r="14272" spans="5:6">
      <c r="E14272" s="1"/>
      <c r="F14272" s="1"/>
    </row>
    <row r="14273" spans="5:6">
      <c r="E14273" s="1"/>
      <c r="F14273" s="1"/>
    </row>
    <row r="14274" spans="5:6">
      <c r="E14274" s="1"/>
      <c r="F14274" s="1"/>
    </row>
    <row r="14275" spans="5:6">
      <c r="E14275" s="1"/>
      <c r="F14275" s="1"/>
    </row>
    <row r="14276" spans="5:6">
      <c r="E14276" s="1"/>
      <c r="F14276" s="1"/>
    </row>
    <row r="14277" spans="5:6">
      <c r="E14277" s="1"/>
      <c r="F14277" s="1"/>
    </row>
    <row r="14278" spans="5:6">
      <c r="E14278" s="1"/>
      <c r="F14278" s="1"/>
    </row>
    <row r="14279" spans="5:6">
      <c r="E14279" s="1"/>
      <c r="F14279" s="1"/>
    </row>
    <row r="14280" spans="5:6">
      <c r="E14280" s="1"/>
      <c r="F14280" s="1"/>
    </row>
    <row r="14281" spans="5:6">
      <c r="E14281" s="1"/>
      <c r="F14281" s="1"/>
    </row>
    <row r="14282" spans="5:6">
      <c r="E14282" s="1"/>
      <c r="F14282" s="1"/>
    </row>
    <row r="14283" spans="5:6">
      <c r="E14283" s="1"/>
      <c r="F14283" s="1"/>
    </row>
    <row r="14284" spans="5:6">
      <c r="E14284" s="1"/>
      <c r="F14284" s="1"/>
    </row>
    <row r="14285" spans="5:6">
      <c r="E14285" s="1"/>
      <c r="F14285" s="1"/>
    </row>
    <row r="14286" spans="5:6">
      <c r="E14286" s="1"/>
      <c r="F14286" s="1"/>
    </row>
    <row r="14287" spans="5:6">
      <c r="E14287" s="1"/>
      <c r="F14287" s="1"/>
    </row>
    <row r="14288" spans="5:6">
      <c r="E14288" s="1"/>
      <c r="F14288" s="1"/>
    </row>
    <row r="14289" spans="5:6">
      <c r="E14289" s="1"/>
      <c r="F14289" s="1"/>
    </row>
    <row r="14290" spans="5:6">
      <c r="E14290" s="1"/>
      <c r="F14290" s="1"/>
    </row>
    <row r="14291" spans="5:6">
      <c r="E14291" s="1"/>
      <c r="F14291" s="1"/>
    </row>
    <row r="14292" spans="5:6">
      <c r="E14292" s="1"/>
      <c r="F14292" s="1"/>
    </row>
    <row r="14293" spans="5:6">
      <c r="E14293" s="1"/>
      <c r="F14293" s="1"/>
    </row>
    <row r="14294" spans="5:6">
      <c r="E14294" s="1"/>
      <c r="F14294" s="1"/>
    </row>
    <row r="14295" spans="5:6">
      <c r="E14295" s="1"/>
      <c r="F14295" s="1"/>
    </row>
    <row r="14296" spans="5:6">
      <c r="E14296" s="1"/>
      <c r="F14296" s="1"/>
    </row>
    <row r="14297" spans="5:6">
      <c r="E14297" s="1"/>
      <c r="F14297" s="1"/>
    </row>
    <row r="14298" spans="5:6">
      <c r="E14298" s="1"/>
      <c r="F14298" s="1"/>
    </row>
    <row r="14299" spans="5:6">
      <c r="E14299" s="1"/>
      <c r="F14299" s="1"/>
    </row>
    <row r="14300" spans="5:6">
      <c r="E14300" s="1"/>
      <c r="F14300" s="1"/>
    </row>
    <row r="14301" spans="5:6">
      <c r="E14301" s="1"/>
      <c r="F14301" s="1"/>
    </row>
    <row r="14302" spans="5:6">
      <c r="E14302" s="1"/>
      <c r="F14302" s="1"/>
    </row>
    <row r="14303" spans="5:6">
      <c r="E14303" s="1"/>
      <c r="F14303" s="1"/>
    </row>
    <row r="14304" spans="5:6">
      <c r="E14304" s="1"/>
      <c r="F14304" s="1"/>
    </row>
    <row r="14305" spans="5:6">
      <c r="E14305" s="1"/>
      <c r="F14305" s="1"/>
    </row>
    <row r="14306" spans="5:6">
      <c r="E14306" s="1"/>
      <c r="F14306" s="1"/>
    </row>
    <row r="14307" spans="5:6">
      <c r="E14307" s="1"/>
      <c r="F14307" s="1"/>
    </row>
    <row r="14308" spans="5:6">
      <c r="E14308" s="1"/>
      <c r="F14308" s="1"/>
    </row>
    <row r="14309" spans="5:6">
      <c r="E14309" s="1"/>
      <c r="F14309" s="1"/>
    </row>
    <row r="14310" spans="5:6">
      <c r="E14310" s="1"/>
      <c r="F14310" s="1"/>
    </row>
    <row r="14311" spans="5:6">
      <c r="E14311" s="1"/>
      <c r="F14311" s="1"/>
    </row>
    <row r="14312" spans="5:6">
      <c r="E14312" s="1"/>
      <c r="F14312" s="1"/>
    </row>
    <row r="14313" spans="5:6">
      <c r="E14313" s="1"/>
      <c r="F14313" s="1"/>
    </row>
    <row r="14314" spans="5:6">
      <c r="E14314" s="1"/>
      <c r="F14314" s="1"/>
    </row>
    <row r="14315" spans="5:6">
      <c r="E14315" s="1"/>
      <c r="F14315" s="1"/>
    </row>
    <row r="14316" spans="5:6">
      <c r="E14316" s="1"/>
      <c r="F14316" s="1"/>
    </row>
    <row r="14317" spans="5:6">
      <c r="E14317" s="1"/>
      <c r="F14317" s="1"/>
    </row>
    <row r="14318" spans="5:6">
      <c r="E14318" s="1"/>
      <c r="F14318" s="1"/>
    </row>
    <row r="14319" spans="5:6">
      <c r="E14319" s="1"/>
      <c r="F14319" s="1"/>
    </row>
    <row r="14320" spans="5:6">
      <c r="E14320" s="1"/>
      <c r="F14320" s="1"/>
    </row>
    <row r="14321" spans="5:6">
      <c r="E14321" s="1"/>
      <c r="F14321" s="1"/>
    </row>
    <row r="14322" spans="5:6">
      <c r="E14322" s="1"/>
      <c r="F14322" s="1"/>
    </row>
    <row r="14323" spans="5:6">
      <c r="E14323" s="1"/>
      <c r="F14323" s="1"/>
    </row>
    <row r="14324" spans="5:6">
      <c r="E14324" s="1"/>
      <c r="F14324" s="1"/>
    </row>
    <row r="14325" spans="5:6">
      <c r="E14325" s="1"/>
      <c r="F14325" s="1"/>
    </row>
    <row r="14326" spans="5:6">
      <c r="E14326" s="1"/>
      <c r="F14326" s="1"/>
    </row>
    <row r="14327" spans="5:6">
      <c r="E14327" s="1"/>
      <c r="F14327" s="1"/>
    </row>
    <row r="14328" spans="5:6">
      <c r="E14328" s="1"/>
      <c r="F14328" s="1"/>
    </row>
    <row r="14329" spans="5:6">
      <c r="E14329" s="1"/>
      <c r="F14329" s="1"/>
    </row>
    <row r="14330" spans="5:6">
      <c r="E14330" s="1"/>
      <c r="F14330" s="1"/>
    </row>
    <row r="14331" spans="5:6">
      <c r="E14331" s="1"/>
      <c r="F14331" s="1"/>
    </row>
    <row r="14332" spans="5:6">
      <c r="E14332" s="1"/>
      <c r="F14332" s="1"/>
    </row>
    <row r="14333" spans="5:6">
      <c r="E14333" s="1"/>
      <c r="F14333" s="1"/>
    </row>
    <row r="14334" spans="5:6">
      <c r="E14334" s="1"/>
      <c r="F14334" s="1"/>
    </row>
    <row r="14335" spans="5:6">
      <c r="E14335" s="1"/>
      <c r="F14335" s="1"/>
    </row>
    <row r="14336" spans="5:6">
      <c r="E14336" s="1"/>
      <c r="F14336" s="1"/>
    </row>
    <row r="14337" spans="5:6">
      <c r="E14337" s="1"/>
      <c r="F14337" s="1"/>
    </row>
    <row r="14338" spans="5:6">
      <c r="E14338" s="1"/>
      <c r="F14338" s="1"/>
    </row>
    <row r="14339" spans="5:6">
      <c r="E14339" s="1"/>
      <c r="F14339" s="1"/>
    </row>
    <row r="14340" spans="5:6">
      <c r="E14340" s="1"/>
      <c r="F14340" s="1"/>
    </row>
    <row r="14341" spans="5:6">
      <c r="E14341" s="1"/>
      <c r="F14341" s="1"/>
    </row>
    <row r="14342" spans="5:6">
      <c r="E14342" s="1"/>
      <c r="F14342" s="1"/>
    </row>
    <row r="14343" spans="5:6">
      <c r="E14343" s="1"/>
      <c r="F14343" s="1"/>
    </row>
    <row r="14344" spans="5:6">
      <c r="E14344" s="1"/>
      <c r="F14344" s="1"/>
    </row>
    <row r="14345" spans="5:6">
      <c r="E14345" s="1"/>
      <c r="F14345" s="1"/>
    </row>
    <row r="14346" spans="5:6">
      <c r="E14346" s="1"/>
      <c r="F14346" s="1"/>
    </row>
    <row r="14347" spans="5:6">
      <c r="E14347" s="1"/>
      <c r="F14347" s="1"/>
    </row>
    <row r="14348" spans="5:6">
      <c r="E14348" s="1"/>
      <c r="F14348" s="1"/>
    </row>
    <row r="14349" spans="5:6">
      <c r="E14349" s="1"/>
      <c r="F14349" s="1"/>
    </row>
    <row r="14350" spans="5:6">
      <c r="E14350" s="1"/>
      <c r="F14350" s="1"/>
    </row>
    <row r="14351" spans="5:6">
      <c r="E14351" s="1"/>
      <c r="F14351" s="1"/>
    </row>
    <row r="14352" spans="5:6">
      <c r="E14352" s="1"/>
      <c r="F14352" s="1"/>
    </row>
    <row r="14353" spans="5:6">
      <c r="E14353" s="1"/>
      <c r="F14353" s="1"/>
    </row>
    <row r="14354" spans="5:6">
      <c r="E14354" s="1"/>
      <c r="F14354" s="1"/>
    </row>
    <row r="14355" spans="5:6">
      <c r="E14355" s="1"/>
      <c r="F14355" s="1"/>
    </row>
    <row r="14356" spans="5:6">
      <c r="E14356" s="1"/>
      <c r="F14356" s="1"/>
    </row>
    <row r="14357" spans="5:6">
      <c r="E14357" s="1"/>
      <c r="F14357" s="1"/>
    </row>
    <row r="14358" spans="5:6">
      <c r="E14358" s="1"/>
      <c r="F14358" s="1"/>
    </row>
    <row r="14359" spans="5:6">
      <c r="E14359" s="1"/>
      <c r="F14359" s="1"/>
    </row>
    <row r="14360" spans="5:6">
      <c r="E14360" s="1"/>
      <c r="F14360" s="1"/>
    </row>
    <row r="14361" spans="5:6">
      <c r="E14361" s="1"/>
      <c r="F14361" s="1"/>
    </row>
    <row r="14362" spans="5:6">
      <c r="E14362" s="1"/>
      <c r="F14362" s="1"/>
    </row>
    <row r="14363" spans="5:6">
      <c r="E14363" s="1"/>
      <c r="F14363" s="1"/>
    </row>
    <row r="14364" spans="5:6">
      <c r="E14364" s="1"/>
      <c r="F14364" s="1"/>
    </row>
    <row r="14365" spans="5:6">
      <c r="E14365" s="1"/>
      <c r="F14365" s="1"/>
    </row>
    <row r="14366" spans="5:6">
      <c r="E14366" s="1"/>
      <c r="F14366" s="1"/>
    </row>
    <row r="14367" spans="5:6">
      <c r="E14367" s="1"/>
      <c r="F14367" s="1"/>
    </row>
    <row r="14368" spans="5:6">
      <c r="E14368" s="1"/>
      <c r="F14368" s="1"/>
    </row>
    <row r="14369" spans="5:6">
      <c r="E14369" s="1"/>
      <c r="F14369" s="1"/>
    </row>
    <row r="14370" spans="5:6">
      <c r="E14370" s="1"/>
      <c r="F14370" s="1"/>
    </row>
    <row r="14371" spans="5:6">
      <c r="E14371" s="1"/>
      <c r="F14371" s="1"/>
    </row>
    <row r="14372" spans="5:6">
      <c r="E14372" s="1"/>
      <c r="F14372" s="1"/>
    </row>
    <row r="14373" spans="5:6">
      <c r="E14373" s="1"/>
      <c r="F14373" s="1"/>
    </row>
    <row r="14374" spans="5:6">
      <c r="E14374" s="1"/>
      <c r="F14374" s="1"/>
    </row>
    <row r="14375" spans="5:6">
      <c r="E14375" s="1"/>
      <c r="F14375" s="1"/>
    </row>
    <row r="14376" spans="5:6">
      <c r="E14376" s="1"/>
      <c r="F14376" s="1"/>
    </row>
    <row r="14377" spans="5:6">
      <c r="E14377" s="1"/>
      <c r="F14377" s="1"/>
    </row>
    <row r="14378" spans="5:6">
      <c r="E14378" s="1"/>
      <c r="F14378" s="1"/>
    </row>
    <row r="14379" spans="5:6">
      <c r="E14379" s="1"/>
      <c r="F14379" s="1"/>
    </row>
    <row r="14380" spans="5:6">
      <c r="E14380" s="1"/>
      <c r="F14380" s="1"/>
    </row>
    <row r="14381" spans="5:6">
      <c r="E14381" s="1"/>
      <c r="F14381" s="1"/>
    </row>
    <row r="14382" spans="5:6">
      <c r="E14382" s="1"/>
      <c r="F14382" s="1"/>
    </row>
    <row r="14383" spans="5:6">
      <c r="E14383" s="1"/>
      <c r="F14383" s="1"/>
    </row>
    <row r="14384" spans="5:6">
      <c r="E14384" s="1"/>
      <c r="F14384" s="1"/>
    </row>
    <row r="14385" spans="5:6">
      <c r="E14385" s="1"/>
      <c r="F14385" s="1"/>
    </row>
    <row r="14386" spans="5:6">
      <c r="E14386" s="1"/>
      <c r="F14386" s="1"/>
    </row>
    <row r="14387" spans="5:6">
      <c r="E14387" s="1"/>
      <c r="F14387" s="1"/>
    </row>
    <row r="14388" spans="5:6">
      <c r="E14388" s="1"/>
      <c r="F14388" s="1"/>
    </row>
    <row r="14389" spans="5:6">
      <c r="E14389" s="1"/>
      <c r="F14389" s="1"/>
    </row>
    <row r="14390" spans="5:6">
      <c r="E14390" s="1"/>
      <c r="F14390" s="1"/>
    </row>
    <row r="14391" spans="5:6">
      <c r="E14391" s="1"/>
      <c r="F14391" s="1"/>
    </row>
    <row r="14392" spans="5:6">
      <c r="E14392" s="1"/>
      <c r="F14392" s="1"/>
    </row>
    <row r="14393" spans="5:6">
      <c r="E14393" s="1"/>
      <c r="F14393" s="1"/>
    </row>
    <row r="14394" spans="5:6">
      <c r="E14394" s="1"/>
      <c r="F14394" s="1"/>
    </row>
    <row r="14395" spans="5:6">
      <c r="E14395" s="1"/>
      <c r="F14395" s="1"/>
    </row>
    <row r="14396" spans="5:6">
      <c r="E14396" s="1"/>
      <c r="F14396" s="1"/>
    </row>
    <row r="14397" spans="5:6">
      <c r="E14397" s="1"/>
      <c r="F14397" s="1"/>
    </row>
    <row r="14398" spans="5:6">
      <c r="E14398" s="1"/>
      <c r="F14398" s="1"/>
    </row>
    <row r="14399" spans="5:6">
      <c r="E14399" s="1"/>
      <c r="F14399" s="1"/>
    </row>
    <row r="14400" spans="5:6">
      <c r="E14400" s="1"/>
      <c r="F14400" s="1"/>
    </row>
    <row r="14401" spans="5:6">
      <c r="E14401" s="1"/>
      <c r="F14401" s="1"/>
    </row>
    <row r="14402" spans="5:6">
      <c r="E14402" s="1"/>
      <c r="F14402" s="1"/>
    </row>
    <row r="14403" spans="5:6">
      <c r="E14403" s="1"/>
      <c r="F14403" s="1"/>
    </row>
    <row r="14404" spans="5:6">
      <c r="E14404" s="1"/>
      <c r="F14404" s="1"/>
    </row>
    <row r="14405" spans="5:6">
      <c r="E14405" s="1"/>
      <c r="F14405" s="1"/>
    </row>
    <row r="14406" spans="5:6">
      <c r="E14406" s="1"/>
      <c r="F14406" s="1"/>
    </row>
    <row r="14407" spans="5:6">
      <c r="E14407" s="1"/>
      <c r="F14407" s="1"/>
    </row>
    <row r="14408" spans="5:6">
      <c r="E14408" s="1"/>
      <c r="F14408" s="1"/>
    </row>
    <row r="14409" spans="5:6">
      <c r="E14409" s="1"/>
      <c r="F14409" s="1"/>
    </row>
    <row r="14410" spans="5:6">
      <c r="E14410" s="1"/>
      <c r="F14410" s="1"/>
    </row>
    <row r="14411" spans="5:6">
      <c r="E14411" s="1"/>
      <c r="F14411" s="1"/>
    </row>
    <row r="14412" spans="5:6">
      <c r="E14412" s="1"/>
      <c r="F14412" s="1"/>
    </row>
    <row r="14413" spans="5:6">
      <c r="E14413" s="1"/>
      <c r="F14413" s="1"/>
    </row>
    <row r="14414" spans="5:6">
      <c r="E14414" s="1"/>
      <c r="F14414" s="1"/>
    </row>
    <row r="14415" spans="5:6">
      <c r="E14415" s="1"/>
      <c r="F14415" s="1"/>
    </row>
    <row r="14416" spans="5:6">
      <c r="E14416" s="1"/>
      <c r="F14416" s="1"/>
    </row>
    <row r="14417" spans="5:6">
      <c r="E14417" s="1"/>
      <c r="F14417" s="1"/>
    </row>
    <row r="14418" spans="5:6">
      <c r="E14418" s="1"/>
      <c r="F14418" s="1"/>
    </row>
    <row r="14419" spans="5:6">
      <c r="E14419" s="1"/>
      <c r="F14419" s="1"/>
    </row>
    <row r="14420" spans="5:6">
      <c r="E14420" s="1"/>
      <c r="F14420" s="1"/>
    </row>
    <row r="14421" spans="5:6">
      <c r="E14421" s="1"/>
      <c r="F14421" s="1"/>
    </row>
    <row r="14422" spans="5:6">
      <c r="E14422" s="1"/>
      <c r="F14422" s="1"/>
    </row>
    <row r="14423" spans="5:6">
      <c r="E14423" s="1"/>
      <c r="F14423" s="1"/>
    </row>
    <row r="14424" spans="5:6">
      <c r="E14424" s="1"/>
      <c r="F14424" s="1"/>
    </row>
    <row r="14425" spans="5:6">
      <c r="E14425" s="1"/>
      <c r="F14425" s="1"/>
    </row>
    <row r="14426" spans="5:6">
      <c r="E14426" s="1"/>
      <c r="F14426" s="1"/>
    </row>
    <row r="14427" spans="5:6">
      <c r="E14427" s="1"/>
      <c r="F14427" s="1"/>
    </row>
    <row r="14428" spans="5:6">
      <c r="E14428" s="1"/>
      <c r="F14428" s="1"/>
    </row>
    <row r="14429" spans="5:6">
      <c r="E14429" s="1"/>
      <c r="F14429" s="1"/>
    </row>
    <row r="14430" spans="5:6">
      <c r="E14430" s="1"/>
      <c r="F14430" s="1"/>
    </row>
    <row r="14431" spans="5:6">
      <c r="E14431" s="1"/>
      <c r="F14431" s="1"/>
    </row>
    <row r="14432" spans="5:6">
      <c r="E14432" s="1"/>
      <c r="F14432" s="1"/>
    </row>
    <row r="14433" spans="5:6">
      <c r="E14433" s="1"/>
      <c r="F14433" s="1"/>
    </row>
    <row r="14434" spans="5:6">
      <c r="E14434" s="1"/>
      <c r="F14434" s="1"/>
    </row>
    <row r="14435" spans="5:6">
      <c r="E14435" s="1"/>
      <c r="F14435" s="1"/>
    </row>
    <row r="14436" spans="5:6">
      <c r="E14436" s="1"/>
      <c r="F14436" s="1"/>
    </row>
    <row r="14437" spans="5:6">
      <c r="E14437" s="1"/>
      <c r="F14437" s="1"/>
    </row>
    <row r="14438" spans="5:6">
      <c r="E14438" s="1"/>
      <c r="F14438" s="1"/>
    </row>
    <row r="14439" spans="5:6">
      <c r="E14439" s="1"/>
      <c r="F14439" s="1"/>
    </row>
    <row r="14440" spans="5:6">
      <c r="E14440" s="1"/>
      <c r="F14440" s="1"/>
    </row>
    <row r="14441" spans="5:6">
      <c r="E14441" s="1"/>
      <c r="F14441" s="1"/>
    </row>
    <row r="14442" spans="5:6">
      <c r="E14442" s="1"/>
      <c r="F14442" s="1"/>
    </row>
    <row r="14443" spans="5:6">
      <c r="E14443" s="1"/>
      <c r="F14443" s="1"/>
    </row>
    <row r="14444" spans="5:6">
      <c r="E14444" s="1"/>
      <c r="F14444" s="1"/>
    </row>
    <row r="14445" spans="5:6">
      <c r="E14445" s="1"/>
      <c r="F14445" s="1"/>
    </row>
    <row r="14446" spans="5:6">
      <c r="E14446" s="1"/>
      <c r="F14446" s="1"/>
    </row>
    <row r="14447" spans="5:6">
      <c r="E14447" s="1"/>
      <c r="F14447" s="1"/>
    </row>
    <row r="14448" spans="5:6">
      <c r="E14448" s="1"/>
      <c r="F14448" s="1"/>
    </row>
    <row r="14449" spans="5:6">
      <c r="E14449" s="1"/>
      <c r="F14449" s="1"/>
    </row>
    <row r="14450" spans="5:6">
      <c r="E14450" s="1"/>
      <c r="F14450" s="1"/>
    </row>
    <row r="14451" spans="5:6">
      <c r="E14451" s="1"/>
      <c r="F14451" s="1"/>
    </row>
    <row r="14452" spans="5:6">
      <c r="E14452" s="1"/>
      <c r="F14452" s="1"/>
    </row>
    <row r="14453" spans="5:6">
      <c r="E14453" s="1"/>
      <c r="F14453" s="1"/>
    </row>
    <row r="14454" spans="5:6">
      <c r="E14454" s="1"/>
      <c r="F14454" s="1"/>
    </row>
    <row r="14455" spans="5:6">
      <c r="E14455" s="1"/>
      <c r="F14455" s="1"/>
    </row>
    <row r="14456" spans="5:6">
      <c r="E14456" s="1"/>
      <c r="F14456" s="1"/>
    </row>
    <row r="14457" spans="5:6">
      <c r="E14457" s="1"/>
      <c r="F14457" s="1"/>
    </row>
    <row r="14458" spans="5:6">
      <c r="E14458" s="1"/>
      <c r="F14458" s="1"/>
    </row>
    <row r="14459" spans="5:6">
      <c r="E14459" s="1"/>
      <c r="F14459" s="1"/>
    </row>
    <row r="14460" spans="5:6">
      <c r="E14460" s="1"/>
      <c r="F14460" s="1"/>
    </row>
    <row r="14461" spans="5:6">
      <c r="E14461" s="1"/>
      <c r="F14461" s="1"/>
    </row>
    <row r="14462" spans="5:6">
      <c r="E14462" s="1"/>
      <c r="F14462" s="1"/>
    </row>
    <row r="14463" spans="5:6">
      <c r="E14463" s="1"/>
      <c r="F14463" s="1"/>
    </row>
    <row r="14464" spans="5:6">
      <c r="E14464" s="1"/>
      <c r="F14464" s="1"/>
    </row>
    <row r="14465" spans="5:6">
      <c r="E14465" s="1"/>
      <c r="F14465" s="1"/>
    </row>
    <row r="14466" spans="5:6">
      <c r="E14466" s="1"/>
      <c r="F14466" s="1"/>
    </row>
    <row r="14467" spans="5:6">
      <c r="E14467" s="1"/>
      <c r="F14467" s="1"/>
    </row>
    <row r="14468" spans="5:6">
      <c r="E14468" s="1"/>
      <c r="F14468" s="1"/>
    </row>
    <row r="14469" spans="5:6">
      <c r="E14469" s="1"/>
      <c r="F14469" s="1"/>
    </row>
    <row r="14470" spans="5:6">
      <c r="E14470" s="1"/>
      <c r="F14470" s="1"/>
    </row>
    <row r="14471" spans="5:6">
      <c r="E14471" s="1"/>
      <c r="F14471" s="1"/>
    </row>
    <row r="14472" spans="5:6">
      <c r="E14472" s="1"/>
      <c r="F14472" s="1"/>
    </row>
    <row r="14473" spans="5:6">
      <c r="E14473" s="1"/>
      <c r="F14473" s="1"/>
    </row>
    <row r="14474" spans="5:6">
      <c r="E14474" s="1"/>
      <c r="F14474" s="1"/>
    </row>
    <row r="14475" spans="5:6">
      <c r="E14475" s="1"/>
      <c r="F14475" s="1"/>
    </row>
    <row r="14476" spans="5:6">
      <c r="E14476" s="1"/>
      <c r="F14476" s="1"/>
    </row>
    <row r="14477" spans="5:6">
      <c r="E14477" s="1"/>
      <c r="F14477" s="1"/>
    </row>
    <row r="14478" spans="5:6">
      <c r="E14478" s="1"/>
      <c r="F14478" s="1"/>
    </row>
    <row r="14479" spans="5:6">
      <c r="E14479" s="1"/>
      <c r="F14479" s="1"/>
    </row>
    <row r="14480" spans="5:6">
      <c r="E14480" s="1"/>
      <c r="F14480" s="1"/>
    </row>
    <row r="14481" spans="5:6">
      <c r="E14481" s="1"/>
      <c r="F14481" s="1"/>
    </row>
    <row r="14482" spans="5:6">
      <c r="E14482" s="1"/>
      <c r="F14482" s="1"/>
    </row>
    <row r="14483" spans="5:6">
      <c r="E14483" s="1"/>
      <c r="F14483" s="1"/>
    </row>
    <row r="14484" spans="5:6">
      <c r="E14484" s="1"/>
      <c r="F14484" s="1"/>
    </row>
    <row r="14485" spans="5:6">
      <c r="E14485" s="1"/>
      <c r="F14485" s="1"/>
    </row>
    <row r="14486" spans="5:6">
      <c r="E14486" s="1"/>
      <c r="F14486" s="1"/>
    </row>
    <row r="14487" spans="5:6">
      <c r="E14487" s="1"/>
      <c r="F14487" s="1"/>
    </row>
    <row r="14488" spans="5:6">
      <c r="E14488" s="1"/>
      <c r="F14488" s="1"/>
    </row>
    <row r="14489" spans="5:6">
      <c r="E14489" s="1"/>
      <c r="F14489" s="1"/>
    </row>
    <row r="14490" spans="5:6">
      <c r="E14490" s="1"/>
      <c r="F14490" s="1"/>
    </row>
    <row r="14491" spans="5:6">
      <c r="E14491" s="1"/>
      <c r="F14491" s="1"/>
    </row>
    <row r="14492" spans="5:6">
      <c r="E14492" s="1"/>
      <c r="F14492" s="1"/>
    </row>
    <row r="14493" spans="5:6">
      <c r="E14493" s="1"/>
      <c r="F14493" s="1"/>
    </row>
    <row r="14494" spans="5:6">
      <c r="E14494" s="1"/>
      <c r="F14494" s="1"/>
    </row>
    <row r="14495" spans="5:6">
      <c r="E14495" s="1"/>
      <c r="F14495" s="1"/>
    </row>
    <row r="14496" spans="5:6">
      <c r="E14496" s="1"/>
      <c r="F14496" s="1"/>
    </row>
    <row r="14497" spans="5:6">
      <c r="E14497" s="1"/>
      <c r="F14497" s="1"/>
    </row>
    <row r="14498" spans="5:6">
      <c r="E14498" s="1"/>
      <c r="F14498" s="1"/>
    </row>
    <row r="14499" spans="5:6">
      <c r="E14499" s="1"/>
      <c r="F14499" s="1"/>
    </row>
    <row r="14500" spans="5:6">
      <c r="E14500" s="1"/>
      <c r="F14500" s="1"/>
    </row>
    <row r="14501" spans="5:6">
      <c r="E14501" s="1"/>
      <c r="F14501" s="1"/>
    </row>
    <row r="14502" spans="5:6">
      <c r="E14502" s="1"/>
      <c r="F14502" s="1"/>
    </row>
    <row r="14503" spans="5:6">
      <c r="E14503" s="1"/>
      <c r="F14503" s="1"/>
    </row>
    <row r="14504" spans="5:6">
      <c r="E14504" s="1"/>
      <c r="F14504" s="1"/>
    </row>
    <row r="14505" spans="5:6">
      <c r="E14505" s="1"/>
      <c r="F14505" s="1"/>
    </row>
    <row r="14506" spans="5:6">
      <c r="E14506" s="1"/>
      <c r="F14506" s="1"/>
    </row>
    <row r="14507" spans="5:6">
      <c r="E14507" s="1"/>
      <c r="F14507" s="1"/>
    </row>
    <row r="14508" spans="5:6">
      <c r="E14508" s="1"/>
      <c r="F14508" s="1"/>
    </row>
    <row r="14509" spans="5:6">
      <c r="E14509" s="1"/>
      <c r="F14509" s="1"/>
    </row>
    <row r="14510" spans="5:6">
      <c r="E14510" s="1"/>
      <c r="F14510" s="1"/>
    </row>
    <row r="14511" spans="5:6">
      <c r="E14511" s="1"/>
      <c r="F14511" s="1"/>
    </row>
    <row r="14512" spans="5:6">
      <c r="E14512" s="1"/>
      <c r="F14512" s="1"/>
    </row>
    <row r="14513" spans="5:6">
      <c r="E14513" s="1"/>
      <c r="F14513" s="1"/>
    </row>
    <row r="14514" spans="5:6">
      <c r="E14514" s="1"/>
      <c r="F14514" s="1"/>
    </row>
    <row r="14515" spans="5:6">
      <c r="E14515" s="1"/>
      <c r="F14515" s="1"/>
    </row>
    <row r="14516" spans="5:6">
      <c r="E14516" s="1"/>
      <c r="F14516" s="1"/>
    </row>
    <row r="14517" spans="5:6">
      <c r="E14517" s="1"/>
      <c r="F14517" s="1"/>
    </row>
    <row r="14518" spans="5:6">
      <c r="E14518" s="1"/>
      <c r="F14518" s="1"/>
    </row>
    <row r="14519" spans="5:6">
      <c r="E14519" s="1"/>
      <c r="F14519" s="1"/>
    </row>
    <row r="14520" spans="5:6">
      <c r="E14520" s="1"/>
      <c r="F14520" s="1"/>
    </row>
    <row r="14521" spans="5:6">
      <c r="E14521" s="1"/>
      <c r="F14521" s="1"/>
    </row>
    <row r="14522" spans="5:6">
      <c r="E14522" s="1"/>
      <c r="F14522" s="1"/>
    </row>
    <row r="14523" spans="5:6">
      <c r="E14523" s="1"/>
      <c r="F14523" s="1"/>
    </row>
    <row r="14524" spans="5:6">
      <c r="E14524" s="1"/>
      <c r="F14524" s="1"/>
    </row>
    <row r="14525" spans="5:6">
      <c r="E14525" s="1"/>
      <c r="F14525" s="1"/>
    </row>
    <row r="14526" spans="5:6">
      <c r="E14526" s="1"/>
      <c r="F14526" s="1"/>
    </row>
    <row r="14527" spans="5:6">
      <c r="E14527" s="1"/>
      <c r="F14527" s="1"/>
    </row>
    <row r="14528" spans="5:6">
      <c r="E14528" s="1"/>
      <c r="F14528" s="1"/>
    </row>
    <row r="14529" spans="5:6">
      <c r="E14529" s="1"/>
      <c r="F14529" s="1"/>
    </row>
    <row r="14530" spans="5:6">
      <c r="E14530" s="1"/>
      <c r="F14530" s="1"/>
    </row>
    <row r="14531" spans="5:6">
      <c r="E14531" s="1"/>
      <c r="F14531" s="1"/>
    </row>
    <row r="14532" spans="5:6">
      <c r="E14532" s="1"/>
      <c r="F14532" s="1"/>
    </row>
    <row r="14533" spans="5:6">
      <c r="E14533" s="1"/>
      <c r="F14533" s="1"/>
    </row>
    <row r="14534" spans="5:6">
      <c r="E14534" s="1"/>
      <c r="F14534" s="1"/>
    </row>
    <row r="14535" spans="5:6">
      <c r="E14535" s="1"/>
      <c r="F14535" s="1"/>
    </row>
    <row r="14536" spans="5:6">
      <c r="E14536" s="1"/>
      <c r="F14536" s="1"/>
    </row>
    <row r="14537" spans="5:6">
      <c r="E14537" s="1"/>
      <c r="F14537" s="1"/>
    </row>
    <row r="14538" spans="5:6">
      <c r="E14538" s="1"/>
      <c r="F14538" s="1"/>
    </row>
    <row r="14539" spans="5:6">
      <c r="E14539" s="1"/>
      <c r="F14539" s="1"/>
    </row>
    <row r="14540" spans="5:6">
      <c r="E14540" s="1"/>
      <c r="F14540" s="1"/>
    </row>
    <row r="14541" spans="5:6">
      <c r="E14541" s="1"/>
      <c r="F14541" s="1"/>
    </row>
    <row r="14542" spans="5:6">
      <c r="E14542" s="1"/>
      <c r="F14542" s="1"/>
    </row>
    <row r="14543" spans="5:6">
      <c r="E14543" s="1"/>
      <c r="F14543" s="1"/>
    </row>
    <row r="14544" spans="5:6">
      <c r="E14544" s="1"/>
      <c r="F14544" s="1"/>
    </row>
    <row r="14545" spans="5:6">
      <c r="E14545" s="1"/>
      <c r="F14545" s="1"/>
    </row>
    <row r="14546" spans="5:6">
      <c r="E14546" s="1"/>
      <c r="F14546" s="1"/>
    </row>
    <row r="14547" spans="5:6">
      <c r="E14547" s="1"/>
      <c r="F14547" s="1"/>
    </row>
    <row r="14548" spans="5:6">
      <c r="E14548" s="1"/>
      <c r="F14548" s="1"/>
    </row>
    <row r="14549" spans="5:6">
      <c r="E14549" s="1"/>
      <c r="F14549" s="1"/>
    </row>
    <row r="14550" spans="5:6">
      <c r="E14550" s="1"/>
      <c r="F14550" s="1"/>
    </row>
    <row r="14551" spans="5:6">
      <c r="E14551" s="1"/>
      <c r="F14551" s="1"/>
    </row>
    <row r="14552" spans="5:6">
      <c r="E14552" s="1"/>
      <c r="F14552" s="1"/>
    </row>
    <row r="14553" spans="5:6">
      <c r="E14553" s="1"/>
      <c r="F14553" s="1"/>
    </row>
    <row r="14554" spans="5:6">
      <c r="E14554" s="1"/>
      <c r="F14554" s="1"/>
    </row>
    <row r="14555" spans="5:6">
      <c r="E14555" s="1"/>
      <c r="F14555" s="1"/>
    </row>
    <row r="14556" spans="5:6">
      <c r="E14556" s="1"/>
      <c r="F14556" s="1"/>
    </row>
    <row r="14557" spans="5:6">
      <c r="E14557" s="1"/>
      <c r="F14557" s="1"/>
    </row>
    <row r="14558" spans="5:6">
      <c r="E14558" s="1"/>
      <c r="F14558" s="1"/>
    </row>
    <row r="14559" spans="5:6">
      <c r="E14559" s="1"/>
      <c r="F14559" s="1"/>
    </row>
    <row r="14560" spans="5:6">
      <c r="E14560" s="1"/>
      <c r="F14560" s="1"/>
    </row>
    <row r="14561" spans="5:6">
      <c r="E14561" s="1"/>
      <c r="F14561" s="1"/>
    </row>
    <row r="14562" spans="5:6">
      <c r="E14562" s="1"/>
      <c r="F14562" s="1"/>
    </row>
    <row r="14563" spans="5:6">
      <c r="E14563" s="1"/>
      <c r="F14563" s="1"/>
    </row>
    <row r="14564" spans="5:6">
      <c r="E14564" s="1"/>
      <c r="F14564" s="1"/>
    </row>
    <row r="14565" spans="5:6">
      <c r="E14565" s="1"/>
      <c r="F14565" s="1"/>
    </row>
    <row r="14566" spans="5:6">
      <c r="E14566" s="1"/>
      <c r="F14566" s="1"/>
    </row>
    <row r="14567" spans="5:6">
      <c r="E14567" s="1"/>
      <c r="F14567" s="1"/>
    </row>
    <row r="14568" spans="5:6">
      <c r="E14568" s="1"/>
      <c r="F14568" s="1"/>
    </row>
    <row r="14569" spans="5:6">
      <c r="E14569" s="1"/>
      <c r="F14569" s="1"/>
    </row>
    <row r="14570" spans="5:6">
      <c r="E14570" s="1"/>
      <c r="F14570" s="1"/>
    </row>
    <row r="14571" spans="5:6">
      <c r="E14571" s="1"/>
      <c r="F14571" s="1"/>
    </row>
    <row r="14572" spans="5:6">
      <c r="E14572" s="1"/>
      <c r="F14572" s="1"/>
    </row>
    <row r="14573" spans="5:6">
      <c r="E14573" s="1"/>
      <c r="F14573" s="1"/>
    </row>
    <row r="14574" spans="5:6">
      <c r="E14574" s="1"/>
      <c r="F14574" s="1"/>
    </row>
    <row r="14575" spans="5:6">
      <c r="E14575" s="1"/>
      <c r="F14575" s="1"/>
    </row>
    <row r="14576" spans="5:6">
      <c r="E14576" s="1"/>
      <c r="F14576" s="1"/>
    </row>
    <row r="14577" spans="5:6">
      <c r="E14577" s="1"/>
      <c r="F14577" s="1"/>
    </row>
    <row r="14578" spans="5:6">
      <c r="E14578" s="1"/>
      <c r="F14578" s="1"/>
    </row>
    <row r="14579" spans="5:6">
      <c r="E14579" s="1"/>
      <c r="F14579" s="1"/>
    </row>
    <row r="14580" spans="5:6">
      <c r="E14580" s="1"/>
      <c r="F14580" s="1"/>
    </row>
    <row r="14581" spans="5:6">
      <c r="E14581" s="1"/>
      <c r="F14581" s="1"/>
    </row>
    <row r="14582" spans="5:6">
      <c r="E14582" s="1"/>
      <c r="F14582" s="1"/>
    </row>
    <row r="14583" spans="5:6">
      <c r="E14583" s="1"/>
      <c r="F14583" s="1"/>
    </row>
    <row r="14584" spans="5:6">
      <c r="E14584" s="1"/>
      <c r="F14584" s="1"/>
    </row>
    <row r="14585" spans="5:6">
      <c r="E14585" s="1"/>
      <c r="F14585" s="1"/>
    </row>
    <row r="14586" spans="5:6">
      <c r="E14586" s="1"/>
      <c r="F14586" s="1"/>
    </row>
    <row r="14587" spans="5:6">
      <c r="E14587" s="1"/>
      <c r="F14587" s="1"/>
    </row>
    <row r="14588" spans="5:6">
      <c r="E14588" s="1"/>
      <c r="F14588" s="1"/>
    </row>
    <row r="14589" spans="5:6">
      <c r="E14589" s="1"/>
      <c r="F14589" s="1"/>
    </row>
    <row r="14590" spans="5:6">
      <c r="E14590" s="1"/>
      <c r="F14590" s="1"/>
    </row>
    <row r="14591" spans="5:6">
      <c r="E14591" s="1"/>
      <c r="F14591" s="1"/>
    </row>
    <row r="14592" spans="5:6">
      <c r="E14592" s="1"/>
      <c r="F14592" s="1"/>
    </row>
    <row r="14593" spans="5:6">
      <c r="E14593" s="1"/>
      <c r="F14593" s="1"/>
    </row>
    <row r="14594" spans="5:6">
      <c r="E14594" s="1"/>
      <c r="F14594" s="1"/>
    </row>
    <row r="14595" spans="5:6">
      <c r="E14595" s="1"/>
      <c r="F14595" s="1"/>
    </row>
    <row r="14596" spans="5:6">
      <c r="E14596" s="1"/>
      <c r="F14596" s="1"/>
    </row>
    <row r="14597" spans="5:6">
      <c r="E14597" s="1"/>
      <c r="F14597" s="1"/>
    </row>
    <row r="14598" spans="5:6">
      <c r="E14598" s="1"/>
      <c r="F14598" s="1"/>
    </row>
    <row r="14599" spans="5:6">
      <c r="E14599" s="1"/>
      <c r="F14599" s="1"/>
    </row>
    <row r="14600" spans="5:6">
      <c r="E14600" s="1"/>
      <c r="F14600" s="1"/>
    </row>
    <row r="14601" spans="5:6">
      <c r="E14601" s="1"/>
      <c r="F14601" s="1"/>
    </row>
    <row r="14602" spans="5:6">
      <c r="E14602" s="1"/>
      <c r="F14602" s="1"/>
    </row>
    <row r="14603" spans="5:6">
      <c r="E14603" s="1"/>
      <c r="F14603" s="1"/>
    </row>
    <row r="14604" spans="5:6">
      <c r="E14604" s="1"/>
      <c r="F14604" s="1"/>
    </row>
    <row r="14605" spans="5:6">
      <c r="E14605" s="1"/>
      <c r="F14605" s="1"/>
    </row>
    <row r="14606" spans="5:6">
      <c r="E14606" s="1"/>
      <c r="F14606" s="1"/>
    </row>
    <row r="14607" spans="5:6">
      <c r="E14607" s="1"/>
      <c r="F14607" s="1"/>
    </row>
    <row r="14608" spans="5:6">
      <c r="E14608" s="1"/>
      <c r="F14608" s="1"/>
    </row>
    <row r="14609" spans="5:6">
      <c r="E14609" s="1"/>
      <c r="F14609" s="1"/>
    </row>
    <row r="14610" spans="5:6">
      <c r="E14610" s="1"/>
      <c r="F14610" s="1"/>
    </row>
    <row r="14611" spans="5:6">
      <c r="E14611" s="1"/>
      <c r="F14611" s="1"/>
    </row>
    <row r="14612" spans="5:6">
      <c r="E14612" s="1"/>
      <c r="F14612" s="1"/>
    </row>
    <row r="14613" spans="5:6">
      <c r="E14613" s="1"/>
      <c r="F14613" s="1"/>
    </row>
    <row r="14614" spans="5:6">
      <c r="E14614" s="1"/>
      <c r="F14614" s="1"/>
    </row>
    <row r="14615" spans="5:6">
      <c r="E14615" s="1"/>
      <c r="F14615" s="1"/>
    </row>
    <row r="14616" spans="5:6">
      <c r="E14616" s="1"/>
      <c r="F14616" s="1"/>
    </row>
    <row r="14617" spans="5:6">
      <c r="E14617" s="1"/>
      <c r="F14617" s="1"/>
    </row>
    <row r="14618" spans="5:6">
      <c r="E14618" s="1"/>
      <c r="F14618" s="1"/>
    </row>
    <row r="14619" spans="5:6">
      <c r="E14619" s="1"/>
      <c r="F14619" s="1"/>
    </row>
    <row r="14620" spans="5:6">
      <c r="E14620" s="1"/>
      <c r="F14620" s="1"/>
    </row>
    <row r="14621" spans="5:6">
      <c r="E14621" s="1"/>
      <c r="F14621" s="1"/>
    </row>
    <row r="14622" spans="5:6">
      <c r="E14622" s="1"/>
      <c r="F14622" s="1"/>
    </row>
    <row r="14623" spans="5:6">
      <c r="E14623" s="1"/>
      <c r="F14623" s="1"/>
    </row>
    <row r="14624" spans="5:6">
      <c r="E14624" s="1"/>
      <c r="F14624" s="1"/>
    </row>
    <row r="14625" spans="5:6">
      <c r="E14625" s="1"/>
      <c r="F14625" s="1"/>
    </row>
    <row r="14626" spans="5:6">
      <c r="E14626" s="1"/>
      <c r="F14626" s="1"/>
    </row>
    <row r="14627" spans="5:6">
      <c r="E14627" s="1"/>
      <c r="F14627" s="1"/>
    </row>
    <row r="14628" spans="5:6">
      <c r="E14628" s="1"/>
      <c r="F14628" s="1"/>
    </row>
    <row r="14629" spans="5:6">
      <c r="E14629" s="1"/>
      <c r="F14629" s="1"/>
    </row>
    <row r="14630" spans="5:6">
      <c r="E14630" s="1"/>
      <c r="F14630" s="1"/>
    </row>
    <row r="14631" spans="5:6">
      <c r="E14631" s="1"/>
      <c r="F14631" s="1"/>
    </row>
    <row r="14632" spans="5:6">
      <c r="E14632" s="1"/>
      <c r="F14632" s="1"/>
    </row>
    <row r="14633" spans="5:6">
      <c r="E14633" s="1"/>
      <c r="F14633" s="1"/>
    </row>
    <row r="14634" spans="5:6">
      <c r="E14634" s="1"/>
      <c r="F14634" s="1"/>
    </row>
    <row r="14635" spans="5:6">
      <c r="E14635" s="1"/>
      <c r="F14635" s="1"/>
    </row>
    <row r="14636" spans="5:6">
      <c r="E14636" s="1"/>
      <c r="F14636" s="1"/>
    </row>
    <row r="14637" spans="5:6">
      <c r="E14637" s="1"/>
      <c r="F14637" s="1"/>
    </row>
    <row r="14638" spans="5:6">
      <c r="E14638" s="1"/>
      <c r="F14638" s="1"/>
    </row>
    <row r="14639" spans="5:6">
      <c r="E14639" s="1"/>
      <c r="F14639" s="1"/>
    </row>
    <row r="14640" spans="5:6">
      <c r="E14640" s="1"/>
      <c r="F14640" s="1"/>
    </row>
    <row r="14641" spans="5:6">
      <c r="E14641" s="1"/>
      <c r="F14641" s="1"/>
    </row>
    <row r="14642" spans="5:6">
      <c r="E14642" s="1"/>
      <c r="F14642" s="1"/>
    </row>
    <row r="14643" spans="5:6">
      <c r="E14643" s="1"/>
      <c r="F14643" s="1"/>
    </row>
    <row r="14644" spans="5:6">
      <c r="E14644" s="1"/>
      <c r="F14644" s="1"/>
    </row>
    <row r="14645" spans="5:6">
      <c r="E14645" s="1"/>
      <c r="F14645" s="1"/>
    </row>
    <row r="14646" spans="5:6">
      <c r="E14646" s="1"/>
      <c r="F14646" s="1"/>
    </row>
    <row r="14647" spans="5:6">
      <c r="E14647" s="1"/>
      <c r="F14647" s="1"/>
    </row>
    <row r="14648" spans="5:6">
      <c r="E14648" s="1"/>
      <c r="F14648" s="1"/>
    </row>
    <row r="14649" spans="5:6">
      <c r="E14649" s="1"/>
      <c r="F14649" s="1"/>
    </row>
    <row r="14650" spans="5:6">
      <c r="E14650" s="1"/>
      <c r="F14650" s="1"/>
    </row>
    <row r="14651" spans="5:6">
      <c r="E14651" s="1"/>
      <c r="F14651" s="1"/>
    </row>
    <row r="14652" spans="5:6">
      <c r="E14652" s="1"/>
      <c r="F14652" s="1"/>
    </row>
    <row r="14653" spans="5:6">
      <c r="E14653" s="1"/>
      <c r="F14653" s="1"/>
    </row>
    <row r="14654" spans="5:6">
      <c r="E14654" s="1"/>
      <c r="F14654" s="1"/>
    </row>
    <row r="14655" spans="5:6">
      <c r="E14655" s="1"/>
      <c r="F14655" s="1"/>
    </row>
    <row r="14656" spans="5:6">
      <c r="E14656" s="1"/>
      <c r="F14656" s="1"/>
    </row>
    <row r="14657" spans="5:6">
      <c r="E14657" s="1"/>
      <c r="F14657" s="1"/>
    </row>
    <row r="14658" spans="5:6">
      <c r="E14658" s="1"/>
      <c r="F14658" s="1"/>
    </row>
    <row r="14659" spans="5:6">
      <c r="E14659" s="1"/>
      <c r="F14659" s="1"/>
    </row>
    <row r="14660" spans="5:6">
      <c r="E14660" s="1"/>
      <c r="F14660" s="1"/>
    </row>
    <row r="14661" spans="5:6">
      <c r="E14661" s="1"/>
      <c r="F14661" s="1"/>
    </row>
    <row r="14662" spans="5:6">
      <c r="E14662" s="1"/>
      <c r="F14662" s="1"/>
    </row>
    <row r="14663" spans="5:6">
      <c r="E14663" s="1"/>
      <c r="F14663" s="1"/>
    </row>
    <row r="14664" spans="5:6">
      <c r="E14664" s="1"/>
      <c r="F14664" s="1"/>
    </row>
    <row r="14665" spans="5:6">
      <c r="E14665" s="1"/>
      <c r="F14665" s="1"/>
    </row>
    <row r="14666" spans="5:6">
      <c r="E14666" s="1"/>
      <c r="F14666" s="1"/>
    </row>
    <row r="14667" spans="5:6">
      <c r="E14667" s="1"/>
      <c r="F14667" s="1"/>
    </row>
    <row r="14668" spans="5:6">
      <c r="E14668" s="1"/>
      <c r="F14668" s="1"/>
    </row>
    <row r="14669" spans="5:6">
      <c r="E14669" s="1"/>
      <c r="F14669" s="1"/>
    </row>
    <row r="14670" spans="5:6">
      <c r="E14670" s="1"/>
      <c r="F14670" s="1"/>
    </row>
    <row r="14671" spans="5:6">
      <c r="E14671" s="1"/>
      <c r="F14671" s="1"/>
    </row>
    <row r="14672" spans="5:6">
      <c r="E14672" s="1"/>
      <c r="F14672" s="1"/>
    </row>
    <row r="14673" spans="5:6">
      <c r="E14673" s="1"/>
      <c r="F14673" s="1"/>
    </row>
    <row r="14674" spans="5:6">
      <c r="E14674" s="1"/>
      <c r="F14674" s="1"/>
    </row>
    <row r="14675" spans="5:6">
      <c r="E14675" s="1"/>
      <c r="F14675" s="1"/>
    </row>
    <row r="14676" spans="5:6">
      <c r="E14676" s="1"/>
      <c r="F14676" s="1"/>
    </row>
    <row r="14677" spans="5:6">
      <c r="E14677" s="1"/>
      <c r="F14677" s="1"/>
    </row>
    <row r="14678" spans="5:6">
      <c r="E14678" s="1"/>
      <c r="F14678" s="1"/>
    </row>
    <row r="14679" spans="5:6">
      <c r="E14679" s="1"/>
      <c r="F14679" s="1"/>
    </row>
    <row r="14680" spans="5:6">
      <c r="E14680" s="1"/>
      <c r="F14680" s="1"/>
    </row>
    <row r="14681" spans="5:6">
      <c r="E14681" s="1"/>
      <c r="F14681" s="1"/>
    </row>
    <row r="14682" spans="5:6">
      <c r="E14682" s="1"/>
      <c r="F14682" s="1"/>
    </row>
    <row r="14683" spans="5:6">
      <c r="E14683" s="1"/>
      <c r="F14683" s="1"/>
    </row>
    <row r="14684" spans="5:6">
      <c r="E14684" s="1"/>
      <c r="F14684" s="1"/>
    </row>
    <row r="14685" spans="5:6">
      <c r="E14685" s="1"/>
      <c r="F14685" s="1"/>
    </row>
    <row r="14686" spans="5:6">
      <c r="E14686" s="1"/>
      <c r="F14686" s="1"/>
    </row>
    <row r="14687" spans="5:6">
      <c r="E14687" s="1"/>
      <c r="F14687" s="1"/>
    </row>
    <row r="14688" spans="5:6">
      <c r="E14688" s="1"/>
      <c r="F14688" s="1"/>
    </row>
    <row r="14689" spans="5:6">
      <c r="E14689" s="1"/>
      <c r="F14689" s="1"/>
    </row>
    <row r="14690" spans="5:6">
      <c r="E14690" s="1"/>
      <c r="F14690" s="1"/>
    </row>
    <row r="14691" spans="5:6">
      <c r="E14691" s="1"/>
      <c r="F14691" s="1"/>
    </row>
    <row r="14692" spans="5:6">
      <c r="E14692" s="1"/>
      <c r="F14692" s="1"/>
    </row>
    <row r="14693" spans="5:6">
      <c r="E14693" s="1"/>
      <c r="F14693" s="1"/>
    </row>
    <row r="14694" spans="5:6">
      <c r="E14694" s="1"/>
      <c r="F14694" s="1"/>
    </row>
    <row r="14695" spans="5:6">
      <c r="E14695" s="1"/>
      <c r="F14695" s="1"/>
    </row>
    <row r="14696" spans="5:6">
      <c r="E14696" s="1"/>
      <c r="F14696" s="1"/>
    </row>
    <row r="14697" spans="5:6">
      <c r="E14697" s="1"/>
      <c r="F14697" s="1"/>
    </row>
    <row r="14698" spans="5:6">
      <c r="E14698" s="1"/>
      <c r="F14698" s="1"/>
    </row>
    <row r="14699" spans="5:6">
      <c r="E14699" s="1"/>
      <c r="F14699" s="1"/>
    </row>
    <row r="14700" spans="5:6">
      <c r="E14700" s="1"/>
      <c r="F14700" s="1"/>
    </row>
    <row r="14701" spans="5:6">
      <c r="E14701" s="1"/>
      <c r="F14701" s="1"/>
    </row>
    <row r="14702" spans="5:6">
      <c r="E14702" s="1"/>
      <c r="F14702" s="1"/>
    </row>
    <row r="14703" spans="5:6">
      <c r="E14703" s="1"/>
      <c r="F14703" s="1"/>
    </row>
    <row r="14704" spans="5:6">
      <c r="E14704" s="1"/>
      <c r="F14704" s="1"/>
    </row>
    <row r="14705" spans="5:6">
      <c r="E14705" s="1"/>
      <c r="F14705" s="1"/>
    </row>
    <row r="14706" spans="5:6">
      <c r="E14706" s="1"/>
      <c r="F14706" s="1"/>
    </row>
    <row r="14707" spans="5:6">
      <c r="E14707" s="1"/>
      <c r="F14707" s="1"/>
    </row>
    <row r="14708" spans="5:6">
      <c r="E14708" s="1"/>
      <c r="F14708" s="1"/>
    </row>
    <row r="14709" spans="5:6">
      <c r="E14709" s="1"/>
      <c r="F14709" s="1"/>
    </row>
    <row r="14710" spans="5:6">
      <c r="E14710" s="1"/>
      <c r="F14710" s="1"/>
    </row>
    <row r="14711" spans="5:6">
      <c r="E14711" s="1"/>
      <c r="F14711" s="1"/>
    </row>
    <row r="14712" spans="5:6">
      <c r="E14712" s="1"/>
      <c r="F14712" s="1"/>
    </row>
    <row r="14713" spans="5:6">
      <c r="E14713" s="1"/>
      <c r="F14713" s="1"/>
    </row>
    <row r="14714" spans="5:6">
      <c r="E14714" s="1"/>
      <c r="F14714" s="1"/>
    </row>
    <row r="14715" spans="5:6">
      <c r="E14715" s="1"/>
      <c r="F14715" s="1"/>
    </row>
    <row r="14716" spans="5:6">
      <c r="E14716" s="1"/>
      <c r="F14716" s="1"/>
    </row>
    <row r="14717" spans="5:6">
      <c r="E14717" s="1"/>
      <c r="F14717" s="1"/>
    </row>
    <row r="14718" spans="5:6">
      <c r="E14718" s="1"/>
      <c r="F14718" s="1"/>
    </row>
    <row r="14719" spans="5:6">
      <c r="E14719" s="1"/>
      <c r="F14719" s="1"/>
    </row>
    <row r="14720" spans="5:6">
      <c r="E14720" s="1"/>
      <c r="F14720" s="1"/>
    </row>
    <row r="14721" spans="5:6">
      <c r="E14721" s="1"/>
      <c r="F14721" s="1"/>
    </row>
    <row r="14722" spans="5:6">
      <c r="E14722" s="1"/>
      <c r="F14722" s="1"/>
    </row>
    <row r="14723" spans="5:6">
      <c r="E14723" s="1"/>
      <c r="F14723" s="1"/>
    </row>
    <row r="14724" spans="5:6">
      <c r="E14724" s="1"/>
      <c r="F14724" s="1"/>
    </row>
    <row r="14725" spans="5:6">
      <c r="E14725" s="1"/>
      <c r="F14725" s="1"/>
    </row>
    <row r="14726" spans="5:6">
      <c r="E14726" s="1"/>
      <c r="F14726" s="1"/>
    </row>
    <row r="14727" spans="5:6">
      <c r="E14727" s="1"/>
      <c r="F14727" s="1"/>
    </row>
    <row r="14728" spans="5:6">
      <c r="E14728" s="1"/>
      <c r="F14728" s="1"/>
    </row>
    <row r="14729" spans="5:6">
      <c r="E14729" s="1"/>
      <c r="F14729" s="1"/>
    </row>
    <row r="14730" spans="5:6">
      <c r="E14730" s="1"/>
      <c r="F14730" s="1"/>
    </row>
    <row r="14731" spans="5:6">
      <c r="E14731" s="1"/>
      <c r="F14731" s="1"/>
    </row>
    <row r="14732" spans="5:6">
      <c r="E14732" s="1"/>
      <c r="F14732" s="1"/>
    </row>
    <row r="14733" spans="5:6">
      <c r="E14733" s="1"/>
      <c r="F14733" s="1"/>
    </row>
    <row r="14734" spans="5:6">
      <c r="E14734" s="1"/>
      <c r="F14734" s="1"/>
    </row>
    <row r="14735" spans="5:6">
      <c r="E14735" s="1"/>
      <c r="F14735" s="1"/>
    </row>
    <row r="14736" spans="5:6">
      <c r="E14736" s="1"/>
      <c r="F14736" s="1"/>
    </row>
    <row r="14737" spans="5:6">
      <c r="E14737" s="1"/>
      <c r="F14737" s="1"/>
    </row>
    <row r="14738" spans="5:6">
      <c r="E14738" s="1"/>
      <c r="F14738" s="1"/>
    </row>
    <row r="14739" spans="5:6">
      <c r="E14739" s="1"/>
      <c r="F14739" s="1"/>
    </row>
    <row r="14740" spans="5:6">
      <c r="E14740" s="1"/>
      <c r="F14740" s="1"/>
    </row>
    <row r="14741" spans="5:6">
      <c r="E14741" s="1"/>
      <c r="F14741" s="1"/>
    </row>
    <row r="14742" spans="5:6">
      <c r="E14742" s="1"/>
      <c r="F14742" s="1"/>
    </row>
    <row r="14743" spans="5:6">
      <c r="E14743" s="1"/>
      <c r="F14743" s="1"/>
    </row>
    <row r="14744" spans="5:6">
      <c r="E14744" s="1"/>
      <c r="F14744" s="1"/>
    </row>
    <row r="14745" spans="5:6">
      <c r="E14745" s="1"/>
      <c r="F14745" s="1"/>
    </row>
    <row r="14746" spans="5:6">
      <c r="E14746" s="1"/>
      <c r="F14746" s="1"/>
    </row>
    <row r="14747" spans="5:6">
      <c r="E14747" s="1"/>
      <c r="F14747" s="1"/>
    </row>
    <row r="14748" spans="5:6">
      <c r="E14748" s="1"/>
      <c r="F14748" s="1"/>
    </row>
    <row r="14749" spans="5:6">
      <c r="E14749" s="1"/>
      <c r="F14749" s="1"/>
    </row>
    <row r="14750" spans="5:6">
      <c r="E14750" s="1"/>
      <c r="F14750" s="1"/>
    </row>
    <row r="14751" spans="5:6">
      <c r="E14751" s="1"/>
      <c r="F14751" s="1"/>
    </row>
    <row r="14752" spans="5:6">
      <c r="E14752" s="1"/>
      <c r="F14752" s="1"/>
    </row>
    <row r="14753" spans="5:6">
      <c r="E14753" s="1"/>
      <c r="F14753" s="1"/>
    </row>
    <row r="14754" spans="5:6">
      <c r="E14754" s="1"/>
      <c r="F14754" s="1"/>
    </row>
    <row r="14755" spans="5:6">
      <c r="E14755" s="1"/>
      <c r="F14755" s="1"/>
    </row>
    <row r="14756" spans="5:6">
      <c r="E14756" s="1"/>
      <c r="F14756" s="1"/>
    </row>
    <row r="14757" spans="5:6">
      <c r="E14757" s="1"/>
      <c r="F14757" s="1"/>
    </row>
    <row r="14758" spans="5:6">
      <c r="E14758" s="1"/>
      <c r="F14758" s="1"/>
    </row>
    <row r="14759" spans="5:6">
      <c r="E14759" s="1"/>
      <c r="F14759" s="1"/>
    </row>
    <row r="14760" spans="5:6">
      <c r="E14760" s="1"/>
      <c r="F14760" s="1"/>
    </row>
    <row r="14761" spans="5:6">
      <c r="E14761" s="1"/>
      <c r="F14761" s="1"/>
    </row>
    <row r="14762" spans="5:6">
      <c r="E14762" s="1"/>
      <c r="F14762" s="1"/>
    </row>
    <row r="14763" spans="5:6">
      <c r="E14763" s="1"/>
      <c r="F14763" s="1"/>
    </row>
    <row r="14764" spans="5:6">
      <c r="E14764" s="1"/>
      <c r="F14764" s="1"/>
    </row>
    <row r="14765" spans="5:6">
      <c r="E14765" s="1"/>
      <c r="F14765" s="1"/>
    </row>
    <row r="14766" spans="5:6">
      <c r="E14766" s="1"/>
      <c r="F14766" s="1"/>
    </row>
    <row r="14767" spans="5:6">
      <c r="E14767" s="1"/>
      <c r="F14767" s="1"/>
    </row>
    <row r="14768" spans="5:6">
      <c r="E14768" s="1"/>
      <c r="F14768" s="1"/>
    </row>
    <row r="14769" spans="5:6">
      <c r="E14769" s="1"/>
      <c r="F14769" s="1"/>
    </row>
    <row r="14770" spans="5:6">
      <c r="E14770" s="1"/>
      <c r="F14770" s="1"/>
    </row>
    <row r="14771" spans="5:6">
      <c r="E14771" s="1"/>
      <c r="F14771" s="1"/>
    </row>
    <row r="14772" spans="5:6">
      <c r="E14772" s="1"/>
      <c r="F14772" s="1"/>
    </row>
    <row r="14773" spans="5:6">
      <c r="E14773" s="1"/>
      <c r="F14773" s="1"/>
    </row>
    <row r="14774" spans="5:6">
      <c r="E14774" s="1"/>
      <c r="F14774" s="1"/>
    </row>
    <row r="14775" spans="5:6">
      <c r="E14775" s="1"/>
      <c r="F14775" s="1"/>
    </row>
    <row r="14776" spans="5:6">
      <c r="E14776" s="1"/>
      <c r="F14776" s="1"/>
    </row>
    <row r="14777" spans="5:6">
      <c r="E14777" s="1"/>
      <c r="F14777" s="1"/>
    </row>
    <row r="14778" spans="5:6">
      <c r="E14778" s="1"/>
      <c r="F14778" s="1"/>
    </row>
    <row r="14779" spans="5:6">
      <c r="E14779" s="1"/>
      <c r="F14779" s="1"/>
    </row>
    <row r="14780" spans="5:6">
      <c r="E14780" s="1"/>
      <c r="F14780" s="1"/>
    </row>
    <row r="14781" spans="5:6">
      <c r="E14781" s="1"/>
      <c r="F14781" s="1"/>
    </row>
    <row r="14782" spans="5:6">
      <c r="E14782" s="1"/>
      <c r="F14782" s="1"/>
    </row>
    <row r="14783" spans="5:6">
      <c r="E14783" s="1"/>
      <c r="F14783" s="1"/>
    </row>
    <row r="14784" spans="5:6">
      <c r="E14784" s="1"/>
      <c r="F14784" s="1"/>
    </row>
    <row r="14785" spans="5:6">
      <c r="E14785" s="1"/>
      <c r="F14785" s="1"/>
    </row>
    <row r="14786" spans="5:6">
      <c r="E14786" s="1"/>
      <c r="F14786" s="1"/>
    </row>
    <row r="14787" spans="5:6">
      <c r="E14787" s="1"/>
      <c r="F14787" s="1"/>
    </row>
    <row r="14788" spans="5:6">
      <c r="E14788" s="1"/>
      <c r="F14788" s="1"/>
    </row>
    <row r="14789" spans="5:6">
      <c r="E14789" s="1"/>
      <c r="F14789" s="1"/>
    </row>
    <row r="14790" spans="5:6">
      <c r="E14790" s="1"/>
      <c r="F14790" s="1"/>
    </row>
    <row r="14791" spans="5:6">
      <c r="E14791" s="1"/>
      <c r="F14791" s="1"/>
    </row>
    <row r="14792" spans="5:6">
      <c r="E14792" s="1"/>
      <c r="F14792" s="1"/>
    </row>
    <row r="14793" spans="5:6">
      <c r="E14793" s="1"/>
      <c r="F14793" s="1"/>
    </row>
    <row r="14794" spans="5:6">
      <c r="E14794" s="1"/>
      <c r="F14794" s="1"/>
    </row>
    <row r="14795" spans="5:6">
      <c r="E14795" s="1"/>
      <c r="F14795" s="1"/>
    </row>
    <row r="14796" spans="5:6">
      <c r="E14796" s="1"/>
      <c r="F14796" s="1"/>
    </row>
    <row r="14797" spans="5:6">
      <c r="E14797" s="1"/>
      <c r="F14797" s="1"/>
    </row>
    <row r="14798" spans="5:6">
      <c r="E14798" s="1"/>
      <c r="F14798" s="1"/>
    </row>
    <row r="14799" spans="5:6">
      <c r="E14799" s="1"/>
      <c r="F14799" s="1"/>
    </row>
    <row r="14800" spans="5:6">
      <c r="E14800" s="1"/>
      <c r="F14800" s="1"/>
    </row>
    <row r="14801" spans="5:6">
      <c r="E14801" s="1"/>
      <c r="F14801" s="1"/>
    </row>
    <row r="14802" spans="5:6">
      <c r="E14802" s="1"/>
      <c r="F14802" s="1"/>
    </row>
    <row r="14803" spans="5:6">
      <c r="E14803" s="1"/>
      <c r="F14803" s="1"/>
    </row>
    <row r="14804" spans="5:6">
      <c r="E14804" s="1"/>
      <c r="F14804" s="1"/>
    </row>
    <row r="14805" spans="5:6">
      <c r="E14805" s="1"/>
      <c r="F14805" s="1"/>
    </row>
    <row r="14806" spans="5:6">
      <c r="E14806" s="1"/>
      <c r="F14806" s="1"/>
    </row>
    <row r="14807" spans="5:6">
      <c r="E14807" s="1"/>
      <c r="F14807" s="1"/>
    </row>
    <row r="14808" spans="5:6">
      <c r="E14808" s="1"/>
      <c r="F14808" s="1"/>
    </row>
    <row r="14809" spans="5:6">
      <c r="E14809" s="1"/>
      <c r="F14809" s="1"/>
    </row>
    <row r="14810" spans="5:6">
      <c r="E14810" s="1"/>
      <c r="F14810" s="1"/>
    </row>
    <row r="14811" spans="5:6">
      <c r="E14811" s="1"/>
      <c r="F14811" s="1"/>
    </row>
    <row r="14812" spans="5:6">
      <c r="E14812" s="1"/>
      <c r="F14812" s="1"/>
    </row>
    <row r="14813" spans="5:6">
      <c r="E14813" s="1"/>
      <c r="F14813" s="1"/>
    </row>
    <row r="14814" spans="5:6">
      <c r="E14814" s="1"/>
      <c r="F14814" s="1"/>
    </row>
    <row r="14815" spans="5:6">
      <c r="E14815" s="1"/>
      <c r="F14815" s="1"/>
    </row>
    <row r="14816" spans="5:6">
      <c r="E14816" s="1"/>
      <c r="F14816" s="1"/>
    </row>
    <row r="14817" spans="5:6">
      <c r="E14817" s="1"/>
      <c r="F14817" s="1"/>
    </row>
    <row r="14818" spans="5:6">
      <c r="E14818" s="1"/>
      <c r="F14818" s="1"/>
    </row>
    <row r="14819" spans="5:6">
      <c r="E14819" s="1"/>
      <c r="F14819" s="1"/>
    </row>
    <row r="14820" spans="5:6">
      <c r="E14820" s="1"/>
      <c r="F14820" s="1"/>
    </row>
    <row r="14821" spans="5:6">
      <c r="E14821" s="1"/>
      <c r="F14821" s="1"/>
    </row>
    <row r="14822" spans="5:6">
      <c r="E14822" s="1"/>
      <c r="F14822" s="1"/>
    </row>
    <row r="14823" spans="5:6">
      <c r="E14823" s="1"/>
      <c r="F14823" s="1"/>
    </row>
    <row r="14824" spans="5:6">
      <c r="E14824" s="1"/>
      <c r="F14824" s="1"/>
    </row>
    <row r="14825" spans="5:6">
      <c r="E14825" s="1"/>
      <c r="F14825" s="1"/>
    </row>
    <row r="14826" spans="5:6">
      <c r="E14826" s="1"/>
      <c r="F14826" s="1"/>
    </row>
    <row r="14827" spans="5:6">
      <c r="E14827" s="1"/>
      <c r="F14827" s="1"/>
    </row>
    <row r="14828" spans="5:6">
      <c r="E14828" s="1"/>
      <c r="F14828" s="1"/>
    </row>
    <row r="14829" spans="5:6">
      <c r="E14829" s="1"/>
      <c r="F14829" s="1"/>
    </row>
    <row r="14830" spans="5:6">
      <c r="E14830" s="1"/>
      <c r="F14830" s="1"/>
    </row>
    <row r="14831" spans="5:6">
      <c r="E14831" s="1"/>
      <c r="F14831" s="1"/>
    </row>
    <row r="14832" spans="5:6">
      <c r="E14832" s="1"/>
      <c r="F14832" s="1"/>
    </row>
    <row r="14833" spans="5:6">
      <c r="E14833" s="1"/>
      <c r="F14833" s="1"/>
    </row>
    <row r="14834" spans="5:6">
      <c r="E14834" s="1"/>
      <c r="F14834" s="1"/>
    </row>
    <row r="14835" spans="5:6">
      <c r="E14835" s="1"/>
      <c r="F14835" s="1"/>
    </row>
    <row r="14836" spans="5:6">
      <c r="E14836" s="1"/>
      <c r="F14836" s="1"/>
    </row>
    <row r="14837" spans="5:6">
      <c r="E14837" s="1"/>
      <c r="F14837" s="1"/>
    </row>
    <row r="14838" spans="5:6">
      <c r="E14838" s="1"/>
      <c r="F14838" s="1"/>
    </row>
    <row r="14839" spans="5:6">
      <c r="E14839" s="1"/>
      <c r="F14839" s="1"/>
    </row>
    <row r="14840" spans="5:6">
      <c r="E14840" s="1"/>
      <c r="F14840" s="1"/>
    </row>
    <row r="14841" spans="5:6">
      <c r="E14841" s="1"/>
      <c r="F14841" s="1"/>
    </row>
    <row r="14842" spans="5:6">
      <c r="E14842" s="1"/>
      <c r="F14842" s="1"/>
    </row>
    <row r="14843" spans="5:6">
      <c r="E14843" s="1"/>
      <c r="F14843" s="1"/>
    </row>
    <row r="14844" spans="5:6">
      <c r="E14844" s="1"/>
      <c r="F14844" s="1"/>
    </row>
    <row r="14845" spans="5:6">
      <c r="E14845" s="1"/>
      <c r="F14845" s="1"/>
    </row>
    <row r="14846" spans="5:6">
      <c r="E14846" s="1"/>
      <c r="F14846" s="1"/>
    </row>
    <row r="14847" spans="5:6">
      <c r="E14847" s="1"/>
      <c r="F14847" s="1"/>
    </row>
    <row r="14848" spans="5:6">
      <c r="E14848" s="1"/>
      <c r="F14848" s="1"/>
    </row>
    <row r="14849" spans="5:6">
      <c r="E14849" s="1"/>
      <c r="F14849" s="1"/>
    </row>
    <row r="14850" spans="5:6">
      <c r="E14850" s="1"/>
      <c r="F14850" s="1"/>
    </row>
    <row r="14851" spans="5:6">
      <c r="E14851" s="1"/>
      <c r="F14851" s="1"/>
    </row>
    <row r="14852" spans="5:6">
      <c r="E14852" s="1"/>
      <c r="F14852" s="1"/>
    </row>
    <row r="14853" spans="5:6">
      <c r="E14853" s="1"/>
      <c r="F14853" s="1"/>
    </row>
    <row r="14854" spans="5:6">
      <c r="E14854" s="1"/>
      <c r="F14854" s="1"/>
    </row>
    <row r="14855" spans="5:6">
      <c r="E14855" s="1"/>
      <c r="F14855" s="1"/>
    </row>
    <row r="14856" spans="5:6">
      <c r="E14856" s="1"/>
      <c r="F14856" s="1"/>
    </row>
    <row r="14857" spans="5:6">
      <c r="E14857" s="1"/>
      <c r="F14857" s="1"/>
    </row>
    <row r="14858" spans="5:6">
      <c r="E14858" s="1"/>
      <c r="F14858" s="1"/>
    </row>
    <row r="14859" spans="5:6">
      <c r="E14859" s="1"/>
      <c r="F14859" s="1"/>
    </row>
    <row r="14860" spans="5:6">
      <c r="E14860" s="1"/>
      <c r="F14860" s="1"/>
    </row>
    <row r="14861" spans="5:6">
      <c r="E14861" s="1"/>
      <c r="F14861" s="1"/>
    </row>
    <row r="14862" spans="5:6">
      <c r="E14862" s="1"/>
      <c r="F14862" s="1"/>
    </row>
    <row r="14863" spans="5:6">
      <c r="E14863" s="1"/>
      <c r="F14863" s="1"/>
    </row>
    <row r="14864" spans="5:6">
      <c r="E14864" s="1"/>
      <c r="F14864" s="1"/>
    </row>
    <row r="14865" spans="5:6">
      <c r="E14865" s="1"/>
      <c r="F14865" s="1"/>
    </row>
    <row r="14866" spans="5:6">
      <c r="E14866" s="1"/>
      <c r="F14866" s="1"/>
    </row>
    <row r="14867" spans="5:6">
      <c r="E14867" s="1"/>
      <c r="F14867" s="1"/>
    </row>
    <row r="14868" spans="5:6">
      <c r="E14868" s="1"/>
      <c r="F14868" s="1"/>
    </row>
    <row r="14869" spans="5:6">
      <c r="E14869" s="1"/>
      <c r="F14869" s="1"/>
    </row>
    <row r="14870" spans="5:6">
      <c r="E14870" s="1"/>
      <c r="F14870" s="1"/>
    </row>
    <row r="14871" spans="5:6">
      <c r="E14871" s="1"/>
      <c r="F14871" s="1"/>
    </row>
    <row r="14872" spans="5:6">
      <c r="E14872" s="1"/>
      <c r="F14872" s="1"/>
    </row>
    <row r="14873" spans="5:6">
      <c r="E14873" s="1"/>
      <c r="F14873" s="1"/>
    </row>
    <row r="14874" spans="5:6">
      <c r="E14874" s="1"/>
      <c r="F14874" s="1"/>
    </row>
    <row r="14875" spans="5:6">
      <c r="E14875" s="1"/>
      <c r="F14875" s="1"/>
    </row>
    <row r="14876" spans="5:6">
      <c r="E14876" s="1"/>
      <c r="F14876" s="1"/>
    </row>
    <row r="14877" spans="5:6">
      <c r="E14877" s="1"/>
      <c r="F14877" s="1"/>
    </row>
    <row r="14878" spans="5:6">
      <c r="E14878" s="1"/>
      <c r="F14878" s="1"/>
    </row>
    <row r="14879" spans="5:6">
      <c r="E14879" s="1"/>
      <c r="F14879" s="1"/>
    </row>
    <row r="14880" spans="5:6">
      <c r="E14880" s="1"/>
      <c r="F14880" s="1"/>
    </row>
    <row r="14881" spans="5:6">
      <c r="E14881" s="1"/>
      <c r="F14881" s="1"/>
    </row>
    <row r="14882" spans="5:6">
      <c r="E14882" s="1"/>
      <c r="F14882" s="1"/>
    </row>
    <row r="14883" spans="5:6">
      <c r="E14883" s="1"/>
      <c r="F14883" s="1"/>
    </row>
    <row r="14884" spans="5:6">
      <c r="E14884" s="1"/>
      <c r="F14884" s="1"/>
    </row>
    <row r="14885" spans="5:6">
      <c r="E14885" s="1"/>
      <c r="F14885" s="1"/>
    </row>
    <row r="14886" spans="5:6">
      <c r="E14886" s="1"/>
      <c r="F14886" s="1"/>
    </row>
    <row r="14887" spans="5:6">
      <c r="E14887" s="1"/>
      <c r="F14887" s="1"/>
    </row>
    <row r="14888" spans="5:6">
      <c r="E14888" s="1"/>
      <c r="F14888" s="1"/>
    </row>
    <row r="14889" spans="5:6">
      <c r="E14889" s="1"/>
      <c r="F14889" s="1"/>
    </row>
    <row r="14890" spans="5:6">
      <c r="E14890" s="1"/>
      <c r="F14890" s="1"/>
    </row>
    <row r="14891" spans="5:6">
      <c r="E14891" s="1"/>
      <c r="F14891" s="1"/>
    </row>
    <row r="14892" spans="5:6">
      <c r="E14892" s="1"/>
      <c r="F14892" s="1"/>
    </row>
    <row r="14893" spans="5:6">
      <c r="E14893" s="1"/>
      <c r="F14893" s="1"/>
    </row>
    <row r="14894" spans="5:6">
      <c r="E14894" s="1"/>
      <c r="F14894" s="1"/>
    </row>
    <row r="14895" spans="5:6">
      <c r="E14895" s="1"/>
      <c r="F14895" s="1"/>
    </row>
    <row r="14896" spans="5:6">
      <c r="E14896" s="1"/>
      <c r="F14896" s="1"/>
    </row>
    <row r="14897" spans="5:6">
      <c r="E14897" s="1"/>
      <c r="F14897" s="1"/>
    </row>
    <row r="14898" spans="5:6">
      <c r="E14898" s="1"/>
      <c r="F14898" s="1"/>
    </row>
    <row r="14899" spans="5:6">
      <c r="E14899" s="1"/>
      <c r="F14899" s="1"/>
    </row>
    <row r="14900" spans="5:6">
      <c r="E14900" s="1"/>
      <c r="F14900" s="1"/>
    </row>
    <row r="14901" spans="5:6">
      <c r="E14901" s="1"/>
      <c r="F14901" s="1"/>
    </row>
    <row r="14902" spans="5:6">
      <c r="E14902" s="1"/>
      <c r="F14902" s="1"/>
    </row>
    <row r="14903" spans="5:6">
      <c r="E14903" s="1"/>
      <c r="F14903" s="1"/>
    </row>
    <row r="14904" spans="5:6">
      <c r="E14904" s="1"/>
      <c r="F14904" s="1"/>
    </row>
    <row r="14905" spans="5:6">
      <c r="E14905" s="1"/>
      <c r="F14905" s="1"/>
    </row>
    <row r="14906" spans="5:6">
      <c r="E14906" s="1"/>
      <c r="F14906" s="1"/>
    </row>
    <row r="14907" spans="5:6">
      <c r="E14907" s="1"/>
      <c r="F14907" s="1"/>
    </row>
    <row r="14908" spans="5:6">
      <c r="E14908" s="1"/>
      <c r="F14908" s="1"/>
    </row>
    <row r="14909" spans="5:6">
      <c r="E14909" s="1"/>
      <c r="F14909" s="1"/>
    </row>
    <row r="14910" spans="5:6">
      <c r="E14910" s="1"/>
      <c r="F14910" s="1"/>
    </row>
    <row r="14911" spans="5:6">
      <c r="E14911" s="1"/>
      <c r="F14911" s="1"/>
    </row>
    <row r="14912" spans="5:6">
      <c r="E14912" s="1"/>
      <c r="F14912" s="1"/>
    </row>
    <row r="14913" spans="5:6">
      <c r="E14913" s="1"/>
      <c r="F14913" s="1"/>
    </row>
    <row r="14914" spans="5:6">
      <c r="E14914" s="1"/>
      <c r="F14914" s="1"/>
    </row>
    <row r="14915" spans="5:6">
      <c r="E14915" s="1"/>
      <c r="F14915" s="1"/>
    </row>
    <row r="14916" spans="5:6">
      <c r="E14916" s="1"/>
      <c r="F14916" s="1"/>
    </row>
    <row r="14917" spans="5:6">
      <c r="E14917" s="1"/>
      <c r="F14917" s="1"/>
    </row>
    <row r="14918" spans="5:6">
      <c r="E14918" s="1"/>
      <c r="F14918" s="1"/>
    </row>
    <row r="14919" spans="5:6">
      <c r="E14919" s="1"/>
      <c r="F14919" s="1"/>
    </row>
    <row r="14920" spans="5:6">
      <c r="E14920" s="1"/>
      <c r="F14920" s="1"/>
    </row>
    <row r="14921" spans="5:6">
      <c r="E14921" s="1"/>
      <c r="F14921" s="1"/>
    </row>
    <row r="14922" spans="5:6">
      <c r="E14922" s="1"/>
      <c r="F14922" s="1"/>
    </row>
    <row r="14923" spans="5:6">
      <c r="E14923" s="1"/>
      <c r="F14923" s="1"/>
    </row>
    <row r="14924" spans="5:6">
      <c r="E14924" s="1"/>
      <c r="F14924" s="1"/>
    </row>
    <row r="14925" spans="5:6">
      <c r="E14925" s="1"/>
      <c r="F14925" s="1"/>
    </row>
    <row r="14926" spans="5:6">
      <c r="E14926" s="1"/>
      <c r="F14926" s="1"/>
    </row>
    <row r="14927" spans="5:6">
      <c r="E14927" s="1"/>
      <c r="F14927" s="1"/>
    </row>
    <row r="14928" spans="5:6">
      <c r="E14928" s="1"/>
      <c r="F14928" s="1"/>
    </row>
    <row r="14929" spans="5:6">
      <c r="E14929" s="1"/>
      <c r="F14929" s="1"/>
    </row>
    <row r="14930" spans="5:6">
      <c r="E14930" s="1"/>
      <c r="F14930" s="1"/>
    </row>
    <row r="14931" spans="5:6">
      <c r="E14931" s="1"/>
      <c r="F14931" s="1"/>
    </row>
    <row r="14932" spans="5:6">
      <c r="E14932" s="1"/>
      <c r="F14932" s="1"/>
    </row>
    <row r="14933" spans="5:6">
      <c r="E14933" s="1"/>
      <c r="F14933" s="1"/>
    </row>
    <row r="14934" spans="5:6">
      <c r="E14934" s="1"/>
      <c r="F14934" s="1"/>
    </row>
    <row r="14935" spans="5:6">
      <c r="E14935" s="1"/>
      <c r="F14935" s="1"/>
    </row>
    <row r="14936" spans="5:6">
      <c r="E14936" s="1"/>
      <c r="F14936" s="1"/>
    </row>
    <row r="14937" spans="5:6">
      <c r="E14937" s="1"/>
      <c r="F14937" s="1"/>
    </row>
    <row r="14938" spans="5:6">
      <c r="E14938" s="1"/>
      <c r="F14938" s="1"/>
    </row>
    <row r="14939" spans="5:6">
      <c r="E14939" s="1"/>
      <c r="F14939" s="1"/>
    </row>
    <row r="14940" spans="5:6">
      <c r="E14940" s="1"/>
      <c r="F14940" s="1"/>
    </row>
    <row r="14941" spans="5:6">
      <c r="E14941" s="1"/>
      <c r="F14941" s="1"/>
    </row>
    <row r="14942" spans="5:6">
      <c r="E14942" s="1"/>
      <c r="F14942" s="1"/>
    </row>
    <row r="14943" spans="5:6">
      <c r="E14943" s="1"/>
      <c r="F14943" s="1"/>
    </row>
    <row r="14944" spans="5:6">
      <c r="E14944" s="1"/>
      <c r="F14944" s="1"/>
    </row>
    <row r="14945" spans="5:6">
      <c r="E14945" s="1"/>
      <c r="F14945" s="1"/>
    </row>
    <row r="14946" spans="5:6">
      <c r="E14946" s="1"/>
      <c r="F14946" s="1"/>
    </row>
    <row r="14947" spans="5:6">
      <c r="E14947" s="1"/>
      <c r="F14947" s="1"/>
    </row>
    <row r="14948" spans="5:6">
      <c r="E14948" s="1"/>
      <c r="F14948" s="1"/>
    </row>
    <row r="14949" spans="5:6">
      <c r="E14949" s="1"/>
      <c r="F14949" s="1"/>
    </row>
    <row r="14950" spans="5:6">
      <c r="E14950" s="1"/>
      <c r="F14950" s="1"/>
    </row>
    <row r="14951" spans="5:6">
      <c r="E14951" s="1"/>
      <c r="F14951" s="1"/>
    </row>
    <row r="14952" spans="5:6">
      <c r="E14952" s="1"/>
      <c r="F14952" s="1"/>
    </row>
    <row r="14953" spans="5:6">
      <c r="E14953" s="1"/>
      <c r="F14953" s="1"/>
    </row>
    <row r="14954" spans="5:6">
      <c r="E14954" s="1"/>
      <c r="F14954" s="1"/>
    </row>
    <row r="14955" spans="5:6">
      <c r="E14955" s="1"/>
      <c r="F14955" s="1"/>
    </row>
    <row r="14956" spans="5:6">
      <c r="E14956" s="1"/>
      <c r="F14956" s="1"/>
    </row>
    <row r="14957" spans="5:6">
      <c r="E14957" s="1"/>
      <c r="F14957" s="1"/>
    </row>
    <row r="14958" spans="5:6">
      <c r="E14958" s="1"/>
      <c r="F14958" s="1"/>
    </row>
    <row r="14959" spans="5:6">
      <c r="E14959" s="1"/>
      <c r="F14959" s="1"/>
    </row>
    <row r="14960" spans="5:6">
      <c r="E14960" s="1"/>
      <c r="F14960" s="1"/>
    </row>
    <row r="14961" spans="5:6">
      <c r="E14961" s="1"/>
      <c r="F14961" s="1"/>
    </row>
    <row r="14962" spans="5:6">
      <c r="E14962" s="1"/>
      <c r="F14962" s="1"/>
    </row>
    <row r="14963" spans="5:6">
      <c r="E14963" s="1"/>
      <c r="F14963" s="1"/>
    </row>
    <row r="14964" spans="5:6">
      <c r="E14964" s="1"/>
      <c r="F14964" s="1"/>
    </row>
    <row r="14965" spans="5:6">
      <c r="E14965" s="1"/>
      <c r="F14965" s="1"/>
    </row>
    <row r="14966" spans="5:6">
      <c r="E14966" s="1"/>
      <c r="F14966" s="1"/>
    </row>
    <row r="14967" spans="5:6">
      <c r="E14967" s="1"/>
      <c r="F14967" s="1"/>
    </row>
    <row r="14968" spans="5:6">
      <c r="E14968" s="1"/>
      <c r="F14968" s="1"/>
    </row>
    <row r="14969" spans="5:6">
      <c r="E14969" s="1"/>
      <c r="F14969" s="1"/>
    </row>
    <row r="14970" spans="5:6">
      <c r="E14970" s="1"/>
      <c r="F14970" s="1"/>
    </row>
    <row r="14971" spans="5:6">
      <c r="E14971" s="1"/>
      <c r="F14971" s="1"/>
    </row>
    <row r="14972" spans="5:6">
      <c r="E14972" s="1"/>
      <c r="F14972" s="1"/>
    </row>
    <row r="14973" spans="5:6">
      <c r="E14973" s="1"/>
      <c r="F14973" s="1"/>
    </row>
    <row r="14974" spans="5:6">
      <c r="E14974" s="1"/>
      <c r="F14974" s="1"/>
    </row>
    <row r="14975" spans="5:6">
      <c r="E14975" s="1"/>
      <c r="F14975" s="1"/>
    </row>
    <row r="14976" spans="5:6">
      <c r="E14976" s="1"/>
      <c r="F14976" s="1"/>
    </row>
    <row r="14977" spans="5:6">
      <c r="E14977" s="1"/>
      <c r="F14977" s="1"/>
    </row>
    <row r="14978" spans="5:6">
      <c r="E14978" s="1"/>
      <c r="F14978" s="1"/>
    </row>
    <row r="14979" spans="5:6">
      <c r="E14979" s="1"/>
      <c r="F14979" s="1"/>
    </row>
    <row r="14980" spans="5:6">
      <c r="E14980" s="1"/>
      <c r="F14980" s="1"/>
    </row>
    <row r="14981" spans="5:6">
      <c r="E14981" s="1"/>
      <c r="F14981" s="1"/>
    </row>
    <row r="14982" spans="5:6">
      <c r="E14982" s="1"/>
      <c r="F14982" s="1"/>
    </row>
    <row r="14983" spans="5:6">
      <c r="E14983" s="1"/>
      <c r="F14983" s="1"/>
    </row>
    <row r="14984" spans="5:6">
      <c r="E14984" s="1"/>
      <c r="F14984" s="1"/>
    </row>
    <row r="14985" spans="5:6">
      <c r="E14985" s="1"/>
      <c r="F14985" s="1"/>
    </row>
    <row r="14986" spans="5:6">
      <c r="E14986" s="1"/>
      <c r="F14986" s="1"/>
    </row>
    <row r="14987" spans="5:6">
      <c r="E14987" s="1"/>
      <c r="F14987" s="1"/>
    </row>
    <row r="14988" spans="5:6">
      <c r="E14988" s="1"/>
      <c r="F14988" s="1"/>
    </row>
    <row r="14989" spans="5:6">
      <c r="E14989" s="1"/>
      <c r="F14989" s="1"/>
    </row>
    <row r="14990" spans="5:6">
      <c r="E14990" s="1"/>
      <c r="F14990" s="1"/>
    </row>
    <row r="14991" spans="5:6">
      <c r="E14991" s="1"/>
      <c r="F14991" s="1"/>
    </row>
    <row r="14992" spans="5:6">
      <c r="E14992" s="1"/>
      <c r="F14992" s="1"/>
    </row>
    <row r="14993" spans="5:6">
      <c r="E14993" s="1"/>
      <c r="F14993" s="1"/>
    </row>
    <row r="14994" spans="5:6">
      <c r="E14994" s="1"/>
      <c r="F14994" s="1"/>
    </row>
    <row r="14995" spans="5:6">
      <c r="E14995" s="1"/>
      <c r="F14995" s="1"/>
    </row>
    <row r="14996" spans="5:6">
      <c r="E14996" s="1"/>
      <c r="F14996" s="1"/>
    </row>
    <row r="14997" spans="5:6">
      <c r="E14997" s="1"/>
      <c r="F14997" s="1"/>
    </row>
    <row r="14998" spans="5:6">
      <c r="E14998" s="1"/>
      <c r="F14998" s="1"/>
    </row>
    <row r="14999" spans="5:6">
      <c r="E14999" s="1"/>
      <c r="F14999" s="1"/>
    </row>
    <row r="15000" spans="5:6">
      <c r="E15000" s="1"/>
      <c r="F15000" s="1"/>
    </row>
    <row r="15001" spans="5:6">
      <c r="E15001" s="1"/>
      <c r="F15001" s="1"/>
    </row>
    <row r="15002" spans="5:6">
      <c r="E15002" s="1"/>
      <c r="F15002" s="1"/>
    </row>
    <row r="15003" spans="5:6">
      <c r="E15003" s="1"/>
      <c r="F15003" s="1"/>
    </row>
    <row r="15004" spans="5:6">
      <c r="E15004" s="1"/>
      <c r="F15004" s="1"/>
    </row>
    <row r="15005" spans="5:6">
      <c r="E15005" s="1"/>
      <c r="F15005" s="1"/>
    </row>
    <row r="15006" spans="5:6">
      <c r="E15006" s="1"/>
      <c r="F15006" s="1"/>
    </row>
    <row r="15007" spans="5:6">
      <c r="E15007" s="1"/>
      <c r="F15007" s="1"/>
    </row>
    <row r="15008" spans="5:6">
      <c r="E15008" s="1"/>
      <c r="F15008" s="1"/>
    </row>
    <row r="15009" spans="5:6">
      <c r="E15009" s="1"/>
      <c r="F15009" s="1"/>
    </row>
    <row r="15010" spans="5:6">
      <c r="E15010" s="1"/>
      <c r="F15010" s="1"/>
    </row>
    <row r="15011" spans="5:6">
      <c r="E15011" s="1"/>
      <c r="F15011" s="1"/>
    </row>
    <row r="15012" spans="5:6">
      <c r="E15012" s="1"/>
      <c r="F15012" s="1"/>
    </row>
    <row r="15013" spans="5:6">
      <c r="E15013" s="1"/>
      <c r="F15013" s="1"/>
    </row>
    <row r="15014" spans="5:6">
      <c r="E15014" s="1"/>
      <c r="F15014" s="1"/>
    </row>
    <row r="15015" spans="5:6">
      <c r="E15015" s="1"/>
      <c r="F15015" s="1"/>
    </row>
    <row r="15016" spans="5:6">
      <c r="E15016" s="1"/>
      <c r="F15016" s="1"/>
    </row>
    <row r="15017" spans="5:6">
      <c r="E15017" s="1"/>
      <c r="F15017" s="1"/>
    </row>
    <row r="15018" spans="5:6">
      <c r="E15018" s="1"/>
      <c r="F15018" s="1"/>
    </row>
    <row r="15019" spans="5:6">
      <c r="E15019" s="1"/>
      <c r="F15019" s="1"/>
    </row>
    <row r="15020" spans="5:6">
      <c r="E15020" s="1"/>
      <c r="F15020" s="1"/>
    </row>
    <row r="15021" spans="5:6">
      <c r="E15021" s="1"/>
      <c r="F15021" s="1"/>
    </row>
    <row r="15022" spans="5:6">
      <c r="E15022" s="1"/>
      <c r="F15022" s="1"/>
    </row>
    <row r="15023" spans="5:6">
      <c r="E15023" s="1"/>
      <c r="F15023" s="1"/>
    </row>
    <row r="15024" spans="5:6">
      <c r="E15024" s="1"/>
      <c r="F15024" s="1"/>
    </row>
    <row r="15025" spans="5:6">
      <c r="E15025" s="1"/>
      <c r="F15025" s="1"/>
    </row>
    <row r="15026" spans="5:6">
      <c r="E15026" s="1"/>
      <c r="F15026" s="1"/>
    </row>
    <row r="15027" spans="5:6">
      <c r="E15027" s="1"/>
      <c r="F15027" s="1"/>
    </row>
    <row r="15028" spans="5:6">
      <c r="E15028" s="1"/>
      <c r="F15028" s="1"/>
    </row>
    <row r="15029" spans="5:6">
      <c r="E15029" s="1"/>
      <c r="F15029" s="1"/>
    </row>
    <row r="15030" spans="5:6">
      <c r="E15030" s="1"/>
      <c r="F15030" s="1"/>
    </row>
    <row r="15031" spans="5:6">
      <c r="E15031" s="1"/>
      <c r="F15031" s="1"/>
    </row>
    <row r="15032" spans="5:6">
      <c r="E15032" s="1"/>
      <c r="F15032" s="1"/>
    </row>
    <row r="15033" spans="5:6">
      <c r="E15033" s="1"/>
      <c r="F15033" s="1"/>
    </row>
    <row r="15034" spans="5:6">
      <c r="E15034" s="1"/>
      <c r="F15034" s="1"/>
    </row>
    <row r="15035" spans="5:6">
      <c r="E15035" s="1"/>
      <c r="F15035" s="1"/>
    </row>
    <row r="15036" spans="5:6">
      <c r="E15036" s="1"/>
      <c r="F15036" s="1"/>
    </row>
    <row r="15037" spans="5:6">
      <c r="E15037" s="1"/>
      <c r="F15037" s="1"/>
    </row>
    <row r="15038" spans="5:6">
      <c r="E15038" s="1"/>
      <c r="F15038" s="1"/>
    </row>
    <row r="15039" spans="5:6">
      <c r="E15039" s="1"/>
      <c r="F15039" s="1"/>
    </row>
    <row r="15040" spans="5:6">
      <c r="E15040" s="1"/>
      <c r="F15040" s="1"/>
    </row>
    <row r="15041" spans="5:6">
      <c r="E15041" s="1"/>
      <c r="F15041" s="1"/>
    </row>
    <row r="15042" spans="5:6">
      <c r="E15042" s="1"/>
      <c r="F15042" s="1"/>
    </row>
    <row r="15043" spans="5:6">
      <c r="E15043" s="1"/>
      <c r="F15043" s="1"/>
    </row>
    <row r="15044" spans="5:6">
      <c r="E15044" s="1"/>
      <c r="F15044" s="1"/>
    </row>
    <row r="15045" spans="5:6">
      <c r="E15045" s="1"/>
      <c r="F15045" s="1"/>
    </row>
    <row r="15046" spans="5:6">
      <c r="E15046" s="1"/>
      <c r="F15046" s="1"/>
    </row>
    <row r="15047" spans="5:6">
      <c r="E15047" s="1"/>
      <c r="F15047" s="1"/>
    </row>
    <row r="15048" spans="5:6">
      <c r="E15048" s="1"/>
      <c r="F15048" s="1"/>
    </row>
    <row r="15049" spans="5:6">
      <c r="E15049" s="1"/>
      <c r="F15049" s="1"/>
    </row>
    <row r="15050" spans="5:6">
      <c r="E15050" s="1"/>
      <c r="F15050" s="1"/>
    </row>
    <row r="15051" spans="5:6">
      <c r="E15051" s="1"/>
      <c r="F15051" s="1"/>
    </row>
    <row r="15052" spans="5:6">
      <c r="E15052" s="1"/>
      <c r="F15052" s="1"/>
    </row>
    <row r="15053" spans="5:6">
      <c r="E15053" s="1"/>
      <c r="F15053" s="1"/>
    </row>
    <row r="15054" spans="5:6">
      <c r="E15054" s="1"/>
      <c r="F15054" s="1"/>
    </row>
    <row r="15055" spans="5:6">
      <c r="E15055" s="1"/>
      <c r="F15055" s="1"/>
    </row>
    <row r="15056" spans="5:6">
      <c r="E15056" s="1"/>
      <c r="F15056" s="1"/>
    </row>
    <row r="15057" spans="5:6">
      <c r="E15057" s="1"/>
      <c r="F15057" s="1"/>
    </row>
    <row r="15058" spans="5:6">
      <c r="E15058" s="1"/>
      <c r="F15058" s="1"/>
    </row>
    <row r="15059" spans="5:6">
      <c r="E15059" s="1"/>
      <c r="F15059" s="1"/>
    </row>
    <row r="15060" spans="5:6">
      <c r="E15060" s="1"/>
      <c r="F15060" s="1"/>
    </row>
    <row r="15061" spans="5:6">
      <c r="E15061" s="1"/>
      <c r="F15061" s="1"/>
    </row>
    <row r="15062" spans="5:6">
      <c r="E15062" s="1"/>
      <c r="F15062" s="1"/>
    </row>
    <row r="15063" spans="5:6">
      <c r="E15063" s="1"/>
      <c r="F15063" s="1"/>
    </row>
    <row r="15064" spans="5:6">
      <c r="E15064" s="1"/>
      <c r="F15064" s="1"/>
    </row>
    <row r="15065" spans="5:6">
      <c r="E15065" s="1"/>
      <c r="F15065" s="1"/>
    </row>
    <row r="15066" spans="5:6">
      <c r="E15066" s="1"/>
      <c r="F15066" s="1"/>
    </row>
    <row r="15067" spans="5:6">
      <c r="E15067" s="1"/>
      <c r="F15067" s="1"/>
    </row>
    <row r="15068" spans="5:6">
      <c r="E15068" s="1"/>
      <c r="F15068" s="1"/>
    </row>
    <row r="15069" spans="5:6">
      <c r="E15069" s="1"/>
      <c r="F15069" s="1"/>
    </row>
    <row r="15070" spans="5:6">
      <c r="E15070" s="1"/>
      <c r="F15070" s="1"/>
    </row>
    <row r="15071" spans="5:6">
      <c r="E15071" s="1"/>
      <c r="F15071" s="1"/>
    </row>
    <row r="15072" spans="5:6">
      <c r="E15072" s="1"/>
      <c r="F15072" s="1"/>
    </row>
    <row r="15073" spans="5:6">
      <c r="E15073" s="1"/>
      <c r="F15073" s="1"/>
    </row>
    <row r="15074" spans="5:6">
      <c r="E15074" s="1"/>
      <c r="F15074" s="1"/>
    </row>
    <row r="15075" spans="5:6">
      <c r="E15075" s="1"/>
      <c r="F15075" s="1"/>
    </row>
    <row r="15076" spans="5:6">
      <c r="E15076" s="1"/>
      <c r="F15076" s="1"/>
    </row>
    <row r="15077" spans="5:6">
      <c r="E15077" s="1"/>
      <c r="F15077" s="1"/>
    </row>
    <row r="15078" spans="5:6">
      <c r="E15078" s="1"/>
      <c r="F15078" s="1"/>
    </row>
    <row r="15079" spans="5:6">
      <c r="E15079" s="1"/>
      <c r="F15079" s="1"/>
    </row>
    <row r="15080" spans="5:6">
      <c r="E15080" s="1"/>
      <c r="F15080" s="1"/>
    </row>
    <row r="15081" spans="5:6">
      <c r="E15081" s="1"/>
      <c r="F15081" s="1"/>
    </row>
    <row r="15082" spans="5:6">
      <c r="E15082" s="1"/>
      <c r="F15082" s="1"/>
    </row>
    <row r="15083" spans="5:6">
      <c r="E15083" s="1"/>
      <c r="F15083" s="1"/>
    </row>
    <row r="15084" spans="5:6">
      <c r="E15084" s="1"/>
      <c r="F15084" s="1"/>
    </row>
    <row r="15085" spans="5:6">
      <c r="E15085" s="1"/>
      <c r="F15085" s="1"/>
    </row>
    <row r="15086" spans="5:6">
      <c r="E15086" s="1"/>
      <c r="F15086" s="1"/>
    </row>
    <row r="15087" spans="5:6">
      <c r="E15087" s="1"/>
      <c r="F15087" s="1"/>
    </row>
    <row r="15088" spans="5:6">
      <c r="E15088" s="1"/>
      <c r="F15088" s="1"/>
    </row>
    <row r="15089" spans="5:6">
      <c r="E15089" s="1"/>
      <c r="F15089" s="1"/>
    </row>
    <row r="15090" spans="5:6">
      <c r="E15090" s="1"/>
      <c r="F15090" s="1"/>
    </row>
    <row r="15091" spans="5:6">
      <c r="E15091" s="1"/>
      <c r="F15091" s="1"/>
    </row>
    <row r="15092" spans="5:6">
      <c r="E15092" s="1"/>
      <c r="F15092" s="1"/>
    </row>
    <row r="15093" spans="5:6">
      <c r="E15093" s="1"/>
      <c r="F15093" s="1"/>
    </row>
    <row r="15094" spans="5:6">
      <c r="E15094" s="1"/>
      <c r="F15094" s="1"/>
    </row>
    <row r="15095" spans="5:6">
      <c r="E15095" s="1"/>
      <c r="F15095" s="1"/>
    </row>
    <row r="15096" spans="5:6">
      <c r="E15096" s="1"/>
      <c r="F15096" s="1"/>
    </row>
    <row r="15097" spans="5:6">
      <c r="E15097" s="1"/>
      <c r="F15097" s="1"/>
    </row>
    <row r="15098" spans="5:6">
      <c r="E15098" s="1"/>
      <c r="F15098" s="1"/>
    </row>
    <row r="15099" spans="5:6">
      <c r="E15099" s="1"/>
      <c r="F15099" s="1"/>
    </row>
    <row r="15100" spans="5:6">
      <c r="E15100" s="1"/>
      <c r="F15100" s="1"/>
    </row>
    <row r="15101" spans="5:6">
      <c r="E15101" s="1"/>
      <c r="F15101" s="1"/>
    </row>
    <row r="15102" spans="5:6">
      <c r="E15102" s="1"/>
      <c r="F15102" s="1"/>
    </row>
    <row r="15103" spans="5:6">
      <c r="E15103" s="1"/>
      <c r="F15103" s="1"/>
    </row>
    <row r="15104" spans="5:6">
      <c r="E15104" s="1"/>
      <c r="F15104" s="1"/>
    </row>
    <row r="15105" spans="5:6">
      <c r="E15105" s="1"/>
      <c r="F15105" s="1"/>
    </row>
    <row r="15106" spans="5:6">
      <c r="E15106" s="1"/>
      <c r="F15106" s="1"/>
    </row>
    <row r="15107" spans="5:6">
      <c r="E15107" s="1"/>
      <c r="F15107" s="1"/>
    </row>
    <row r="15108" spans="5:6">
      <c r="E15108" s="1"/>
      <c r="F15108" s="1"/>
    </row>
    <row r="15109" spans="5:6">
      <c r="E15109" s="1"/>
      <c r="F15109" s="1"/>
    </row>
    <row r="15110" spans="5:6">
      <c r="E15110" s="1"/>
      <c r="F15110" s="1"/>
    </row>
    <row r="15111" spans="5:6">
      <c r="E15111" s="1"/>
      <c r="F15111" s="1"/>
    </row>
    <row r="15112" spans="5:6">
      <c r="E15112" s="1"/>
      <c r="F15112" s="1"/>
    </row>
    <row r="15113" spans="5:6">
      <c r="E15113" s="1"/>
      <c r="F15113" s="1"/>
    </row>
    <row r="15114" spans="5:6">
      <c r="E15114" s="1"/>
      <c r="F15114" s="1"/>
    </row>
    <row r="15115" spans="5:6">
      <c r="E15115" s="1"/>
      <c r="F15115" s="1"/>
    </row>
    <row r="15116" spans="5:6">
      <c r="E15116" s="1"/>
      <c r="F15116" s="1"/>
    </row>
    <row r="15117" spans="5:6">
      <c r="E15117" s="1"/>
      <c r="F15117" s="1"/>
    </row>
    <row r="15118" spans="5:6">
      <c r="E15118" s="1"/>
      <c r="F15118" s="1"/>
    </row>
    <row r="15119" spans="5:6">
      <c r="E15119" s="1"/>
      <c r="F15119" s="1"/>
    </row>
    <row r="15120" spans="5:6">
      <c r="E15120" s="1"/>
      <c r="F15120" s="1"/>
    </row>
    <row r="15121" spans="5:6">
      <c r="E15121" s="1"/>
      <c r="F15121" s="1"/>
    </row>
    <row r="15122" spans="5:6">
      <c r="E15122" s="1"/>
      <c r="F15122" s="1"/>
    </row>
    <row r="15123" spans="5:6">
      <c r="E15123" s="1"/>
      <c r="F15123" s="1"/>
    </row>
    <row r="15124" spans="5:6">
      <c r="E15124" s="1"/>
      <c r="F15124" s="1"/>
    </row>
    <row r="15125" spans="5:6">
      <c r="E15125" s="1"/>
      <c r="F15125" s="1"/>
    </row>
    <row r="15126" spans="5:6">
      <c r="E15126" s="1"/>
      <c r="F15126" s="1"/>
    </row>
    <row r="15127" spans="5:6">
      <c r="E15127" s="1"/>
      <c r="F15127" s="1"/>
    </row>
    <row r="15128" spans="5:6">
      <c r="E15128" s="1"/>
      <c r="F15128" s="1"/>
    </row>
    <row r="15129" spans="5:6">
      <c r="E15129" s="1"/>
      <c r="F15129" s="1"/>
    </row>
    <row r="15130" spans="5:6">
      <c r="E15130" s="1"/>
      <c r="F15130" s="1"/>
    </row>
    <row r="15131" spans="5:6">
      <c r="E15131" s="1"/>
      <c r="F15131" s="1"/>
    </row>
    <row r="15132" spans="5:6">
      <c r="E15132" s="1"/>
      <c r="F15132" s="1"/>
    </row>
    <row r="15133" spans="5:6">
      <c r="E15133" s="1"/>
      <c r="F15133" s="1"/>
    </row>
    <row r="15134" spans="5:6">
      <c r="E15134" s="1"/>
      <c r="F15134" s="1"/>
    </row>
    <row r="15135" spans="5:6">
      <c r="E15135" s="1"/>
      <c r="F15135" s="1"/>
    </row>
    <row r="15136" spans="5:6">
      <c r="E15136" s="1"/>
      <c r="F15136" s="1"/>
    </row>
    <row r="15137" spans="5:6">
      <c r="E15137" s="1"/>
      <c r="F15137" s="1"/>
    </row>
    <row r="15138" spans="5:6">
      <c r="E15138" s="1"/>
      <c r="F15138" s="1"/>
    </row>
    <row r="15139" spans="5:6">
      <c r="E15139" s="1"/>
      <c r="F15139" s="1"/>
    </row>
    <row r="15140" spans="5:6">
      <c r="E15140" s="1"/>
      <c r="F15140" s="1"/>
    </row>
    <row r="15141" spans="5:6">
      <c r="E15141" s="1"/>
      <c r="F15141" s="1"/>
    </row>
    <row r="15142" spans="5:6">
      <c r="E15142" s="1"/>
      <c r="F15142" s="1"/>
    </row>
    <row r="15143" spans="5:6">
      <c r="E15143" s="1"/>
      <c r="F15143" s="1"/>
    </row>
    <row r="15144" spans="5:6">
      <c r="E15144" s="1"/>
      <c r="F15144" s="1"/>
    </row>
    <row r="15145" spans="5:6">
      <c r="E15145" s="1"/>
      <c r="F15145" s="1"/>
    </row>
    <row r="15146" spans="5:6">
      <c r="E15146" s="1"/>
      <c r="F15146" s="1"/>
    </row>
    <row r="15147" spans="5:6">
      <c r="E15147" s="1"/>
      <c r="F15147" s="1"/>
    </row>
    <row r="15148" spans="5:6">
      <c r="E15148" s="1"/>
      <c r="F15148" s="1"/>
    </row>
    <row r="15149" spans="5:6">
      <c r="E15149" s="1"/>
      <c r="F15149" s="1"/>
    </row>
    <row r="15150" spans="5:6">
      <c r="E15150" s="1"/>
      <c r="F15150" s="1"/>
    </row>
    <row r="15151" spans="5:6">
      <c r="E15151" s="1"/>
      <c r="F15151" s="1"/>
    </row>
    <row r="15152" spans="5:6">
      <c r="E15152" s="1"/>
      <c r="F15152" s="1"/>
    </row>
    <row r="15153" spans="5:6">
      <c r="E15153" s="1"/>
      <c r="F15153" s="1"/>
    </row>
    <row r="15154" spans="5:6">
      <c r="E15154" s="1"/>
      <c r="F15154" s="1"/>
    </row>
    <row r="15155" spans="5:6">
      <c r="E15155" s="1"/>
      <c r="F15155" s="1"/>
    </row>
    <row r="15156" spans="5:6">
      <c r="E15156" s="1"/>
      <c r="F15156" s="1"/>
    </row>
    <row r="15157" spans="5:6">
      <c r="E15157" s="1"/>
      <c r="F15157" s="1"/>
    </row>
    <row r="15158" spans="5:6">
      <c r="E15158" s="1"/>
      <c r="F15158" s="1"/>
    </row>
    <row r="15159" spans="5:6">
      <c r="E15159" s="1"/>
      <c r="F15159" s="1"/>
    </row>
    <row r="15160" spans="5:6">
      <c r="E15160" s="1"/>
      <c r="F15160" s="1"/>
    </row>
    <row r="15161" spans="5:6">
      <c r="E15161" s="1"/>
      <c r="F15161" s="1"/>
    </row>
    <row r="15162" spans="5:6">
      <c r="E15162" s="1"/>
      <c r="F15162" s="1"/>
    </row>
    <row r="15163" spans="5:6">
      <c r="E15163" s="1"/>
      <c r="F15163" s="1"/>
    </row>
    <row r="15164" spans="5:6">
      <c r="E15164" s="1"/>
      <c r="F15164" s="1"/>
    </row>
    <row r="15165" spans="5:6">
      <c r="E15165" s="1"/>
      <c r="F15165" s="1"/>
    </row>
    <row r="15166" spans="5:6">
      <c r="E15166" s="1"/>
      <c r="F15166" s="1"/>
    </row>
    <row r="15167" spans="5:6">
      <c r="E15167" s="1"/>
      <c r="F15167" s="1"/>
    </row>
    <row r="15168" spans="5:6">
      <c r="E15168" s="1"/>
      <c r="F15168" s="1"/>
    </row>
    <row r="15169" spans="5:6">
      <c r="E15169" s="1"/>
      <c r="F15169" s="1"/>
    </row>
    <row r="15170" spans="5:6">
      <c r="E15170" s="1"/>
      <c r="F15170" s="1"/>
    </row>
    <row r="15171" spans="5:6">
      <c r="E15171" s="1"/>
      <c r="F15171" s="1"/>
    </row>
    <row r="15172" spans="5:6">
      <c r="E15172" s="1"/>
      <c r="F15172" s="1"/>
    </row>
    <row r="15173" spans="5:6">
      <c r="E15173" s="1"/>
      <c r="F15173" s="1"/>
    </row>
    <row r="15174" spans="5:6">
      <c r="E15174" s="1"/>
      <c r="F15174" s="1"/>
    </row>
    <row r="15175" spans="5:6">
      <c r="E15175" s="1"/>
      <c r="F15175" s="1"/>
    </row>
    <row r="15176" spans="5:6">
      <c r="E15176" s="1"/>
      <c r="F15176" s="1"/>
    </row>
    <row r="15177" spans="5:6">
      <c r="E15177" s="1"/>
      <c r="F15177" s="1"/>
    </row>
    <row r="15178" spans="5:6">
      <c r="E15178" s="1"/>
      <c r="F15178" s="1"/>
    </row>
    <row r="15179" spans="5:6">
      <c r="E15179" s="1"/>
      <c r="F15179" s="1"/>
    </row>
    <row r="15180" spans="5:6">
      <c r="E15180" s="1"/>
      <c r="F15180" s="1"/>
    </row>
    <row r="15181" spans="5:6">
      <c r="E15181" s="1"/>
      <c r="F15181" s="1"/>
    </row>
    <row r="15182" spans="5:6">
      <c r="E15182" s="1"/>
      <c r="F15182" s="1"/>
    </row>
    <row r="15183" spans="5:6">
      <c r="E15183" s="1"/>
      <c r="F15183" s="1"/>
    </row>
    <row r="15184" spans="5:6">
      <c r="E15184" s="1"/>
      <c r="F15184" s="1"/>
    </row>
    <row r="15185" spans="5:6">
      <c r="E15185" s="1"/>
      <c r="F15185" s="1"/>
    </row>
    <row r="15186" spans="5:6">
      <c r="E15186" s="1"/>
      <c r="F15186" s="1"/>
    </row>
    <row r="15187" spans="5:6">
      <c r="E15187" s="1"/>
      <c r="F15187" s="1"/>
    </row>
    <row r="15188" spans="5:6">
      <c r="E15188" s="1"/>
      <c r="F15188" s="1"/>
    </row>
    <row r="15189" spans="5:6">
      <c r="E15189" s="1"/>
      <c r="F15189" s="1"/>
    </row>
    <row r="15190" spans="5:6">
      <c r="E15190" s="1"/>
      <c r="F15190" s="1"/>
    </row>
    <row r="15191" spans="5:6">
      <c r="E15191" s="1"/>
      <c r="F15191" s="1"/>
    </row>
    <row r="15192" spans="5:6">
      <c r="E15192" s="1"/>
      <c r="F15192" s="1"/>
    </row>
    <row r="15193" spans="5:6">
      <c r="E15193" s="1"/>
      <c r="F15193" s="1"/>
    </row>
    <row r="15194" spans="5:6">
      <c r="E15194" s="1"/>
      <c r="F15194" s="1"/>
    </row>
    <row r="15195" spans="5:6">
      <c r="E15195" s="1"/>
      <c r="F15195" s="1"/>
    </row>
    <row r="15196" spans="5:6">
      <c r="E15196" s="1"/>
      <c r="F15196" s="1"/>
    </row>
    <row r="15197" spans="5:6">
      <c r="E15197" s="1"/>
      <c r="F15197" s="1"/>
    </row>
    <row r="15198" spans="5:6">
      <c r="E15198" s="1"/>
      <c r="F15198" s="1"/>
    </row>
    <row r="15199" spans="5:6">
      <c r="E15199" s="1"/>
      <c r="F15199" s="1"/>
    </row>
    <row r="15200" spans="5:6">
      <c r="E15200" s="1"/>
      <c r="F15200" s="1"/>
    </row>
    <row r="15201" spans="5:6">
      <c r="E15201" s="1"/>
      <c r="F15201" s="1"/>
    </row>
    <row r="15202" spans="5:6">
      <c r="E15202" s="1"/>
      <c r="F15202" s="1"/>
    </row>
    <row r="15203" spans="5:6">
      <c r="E15203" s="1"/>
      <c r="F15203" s="1"/>
    </row>
    <row r="15204" spans="5:6">
      <c r="E15204" s="1"/>
      <c r="F15204" s="1"/>
    </row>
    <row r="15205" spans="5:6">
      <c r="E15205" s="1"/>
      <c r="F15205" s="1"/>
    </row>
    <row r="15206" spans="5:6">
      <c r="E15206" s="1"/>
      <c r="F15206" s="1"/>
    </row>
    <row r="15207" spans="5:6">
      <c r="E15207" s="1"/>
      <c r="F15207" s="1"/>
    </row>
    <row r="15208" spans="5:6">
      <c r="E15208" s="1"/>
      <c r="F15208" s="1"/>
    </row>
    <row r="15209" spans="5:6">
      <c r="E15209" s="1"/>
      <c r="F15209" s="1"/>
    </row>
    <row r="15210" spans="5:6">
      <c r="E15210" s="1"/>
      <c r="F15210" s="1"/>
    </row>
    <row r="15211" spans="5:6">
      <c r="E15211" s="1"/>
      <c r="F15211" s="1"/>
    </row>
    <row r="15212" spans="5:6">
      <c r="E15212" s="1"/>
      <c r="F15212" s="1"/>
    </row>
    <row r="15213" spans="5:6">
      <c r="E15213" s="1"/>
      <c r="F15213" s="1"/>
    </row>
    <row r="15214" spans="5:6">
      <c r="E15214" s="1"/>
      <c r="F15214" s="1"/>
    </row>
    <row r="15215" spans="5:6">
      <c r="E15215" s="1"/>
      <c r="F15215" s="1"/>
    </row>
    <row r="15216" spans="5:6">
      <c r="E15216" s="1"/>
      <c r="F15216" s="1"/>
    </row>
    <row r="15217" spans="5:6">
      <c r="E15217" s="1"/>
      <c r="F15217" s="1"/>
    </row>
    <row r="15218" spans="5:6">
      <c r="E15218" s="1"/>
      <c r="F15218" s="1"/>
    </row>
    <row r="15219" spans="5:6">
      <c r="E15219" s="1"/>
      <c r="F15219" s="1"/>
    </row>
    <row r="15220" spans="5:6">
      <c r="E15220" s="1"/>
      <c r="F15220" s="1"/>
    </row>
    <row r="15221" spans="5:6">
      <c r="E15221" s="1"/>
      <c r="F15221" s="1"/>
    </row>
    <row r="15222" spans="5:6">
      <c r="E15222" s="1"/>
      <c r="F15222" s="1"/>
    </row>
    <row r="15223" spans="5:6">
      <c r="E15223" s="1"/>
      <c r="F15223" s="1"/>
    </row>
    <row r="15224" spans="5:6">
      <c r="E15224" s="1"/>
      <c r="F15224" s="1"/>
    </row>
    <row r="15225" spans="5:6">
      <c r="E15225" s="1"/>
      <c r="F15225" s="1"/>
    </row>
    <row r="15226" spans="5:6">
      <c r="E15226" s="1"/>
      <c r="F15226" s="1"/>
    </row>
    <row r="15227" spans="5:6">
      <c r="E15227" s="1"/>
      <c r="F15227" s="1"/>
    </row>
    <row r="15228" spans="5:6">
      <c r="E15228" s="1"/>
      <c r="F15228" s="1"/>
    </row>
    <row r="15229" spans="5:6">
      <c r="E15229" s="1"/>
      <c r="F15229" s="1"/>
    </row>
    <row r="15230" spans="5:6">
      <c r="E15230" s="1"/>
      <c r="F15230" s="1"/>
    </row>
    <row r="15231" spans="5:6">
      <c r="E15231" s="1"/>
      <c r="F15231" s="1"/>
    </row>
    <row r="15232" spans="5:6">
      <c r="E15232" s="1"/>
      <c r="F15232" s="1"/>
    </row>
    <row r="15233" spans="5:6">
      <c r="E15233" s="1"/>
      <c r="F15233" s="1"/>
    </row>
    <row r="15234" spans="5:6">
      <c r="E15234" s="1"/>
      <c r="F15234" s="1"/>
    </row>
    <row r="15235" spans="5:6">
      <c r="E15235" s="1"/>
      <c r="F15235" s="1"/>
    </row>
    <row r="15236" spans="5:6">
      <c r="E15236" s="1"/>
      <c r="F15236" s="1"/>
    </row>
    <row r="15237" spans="5:6">
      <c r="E15237" s="1"/>
      <c r="F15237" s="1"/>
    </row>
    <row r="15238" spans="5:6">
      <c r="E15238" s="1"/>
      <c r="F15238" s="1"/>
    </row>
    <row r="15239" spans="5:6">
      <c r="E15239" s="1"/>
      <c r="F15239" s="1"/>
    </row>
    <row r="15240" spans="5:6">
      <c r="E15240" s="1"/>
      <c r="F15240" s="1"/>
    </row>
    <row r="15241" spans="5:6">
      <c r="E15241" s="1"/>
      <c r="F15241" s="1"/>
    </row>
    <row r="15242" spans="5:6">
      <c r="E15242" s="1"/>
      <c r="F15242" s="1"/>
    </row>
    <row r="15243" spans="5:6">
      <c r="E15243" s="1"/>
      <c r="F15243" s="1"/>
    </row>
    <row r="15244" spans="5:6">
      <c r="E15244" s="1"/>
      <c r="F15244" s="1"/>
    </row>
    <row r="15245" spans="5:6">
      <c r="E15245" s="1"/>
      <c r="F15245" s="1"/>
    </row>
    <row r="15246" spans="5:6">
      <c r="E15246" s="1"/>
      <c r="F15246" s="1"/>
    </row>
    <row r="15247" spans="5:6">
      <c r="E15247" s="1"/>
      <c r="F15247" s="1"/>
    </row>
    <row r="15248" spans="5:6">
      <c r="E15248" s="1"/>
      <c r="F15248" s="1"/>
    </row>
    <row r="15249" spans="5:6">
      <c r="E15249" s="1"/>
      <c r="F15249" s="1"/>
    </row>
    <row r="15250" spans="5:6">
      <c r="E15250" s="1"/>
      <c r="F15250" s="1"/>
    </row>
    <row r="15251" spans="5:6">
      <c r="E15251" s="1"/>
      <c r="F15251" s="1"/>
    </row>
    <row r="15252" spans="5:6">
      <c r="E15252" s="1"/>
      <c r="F15252" s="1"/>
    </row>
    <row r="15253" spans="5:6">
      <c r="E15253" s="1"/>
      <c r="F15253" s="1"/>
    </row>
    <row r="15254" spans="5:6">
      <c r="E15254" s="1"/>
      <c r="F15254" s="1"/>
    </row>
    <row r="15255" spans="5:6">
      <c r="E15255" s="1"/>
      <c r="F15255" s="1"/>
    </row>
    <row r="15256" spans="5:6">
      <c r="E15256" s="1"/>
      <c r="F15256" s="1"/>
    </row>
    <row r="15257" spans="5:6">
      <c r="E15257" s="1"/>
      <c r="F15257" s="1"/>
    </row>
    <row r="15258" spans="5:6">
      <c r="E15258" s="1"/>
      <c r="F15258" s="1"/>
    </row>
    <row r="15259" spans="5:6">
      <c r="E15259" s="1"/>
      <c r="F15259" s="1"/>
    </row>
    <row r="15260" spans="5:6">
      <c r="E15260" s="1"/>
      <c r="F15260" s="1"/>
    </row>
    <row r="15261" spans="5:6">
      <c r="E15261" s="1"/>
      <c r="F15261" s="1"/>
    </row>
    <row r="15262" spans="5:6">
      <c r="E15262" s="1"/>
      <c r="F15262" s="1"/>
    </row>
    <row r="15263" spans="5:6">
      <c r="E15263" s="1"/>
      <c r="F15263" s="1"/>
    </row>
    <row r="15264" spans="5:6">
      <c r="E15264" s="1"/>
      <c r="F15264" s="1"/>
    </row>
    <row r="15265" spans="5:6">
      <c r="E15265" s="1"/>
      <c r="F15265" s="1"/>
    </row>
    <row r="15266" spans="5:6">
      <c r="E15266" s="1"/>
      <c r="F15266" s="1"/>
    </row>
    <row r="15267" spans="5:6">
      <c r="E15267" s="1"/>
      <c r="F15267" s="1"/>
    </row>
    <row r="15268" spans="5:6">
      <c r="E15268" s="1"/>
      <c r="F15268" s="1"/>
    </row>
    <row r="15269" spans="5:6">
      <c r="E15269" s="1"/>
      <c r="F15269" s="1"/>
    </row>
    <row r="15270" spans="5:6">
      <c r="E15270" s="1"/>
      <c r="F15270" s="1"/>
    </row>
    <row r="15271" spans="5:6">
      <c r="E15271" s="1"/>
      <c r="F15271" s="1"/>
    </row>
    <row r="15272" spans="5:6">
      <c r="E15272" s="1"/>
      <c r="F15272" s="1"/>
    </row>
    <row r="15273" spans="5:6">
      <c r="E15273" s="1"/>
      <c r="F15273" s="1"/>
    </row>
    <row r="15274" spans="5:6">
      <c r="E15274" s="1"/>
      <c r="F15274" s="1"/>
    </row>
    <row r="15275" spans="5:6">
      <c r="E15275" s="1"/>
      <c r="F15275" s="1"/>
    </row>
    <row r="15276" spans="5:6">
      <c r="E15276" s="1"/>
      <c r="F15276" s="1"/>
    </row>
    <row r="15277" spans="5:6">
      <c r="E15277" s="1"/>
      <c r="F15277" s="1"/>
    </row>
    <row r="15278" spans="5:6">
      <c r="E15278" s="1"/>
      <c r="F15278" s="1"/>
    </row>
    <row r="15279" spans="5:6">
      <c r="E15279" s="1"/>
      <c r="F15279" s="1"/>
    </row>
    <row r="15280" spans="5:6">
      <c r="E15280" s="1"/>
      <c r="F15280" s="1"/>
    </row>
    <row r="15281" spans="5:6">
      <c r="E15281" s="1"/>
      <c r="F15281" s="1"/>
    </row>
    <row r="15282" spans="5:6">
      <c r="E15282" s="1"/>
      <c r="F15282" s="1"/>
    </row>
    <row r="15283" spans="5:6">
      <c r="E15283" s="1"/>
      <c r="F15283" s="1"/>
    </row>
    <row r="15284" spans="5:6">
      <c r="E15284" s="1"/>
      <c r="F15284" s="1"/>
    </row>
    <row r="15285" spans="5:6">
      <c r="E15285" s="1"/>
      <c r="F15285" s="1"/>
    </row>
    <row r="15286" spans="5:6">
      <c r="E15286" s="1"/>
      <c r="F15286" s="1"/>
    </row>
    <row r="15287" spans="5:6">
      <c r="E15287" s="1"/>
      <c r="F15287" s="1"/>
    </row>
    <row r="15288" spans="5:6">
      <c r="E15288" s="1"/>
      <c r="F15288" s="1"/>
    </row>
    <row r="15289" spans="5:6">
      <c r="E15289" s="1"/>
      <c r="F15289" s="1"/>
    </row>
    <row r="15290" spans="5:6">
      <c r="E15290" s="1"/>
      <c r="F15290" s="1"/>
    </row>
    <row r="15291" spans="5:6">
      <c r="E15291" s="1"/>
      <c r="F15291" s="1"/>
    </row>
    <row r="15292" spans="5:6">
      <c r="E15292" s="1"/>
      <c r="F15292" s="1"/>
    </row>
    <row r="15293" spans="5:6">
      <c r="E15293" s="1"/>
      <c r="F15293" s="1"/>
    </row>
    <row r="15294" spans="5:6">
      <c r="E15294" s="1"/>
      <c r="F15294" s="1"/>
    </row>
    <row r="15295" spans="5:6">
      <c r="E15295" s="1"/>
      <c r="F15295" s="1"/>
    </row>
    <row r="15296" spans="5:6">
      <c r="E15296" s="1"/>
      <c r="F15296" s="1"/>
    </row>
    <row r="15297" spans="5:6">
      <c r="E15297" s="1"/>
      <c r="F15297" s="1"/>
    </row>
    <row r="15298" spans="5:6">
      <c r="E15298" s="1"/>
      <c r="F15298" s="1"/>
    </row>
    <row r="15299" spans="5:6">
      <c r="E15299" s="1"/>
      <c r="F15299" s="1"/>
    </row>
    <row r="15300" spans="5:6">
      <c r="E15300" s="1"/>
      <c r="F15300" s="1"/>
    </row>
    <row r="15301" spans="5:6">
      <c r="E15301" s="1"/>
      <c r="F15301" s="1"/>
    </row>
    <row r="15302" spans="5:6">
      <c r="E15302" s="1"/>
      <c r="F15302" s="1"/>
    </row>
    <row r="15303" spans="5:6">
      <c r="E15303" s="1"/>
      <c r="F15303" s="1"/>
    </row>
    <row r="15304" spans="5:6">
      <c r="E15304" s="1"/>
      <c r="F15304" s="1"/>
    </row>
    <row r="15305" spans="5:6">
      <c r="E15305" s="1"/>
      <c r="F15305" s="1"/>
    </row>
    <row r="15306" spans="5:6">
      <c r="E15306" s="1"/>
      <c r="F15306" s="1"/>
    </row>
    <row r="15307" spans="5:6">
      <c r="E15307" s="1"/>
      <c r="F15307" s="1"/>
    </row>
    <row r="15308" spans="5:6">
      <c r="E15308" s="1"/>
      <c r="F15308" s="1"/>
    </row>
    <row r="15309" spans="5:6">
      <c r="E15309" s="1"/>
      <c r="F15309" s="1"/>
    </row>
    <row r="15310" spans="5:6">
      <c r="E15310" s="1"/>
      <c r="F15310" s="1"/>
    </row>
    <row r="15311" spans="5:6">
      <c r="E15311" s="1"/>
      <c r="F15311" s="1"/>
    </row>
    <row r="15312" spans="5:6">
      <c r="E15312" s="1"/>
      <c r="F15312" s="1"/>
    </row>
    <row r="15313" spans="5:6">
      <c r="E15313" s="1"/>
      <c r="F15313" s="1"/>
    </row>
    <row r="15314" spans="5:6">
      <c r="E15314" s="1"/>
      <c r="F15314" s="1"/>
    </row>
    <row r="15315" spans="5:6">
      <c r="E15315" s="1"/>
      <c r="F15315" s="1"/>
    </row>
    <row r="15316" spans="5:6">
      <c r="E15316" s="1"/>
      <c r="F15316" s="1"/>
    </row>
    <row r="15317" spans="5:6">
      <c r="E15317" s="1"/>
      <c r="F15317" s="1"/>
    </row>
    <row r="15318" spans="5:6">
      <c r="E15318" s="1"/>
      <c r="F15318" s="1"/>
    </row>
    <row r="15319" spans="5:6">
      <c r="E15319" s="1"/>
      <c r="F15319" s="1"/>
    </row>
    <row r="15320" spans="5:6">
      <c r="E15320" s="1"/>
      <c r="F15320" s="1"/>
    </row>
    <row r="15321" spans="5:6">
      <c r="E15321" s="1"/>
      <c r="F15321" s="1"/>
    </row>
    <row r="15322" spans="5:6">
      <c r="E15322" s="1"/>
      <c r="F15322" s="1"/>
    </row>
    <row r="15323" spans="5:6">
      <c r="E15323" s="1"/>
      <c r="F15323" s="1"/>
    </row>
    <row r="15324" spans="5:6">
      <c r="E15324" s="1"/>
      <c r="F15324" s="1"/>
    </row>
    <row r="15325" spans="5:6">
      <c r="E15325" s="1"/>
      <c r="F15325" s="1"/>
    </row>
    <row r="15326" spans="5:6">
      <c r="E15326" s="1"/>
      <c r="F15326" s="1"/>
    </row>
    <row r="15327" spans="5:6">
      <c r="E15327" s="1"/>
      <c r="F15327" s="1"/>
    </row>
    <row r="15328" spans="5:6">
      <c r="E15328" s="1"/>
      <c r="F15328" s="1"/>
    </row>
    <row r="15329" spans="5:6">
      <c r="E15329" s="1"/>
      <c r="F15329" s="1"/>
    </row>
    <row r="15330" spans="5:6">
      <c r="E15330" s="1"/>
      <c r="F15330" s="1"/>
    </row>
    <row r="15331" spans="5:6">
      <c r="E15331" s="1"/>
      <c r="F15331" s="1"/>
    </row>
    <row r="15332" spans="5:6">
      <c r="E15332" s="1"/>
      <c r="F15332" s="1"/>
    </row>
    <row r="15333" spans="5:6">
      <c r="E15333" s="1"/>
      <c r="F15333" s="1"/>
    </row>
    <row r="15334" spans="5:6">
      <c r="E15334" s="1"/>
      <c r="F15334" s="1"/>
    </row>
    <row r="15335" spans="5:6">
      <c r="E15335" s="1"/>
      <c r="F15335" s="1"/>
    </row>
    <row r="15336" spans="5:6">
      <c r="E15336" s="1"/>
      <c r="F15336" s="1"/>
    </row>
    <row r="15337" spans="5:6">
      <c r="E15337" s="1"/>
      <c r="F15337" s="1"/>
    </row>
    <row r="15338" spans="5:6">
      <c r="E15338" s="1"/>
      <c r="F15338" s="1"/>
    </row>
    <row r="15339" spans="5:6">
      <c r="E15339" s="1"/>
      <c r="F15339" s="1"/>
    </row>
    <row r="15340" spans="5:6">
      <c r="E15340" s="1"/>
      <c r="F15340" s="1"/>
    </row>
    <row r="15341" spans="5:6">
      <c r="E15341" s="1"/>
      <c r="F15341" s="1"/>
    </row>
    <row r="15342" spans="5:6">
      <c r="E15342" s="1"/>
      <c r="F15342" s="1"/>
    </row>
    <row r="15343" spans="5:6">
      <c r="E15343" s="1"/>
      <c r="F15343" s="1"/>
    </row>
    <row r="15344" spans="5:6">
      <c r="E15344" s="1"/>
      <c r="F15344" s="1"/>
    </row>
    <row r="15345" spans="5:6">
      <c r="E15345" s="1"/>
      <c r="F15345" s="1"/>
    </row>
    <row r="15346" spans="5:6">
      <c r="E15346" s="1"/>
      <c r="F15346" s="1"/>
    </row>
    <row r="15347" spans="5:6">
      <c r="E15347" s="1"/>
      <c r="F15347" s="1"/>
    </row>
    <row r="15348" spans="5:6">
      <c r="E15348" s="1"/>
      <c r="F15348" s="1"/>
    </row>
    <row r="15349" spans="5:6">
      <c r="E15349" s="1"/>
      <c r="F15349" s="1"/>
    </row>
    <row r="15350" spans="5:6">
      <c r="E15350" s="1"/>
      <c r="F15350" s="1"/>
    </row>
    <row r="15351" spans="5:6">
      <c r="E15351" s="1"/>
      <c r="F15351" s="1"/>
    </row>
    <row r="15352" spans="5:6">
      <c r="E15352" s="1"/>
      <c r="F15352" s="1"/>
    </row>
    <row r="15353" spans="5:6">
      <c r="E15353" s="1"/>
      <c r="F15353" s="1"/>
    </row>
    <row r="15354" spans="5:6">
      <c r="E15354" s="1"/>
      <c r="F15354" s="1"/>
    </row>
    <row r="15355" spans="5:6">
      <c r="E15355" s="1"/>
      <c r="F15355" s="1"/>
    </row>
    <row r="15356" spans="5:6">
      <c r="E15356" s="1"/>
      <c r="F15356" s="1"/>
    </row>
    <row r="15357" spans="5:6">
      <c r="E15357" s="1"/>
      <c r="F15357" s="1"/>
    </row>
    <row r="15358" spans="5:6">
      <c r="E15358" s="1"/>
      <c r="F15358" s="1"/>
    </row>
    <row r="15359" spans="5:6">
      <c r="E15359" s="1"/>
      <c r="F15359" s="1"/>
    </row>
    <row r="15360" spans="5:6">
      <c r="E15360" s="1"/>
      <c r="F15360" s="1"/>
    </row>
    <row r="15361" spans="5:6">
      <c r="E15361" s="1"/>
      <c r="F15361" s="1"/>
    </row>
    <row r="15362" spans="5:6">
      <c r="E15362" s="1"/>
      <c r="F15362" s="1"/>
    </row>
    <row r="15363" spans="5:6">
      <c r="E15363" s="1"/>
      <c r="F15363" s="1"/>
    </row>
    <row r="15364" spans="5:6">
      <c r="E15364" s="1"/>
      <c r="F15364" s="1"/>
    </row>
    <row r="15365" spans="5:6">
      <c r="E15365" s="1"/>
      <c r="F15365" s="1"/>
    </row>
    <row r="15366" spans="5:6">
      <c r="E15366" s="1"/>
      <c r="F15366" s="1"/>
    </row>
    <row r="15367" spans="5:6">
      <c r="E15367" s="1"/>
      <c r="F15367" s="1"/>
    </row>
    <row r="15368" spans="5:6">
      <c r="E15368" s="1"/>
      <c r="F15368" s="1"/>
    </row>
    <row r="15369" spans="5:6">
      <c r="E15369" s="1"/>
      <c r="F15369" s="1"/>
    </row>
    <row r="15370" spans="5:6">
      <c r="E15370" s="1"/>
      <c r="F15370" s="1"/>
    </row>
    <row r="15371" spans="5:6">
      <c r="E15371" s="1"/>
      <c r="F15371" s="1"/>
    </row>
    <row r="15372" spans="5:6">
      <c r="E15372" s="1"/>
      <c r="F15372" s="1"/>
    </row>
    <row r="15373" spans="5:6">
      <c r="E15373" s="1"/>
      <c r="F15373" s="1"/>
    </row>
    <row r="15374" spans="5:6">
      <c r="E15374" s="1"/>
      <c r="F15374" s="1"/>
    </row>
    <row r="15375" spans="5:6">
      <c r="E15375" s="1"/>
      <c r="F15375" s="1"/>
    </row>
    <row r="15376" spans="5:6">
      <c r="E15376" s="1"/>
      <c r="F15376" s="1"/>
    </row>
    <row r="15377" spans="5:6">
      <c r="E15377" s="1"/>
      <c r="F15377" s="1"/>
    </row>
    <row r="15378" spans="5:6">
      <c r="E15378" s="1"/>
      <c r="F15378" s="1"/>
    </row>
    <row r="15379" spans="5:6">
      <c r="E15379" s="1"/>
      <c r="F15379" s="1"/>
    </row>
    <row r="15380" spans="5:6">
      <c r="E15380" s="1"/>
      <c r="F15380" s="1"/>
    </row>
    <row r="15381" spans="5:6">
      <c r="E15381" s="1"/>
      <c r="F15381" s="1"/>
    </row>
    <row r="15382" spans="5:6">
      <c r="E15382" s="1"/>
      <c r="F15382" s="1"/>
    </row>
    <row r="15383" spans="5:6">
      <c r="E15383" s="1"/>
      <c r="F15383" s="1"/>
    </row>
    <row r="15384" spans="5:6">
      <c r="E15384" s="1"/>
      <c r="F15384" s="1"/>
    </row>
    <row r="15385" spans="5:6">
      <c r="E15385" s="1"/>
      <c r="F15385" s="1"/>
    </row>
    <row r="15386" spans="5:6">
      <c r="E15386" s="1"/>
      <c r="F15386" s="1"/>
    </row>
    <row r="15387" spans="5:6">
      <c r="E15387" s="1"/>
      <c r="F15387" s="1"/>
    </row>
    <row r="15388" spans="5:6">
      <c r="E15388" s="1"/>
      <c r="F15388" s="1"/>
    </row>
    <row r="15389" spans="5:6">
      <c r="E15389" s="1"/>
      <c r="F15389" s="1"/>
    </row>
    <row r="15390" spans="5:6">
      <c r="E15390" s="1"/>
      <c r="F15390" s="1"/>
    </row>
    <row r="15391" spans="5:6">
      <c r="E15391" s="1"/>
      <c r="F15391" s="1"/>
    </row>
    <row r="15392" spans="5:6">
      <c r="E15392" s="1"/>
      <c r="F15392" s="1"/>
    </row>
    <row r="15393" spans="5:6">
      <c r="E15393" s="1"/>
      <c r="F15393" s="1"/>
    </row>
    <row r="15394" spans="5:6">
      <c r="E15394" s="1"/>
      <c r="F15394" s="1"/>
    </row>
    <row r="15395" spans="5:6">
      <c r="E15395" s="1"/>
      <c r="F15395" s="1"/>
    </row>
    <row r="15396" spans="5:6">
      <c r="E15396" s="1"/>
      <c r="F15396" s="1"/>
    </row>
    <row r="15397" spans="5:6">
      <c r="E15397" s="1"/>
      <c r="F15397" s="1"/>
    </row>
    <row r="15398" spans="5:6">
      <c r="E15398" s="1"/>
      <c r="F15398" s="1"/>
    </row>
    <row r="15399" spans="5:6">
      <c r="E15399" s="1"/>
      <c r="F15399" s="1"/>
    </row>
    <row r="15400" spans="5:6">
      <c r="E15400" s="1"/>
      <c r="F15400" s="1"/>
    </row>
    <row r="15401" spans="5:6">
      <c r="E15401" s="1"/>
      <c r="F15401" s="1"/>
    </row>
    <row r="15402" spans="5:6">
      <c r="E15402" s="1"/>
      <c r="F15402" s="1"/>
    </row>
    <row r="15403" spans="5:6">
      <c r="E15403" s="1"/>
      <c r="F15403" s="1"/>
    </row>
    <row r="15404" spans="5:6">
      <c r="E15404" s="1"/>
      <c r="F15404" s="1"/>
    </row>
    <row r="15405" spans="5:6">
      <c r="E15405" s="1"/>
      <c r="F15405" s="1"/>
    </row>
    <row r="15406" spans="5:6">
      <c r="E15406" s="1"/>
      <c r="F15406" s="1"/>
    </row>
    <row r="15407" spans="5:6">
      <c r="E15407" s="1"/>
      <c r="F15407" s="1"/>
    </row>
    <row r="15408" spans="5:6">
      <c r="E15408" s="1"/>
      <c r="F15408" s="1"/>
    </row>
    <row r="15409" spans="5:6">
      <c r="E15409" s="1"/>
      <c r="F15409" s="1"/>
    </row>
    <row r="15410" spans="5:6">
      <c r="E15410" s="1"/>
      <c r="F15410" s="1"/>
    </row>
    <row r="15411" spans="5:6">
      <c r="E15411" s="1"/>
      <c r="F15411" s="1"/>
    </row>
    <row r="15412" spans="5:6">
      <c r="E15412" s="1"/>
      <c r="F15412" s="1"/>
    </row>
    <row r="15413" spans="5:6">
      <c r="E15413" s="1"/>
      <c r="F15413" s="1"/>
    </row>
    <row r="15414" spans="5:6">
      <c r="E15414" s="1"/>
      <c r="F15414" s="1"/>
    </row>
    <row r="15415" spans="5:6">
      <c r="E15415" s="1"/>
      <c r="F15415" s="1"/>
    </row>
    <row r="15416" spans="5:6">
      <c r="E15416" s="1"/>
      <c r="F15416" s="1"/>
    </row>
    <row r="15417" spans="5:6">
      <c r="E15417" s="1"/>
      <c r="F15417" s="1"/>
    </row>
    <row r="15418" spans="5:6">
      <c r="E15418" s="1"/>
      <c r="F15418" s="1"/>
    </row>
    <row r="15419" spans="5:6">
      <c r="E15419" s="1"/>
      <c r="F15419" s="1"/>
    </row>
    <row r="15420" spans="5:6">
      <c r="E15420" s="1"/>
      <c r="F15420" s="1"/>
    </row>
    <row r="15421" spans="5:6">
      <c r="E15421" s="1"/>
      <c r="F15421" s="1"/>
    </row>
    <row r="15422" spans="5:6">
      <c r="E15422" s="1"/>
      <c r="F15422" s="1"/>
    </row>
    <row r="15423" spans="5:6">
      <c r="E15423" s="1"/>
      <c r="F15423" s="1"/>
    </row>
    <row r="15424" spans="5:6">
      <c r="E15424" s="1"/>
      <c r="F15424" s="1"/>
    </row>
    <row r="15425" spans="5:6">
      <c r="E15425" s="1"/>
      <c r="F15425" s="1"/>
    </row>
    <row r="15426" spans="5:6">
      <c r="E15426" s="1"/>
      <c r="F15426" s="1"/>
    </row>
    <row r="15427" spans="5:6">
      <c r="E15427" s="1"/>
      <c r="F15427" s="1"/>
    </row>
    <row r="15428" spans="5:6">
      <c r="E15428" s="1"/>
      <c r="F15428" s="1"/>
    </row>
    <row r="15429" spans="5:6">
      <c r="E15429" s="1"/>
      <c r="F15429" s="1"/>
    </row>
    <row r="15430" spans="5:6">
      <c r="E15430" s="1"/>
      <c r="F15430" s="1"/>
    </row>
    <row r="15431" spans="5:6">
      <c r="E15431" s="1"/>
      <c r="F15431" s="1"/>
    </row>
    <row r="15432" spans="5:6">
      <c r="E15432" s="1"/>
      <c r="F15432" s="1"/>
    </row>
    <row r="15433" spans="5:6">
      <c r="E15433" s="1"/>
      <c r="F15433" s="1"/>
    </row>
    <row r="15434" spans="5:6">
      <c r="E15434" s="1"/>
      <c r="F15434" s="1"/>
    </row>
    <row r="15435" spans="5:6">
      <c r="E15435" s="1"/>
      <c r="F15435" s="1"/>
    </row>
    <row r="15436" spans="5:6">
      <c r="E15436" s="1"/>
      <c r="F15436" s="1"/>
    </row>
    <row r="15437" spans="5:6">
      <c r="E15437" s="1"/>
      <c r="F15437" s="1"/>
    </row>
    <row r="15438" spans="5:6">
      <c r="E15438" s="1"/>
      <c r="F15438" s="1"/>
    </row>
    <row r="15439" spans="5:6">
      <c r="E15439" s="1"/>
      <c r="F15439" s="1"/>
    </row>
    <row r="15440" spans="5:6">
      <c r="E15440" s="1"/>
      <c r="F15440" s="1"/>
    </row>
    <row r="15441" spans="5:6">
      <c r="E15441" s="1"/>
      <c r="F15441" s="1"/>
    </row>
    <row r="15442" spans="5:6">
      <c r="E15442" s="1"/>
      <c r="F15442" s="1"/>
    </row>
    <row r="15443" spans="5:6">
      <c r="E15443" s="1"/>
      <c r="F15443" s="1"/>
    </row>
    <row r="15444" spans="5:6">
      <c r="E15444" s="1"/>
      <c r="F15444" s="1"/>
    </row>
    <row r="15445" spans="5:6">
      <c r="E15445" s="1"/>
      <c r="F15445" s="1"/>
    </row>
    <row r="15446" spans="5:6">
      <c r="E15446" s="1"/>
      <c r="F15446" s="1"/>
    </row>
    <row r="15447" spans="5:6">
      <c r="E15447" s="1"/>
      <c r="F15447" s="1"/>
    </row>
    <row r="15448" spans="5:6">
      <c r="E15448" s="1"/>
      <c r="F15448" s="1"/>
    </row>
    <row r="15449" spans="5:6">
      <c r="E15449" s="1"/>
      <c r="F15449" s="1"/>
    </row>
    <row r="15450" spans="5:6">
      <c r="E15450" s="1"/>
      <c r="F15450" s="1"/>
    </row>
    <row r="15451" spans="5:6">
      <c r="E15451" s="1"/>
      <c r="F15451" s="1"/>
    </row>
    <row r="15452" spans="5:6">
      <c r="E15452" s="1"/>
      <c r="F15452" s="1"/>
    </row>
    <row r="15453" spans="5:6">
      <c r="E15453" s="1"/>
      <c r="F15453" s="1"/>
    </row>
    <row r="15454" spans="5:6">
      <c r="E15454" s="1"/>
      <c r="F15454" s="1"/>
    </row>
    <row r="15455" spans="5:6">
      <c r="E15455" s="1"/>
      <c r="F15455" s="1"/>
    </row>
    <row r="15456" spans="5:6">
      <c r="E15456" s="1"/>
      <c r="F15456" s="1"/>
    </row>
    <row r="15457" spans="5:6">
      <c r="E15457" s="1"/>
      <c r="F15457" s="1"/>
    </row>
    <row r="15458" spans="5:6">
      <c r="E15458" s="1"/>
      <c r="F15458" s="1"/>
    </row>
    <row r="15459" spans="5:6">
      <c r="E15459" s="1"/>
      <c r="F15459" s="1"/>
    </row>
    <row r="15460" spans="5:6">
      <c r="E15460" s="1"/>
      <c r="F15460" s="1"/>
    </row>
    <row r="15461" spans="5:6">
      <c r="E15461" s="1"/>
      <c r="F15461" s="1"/>
    </row>
    <row r="15462" spans="5:6">
      <c r="E15462" s="1"/>
      <c r="F15462" s="1"/>
    </row>
    <row r="15463" spans="5:6">
      <c r="E15463" s="1"/>
      <c r="F15463" s="1"/>
    </row>
    <row r="15464" spans="5:6">
      <c r="E15464" s="1"/>
      <c r="F15464" s="1"/>
    </row>
    <row r="15465" spans="5:6">
      <c r="E15465" s="1"/>
      <c r="F15465" s="1"/>
    </row>
    <row r="15466" spans="5:6">
      <c r="E15466" s="1"/>
      <c r="F15466" s="1"/>
    </row>
    <row r="15467" spans="5:6">
      <c r="E15467" s="1"/>
      <c r="F15467" s="1"/>
    </row>
    <row r="15468" spans="5:6">
      <c r="E15468" s="1"/>
      <c r="F15468" s="1"/>
    </row>
    <row r="15469" spans="5:6">
      <c r="E15469" s="1"/>
      <c r="F15469" s="1"/>
    </row>
    <row r="15470" spans="5:6">
      <c r="E15470" s="1"/>
      <c r="F15470" s="1"/>
    </row>
    <row r="15471" spans="5:6">
      <c r="E15471" s="1"/>
      <c r="F15471" s="1"/>
    </row>
    <row r="15472" spans="5:6">
      <c r="E15472" s="1"/>
      <c r="F15472" s="1"/>
    </row>
    <row r="15473" spans="5:6">
      <c r="E15473" s="1"/>
      <c r="F15473" s="1"/>
    </row>
    <row r="15474" spans="5:6">
      <c r="E15474" s="1"/>
      <c r="F15474" s="1"/>
    </row>
    <row r="15475" spans="5:6">
      <c r="E15475" s="1"/>
      <c r="F15475" s="1"/>
    </row>
    <row r="15476" spans="5:6">
      <c r="E15476" s="1"/>
      <c r="F15476" s="1"/>
    </row>
    <row r="15477" spans="5:6">
      <c r="E15477" s="1"/>
      <c r="F15477" s="1"/>
    </row>
    <row r="15478" spans="5:6">
      <c r="E15478" s="1"/>
      <c r="F15478" s="1"/>
    </row>
    <row r="15479" spans="5:6">
      <c r="E15479" s="1"/>
      <c r="F15479" s="1"/>
    </row>
    <row r="15480" spans="5:6">
      <c r="E15480" s="1"/>
      <c r="F15480" s="1"/>
    </row>
    <row r="15481" spans="5:6">
      <c r="E15481" s="1"/>
      <c r="F15481" s="1"/>
    </row>
    <row r="15482" spans="5:6">
      <c r="E15482" s="1"/>
      <c r="F15482" s="1"/>
    </row>
    <row r="15483" spans="5:6">
      <c r="E15483" s="1"/>
      <c r="F15483" s="1"/>
    </row>
    <row r="15484" spans="5:6">
      <c r="E15484" s="1"/>
      <c r="F15484" s="1"/>
    </row>
    <row r="15485" spans="5:6">
      <c r="E15485" s="1"/>
      <c r="F15485" s="1"/>
    </row>
    <row r="15486" spans="5:6">
      <c r="E15486" s="1"/>
      <c r="F15486" s="1"/>
    </row>
    <row r="15487" spans="5:6">
      <c r="E15487" s="1"/>
      <c r="F15487" s="1"/>
    </row>
    <row r="15488" spans="5:6">
      <c r="E15488" s="1"/>
      <c r="F15488" s="1"/>
    </row>
    <row r="15489" spans="5:6">
      <c r="E15489" s="1"/>
      <c r="F15489" s="1"/>
    </row>
    <row r="15490" spans="5:6">
      <c r="E15490" s="1"/>
      <c r="F15490" s="1"/>
    </row>
    <row r="15491" spans="5:6">
      <c r="E15491" s="1"/>
      <c r="F15491" s="1"/>
    </row>
    <row r="15492" spans="5:6">
      <c r="E15492" s="1"/>
      <c r="F15492" s="1"/>
    </row>
    <row r="15493" spans="5:6">
      <c r="E15493" s="1"/>
      <c r="F15493" s="1"/>
    </row>
    <row r="15494" spans="5:6">
      <c r="E15494" s="1"/>
      <c r="F15494" s="1"/>
    </row>
    <row r="15495" spans="5:6">
      <c r="E15495" s="1"/>
      <c r="F15495" s="1"/>
    </row>
    <row r="15496" spans="5:6">
      <c r="E15496" s="1"/>
      <c r="F15496" s="1"/>
    </row>
    <row r="15497" spans="5:6">
      <c r="E15497" s="1"/>
      <c r="F15497" s="1"/>
    </row>
    <row r="15498" spans="5:6">
      <c r="E15498" s="1"/>
      <c r="F15498" s="1"/>
    </row>
    <row r="15499" spans="5:6">
      <c r="E15499" s="1"/>
      <c r="F15499" s="1"/>
    </row>
    <row r="15500" spans="5:6">
      <c r="E15500" s="1"/>
      <c r="F15500" s="1"/>
    </row>
    <row r="15501" spans="5:6">
      <c r="E15501" s="1"/>
      <c r="F15501" s="1"/>
    </row>
    <row r="15502" spans="5:6">
      <c r="E15502" s="1"/>
      <c r="F15502" s="1"/>
    </row>
    <row r="15503" spans="5:6">
      <c r="E15503" s="1"/>
      <c r="F15503" s="1"/>
    </row>
    <row r="15504" spans="5:6">
      <c r="E15504" s="1"/>
      <c r="F15504" s="1"/>
    </row>
    <row r="15505" spans="5:6">
      <c r="E15505" s="1"/>
      <c r="F15505" s="1"/>
    </row>
    <row r="15506" spans="5:6">
      <c r="E15506" s="1"/>
      <c r="F15506" s="1"/>
    </row>
    <row r="15507" spans="5:6">
      <c r="E15507" s="1"/>
      <c r="F15507" s="1"/>
    </row>
    <row r="15508" spans="5:6">
      <c r="E15508" s="1"/>
      <c r="F15508" s="1"/>
    </row>
    <row r="15509" spans="5:6">
      <c r="E15509" s="1"/>
      <c r="F15509" s="1"/>
    </row>
    <row r="15510" spans="5:6">
      <c r="E15510" s="1"/>
      <c r="F15510" s="1"/>
    </row>
    <row r="15511" spans="5:6">
      <c r="E15511" s="1"/>
      <c r="F15511" s="1"/>
    </row>
    <row r="15512" spans="5:6">
      <c r="E15512" s="1"/>
      <c r="F15512" s="1"/>
    </row>
    <row r="15513" spans="5:6">
      <c r="E15513" s="1"/>
      <c r="F15513" s="1"/>
    </row>
    <row r="15514" spans="5:6">
      <c r="E15514" s="1"/>
      <c r="F15514" s="1"/>
    </row>
    <row r="15515" spans="5:6">
      <c r="E15515" s="1"/>
      <c r="F15515" s="1"/>
    </row>
    <row r="15516" spans="5:6">
      <c r="E15516" s="1"/>
      <c r="F15516" s="1"/>
    </row>
    <row r="15517" spans="5:6">
      <c r="E15517" s="1"/>
      <c r="F15517" s="1"/>
    </row>
    <row r="15518" spans="5:6">
      <c r="E15518" s="1"/>
      <c r="F15518" s="1"/>
    </row>
    <row r="15519" spans="5:6">
      <c r="E15519" s="1"/>
      <c r="F15519" s="1"/>
    </row>
    <row r="15520" spans="5:6">
      <c r="E15520" s="1"/>
      <c r="F15520" s="1"/>
    </row>
    <row r="15521" spans="5:6">
      <c r="E15521" s="1"/>
      <c r="F15521" s="1"/>
    </row>
    <row r="15522" spans="5:6">
      <c r="E15522" s="1"/>
      <c r="F15522" s="1"/>
    </row>
    <row r="15523" spans="5:6">
      <c r="E15523" s="1"/>
      <c r="F15523" s="1"/>
    </row>
    <row r="15524" spans="5:6">
      <c r="E15524" s="1"/>
      <c r="F15524" s="1"/>
    </row>
    <row r="15525" spans="5:6">
      <c r="E15525" s="1"/>
      <c r="F15525" s="1"/>
    </row>
    <row r="15526" spans="5:6">
      <c r="E15526" s="1"/>
      <c r="F15526" s="1"/>
    </row>
    <row r="15527" spans="5:6">
      <c r="E15527" s="1"/>
      <c r="F15527" s="1"/>
    </row>
    <row r="15528" spans="5:6">
      <c r="E15528" s="1"/>
      <c r="F15528" s="1"/>
    </row>
    <row r="15529" spans="5:6">
      <c r="E15529" s="1"/>
      <c r="F15529" s="1"/>
    </row>
    <row r="15530" spans="5:6">
      <c r="E15530" s="1"/>
      <c r="F15530" s="1"/>
    </row>
    <row r="15531" spans="5:6">
      <c r="E15531" s="1"/>
      <c r="F15531" s="1"/>
    </row>
    <row r="15532" spans="5:6">
      <c r="E15532" s="1"/>
      <c r="F15532" s="1"/>
    </row>
    <row r="15533" spans="5:6">
      <c r="E15533" s="1"/>
      <c r="F15533" s="1"/>
    </row>
    <row r="15534" spans="5:6">
      <c r="E15534" s="1"/>
      <c r="F15534" s="1"/>
    </row>
    <row r="15535" spans="5:6">
      <c r="E15535" s="1"/>
      <c r="F15535" s="1"/>
    </row>
    <row r="15536" spans="5:6">
      <c r="E15536" s="1"/>
      <c r="F15536" s="1"/>
    </row>
    <row r="15537" spans="5:6">
      <c r="E15537" s="1"/>
      <c r="F15537" s="1"/>
    </row>
    <row r="15538" spans="5:6">
      <c r="E15538" s="1"/>
      <c r="F15538" s="1"/>
    </row>
    <row r="15539" spans="5:6">
      <c r="E15539" s="1"/>
      <c r="F15539" s="1"/>
    </row>
    <row r="15540" spans="5:6">
      <c r="E15540" s="1"/>
      <c r="F15540" s="1"/>
    </row>
    <row r="15541" spans="5:6">
      <c r="E15541" s="1"/>
      <c r="F15541" s="1"/>
    </row>
    <row r="15542" spans="5:6">
      <c r="E15542" s="1"/>
      <c r="F15542" s="1"/>
    </row>
    <row r="15543" spans="5:6">
      <c r="E15543" s="1"/>
      <c r="F15543" s="1"/>
    </row>
    <row r="15544" spans="5:6">
      <c r="E15544" s="1"/>
      <c r="F15544" s="1"/>
    </row>
    <row r="15545" spans="5:6">
      <c r="E15545" s="1"/>
      <c r="F15545" s="1"/>
    </row>
    <row r="15546" spans="5:6">
      <c r="E15546" s="1"/>
      <c r="F15546" s="1"/>
    </row>
    <row r="15547" spans="5:6">
      <c r="E15547" s="1"/>
      <c r="F15547" s="1"/>
    </row>
    <row r="15548" spans="5:6">
      <c r="E15548" s="1"/>
      <c r="F15548" s="1"/>
    </row>
    <row r="15549" spans="5:6">
      <c r="E15549" s="1"/>
      <c r="F15549" s="1"/>
    </row>
    <row r="15550" spans="5:6">
      <c r="E15550" s="1"/>
      <c r="F15550" s="1"/>
    </row>
    <row r="15551" spans="5:6">
      <c r="E15551" s="1"/>
      <c r="F15551" s="1"/>
    </row>
    <row r="15552" spans="5:6">
      <c r="E15552" s="1"/>
      <c r="F15552" s="1"/>
    </row>
    <row r="15553" spans="5:6">
      <c r="E15553" s="1"/>
      <c r="F15553" s="1"/>
    </row>
    <row r="15554" spans="5:6">
      <c r="E15554" s="1"/>
      <c r="F15554" s="1"/>
    </row>
    <row r="15555" spans="5:6">
      <c r="E15555" s="1"/>
      <c r="F15555" s="1"/>
    </row>
    <row r="15556" spans="5:6">
      <c r="E15556" s="1"/>
      <c r="F15556" s="1"/>
    </row>
    <row r="15557" spans="5:6">
      <c r="E15557" s="1"/>
      <c r="F15557" s="1"/>
    </row>
    <row r="15558" spans="5:6">
      <c r="E15558" s="1"/>
      <c r="F15558" s="1"/>
    </row>
    <row r="15559" spans="5:6">
      <c r="E15559" s="1"/>
      <c r="F15559" s="1"/>
    </row>
    <row r="15560" spans="5:6">
      <c r="E15560" s="1"/>
      <c r="F15560" s="1"/>
    </row>
    <row r="15561" spans="5:6">
      <c r="E15561" s="1"/>
      <c r="F15561" s="1"/>
    </row>
    <row r="15562" spans="5:6">
      <c r="E15562" s="1"/>
      <c r="F15562" s="1"/>
    </row>
    <row r="15563" spans="5:6">
      <c r="E15563" s="1"/>
      <c r="F15563" s="1"/>
    </row>
    <row r="15564" spans="5:6">
      <c r="E15564" s="1"/>
      <c r="F15564" s="1"/>
    </row>
    <row r="15565" spans="5:6">
      <c r="E15565" s="1"/>
      <c r="F15565" s="1"/>
    </row>
    <row r="15566" spans="5:6">
      <c r="E15566" s="1"/>
      <c r="F15566" s="1"/>
    </row>
    <row r="15567" spans="5:6">
      <c r="E15567" s="1"/>
      <c r="F15567" s="1"/>
    </row>
    <row r="15568" spans="5:6">
      <c r="E15568" s="1"/>
      <c r="F15568" s="1"/>
    </row>
    <row r="15569" spans="5:6">
      <c r="E15569" s="1"/>
      <c r="F15569" s="1"/>
    </row>
    <row r="15570" spans="5:6">
      <c r="E15570" s="1"/>
      <c r="F15570" s="1"/>
    </row>
    <row r="15571" spans="5:6">
      <c r="E15571" s="1"/>
      <c r="F15571" s="1"/>
    </row>
    <row r="15572" spans="5:6">
      <c r="E15572" s="1"/>
      <c r="F15572" s="1"/>
    </row>
    <row r="15573" spans="5:6">
      <c r="E15573" s="1"/>
      <c r="F15573" s="1"/>
    </row>
    <row r="15574" spans="5:6">
      <c r="E15574" s="1"/>
      <c r="F15574" s="1"/>
    </row>
    <row r="15575" spans="5:6">
      <c r="E15575" s="1"/>
      <c r="F15575" s="1"/>
    </row>
    <row r="15576" spans="5:6">
      <c r="E15576" s="1"/>
      <c r="F15576" s="1"/>
    </row>
    <row r="15577" spans="5:6">
      <c r="E15577" s="1"/>
      <c r="F15577" s="1"/>
    </row>
    <row r="15578" spans="5:6">
      <c r="E15578" s="1"/>
      <c r="F15578" s="1"/>
    </row>
    <row r="15579" spans="5:6">
      <c r="E15579" s="1"/>
      <c r="F15579" s="1"/>
    </row>
    <row r="15580" spans="5:6">
      <c r="E15580" s="1"/>
      <c r="F15580" s="1"/>
    </row>
    <row r="15581" spans="5:6">
      <c r="E15581" s="1"/>
      <c r="F15581" s="1"/>
    </row>
    <row r="15582" spans="5:6">
      <c r="E15582" s="1"/>
      <c r="F15582" s="1"/>
    </row>
    <row r="15583" spans="5:6">
      <c r="E15583" s="1"/>
      <c r="F15583" s="1"/>
    </row>
    <row r="15584" spans="5:6">
      <c r="E15584" s="1"/>
      <c r="F15584" s="1"/>
    </row>
    <row r="15585" spans="5:6">
      <c r="E15585" s="1"/>
      <c r="F15585" s="1"/>
    </row>
    <row r="15586" spans="5:6">
      <c r="E15586" s="1"/>
      <c r="F15586" s="1"/>
    </row>
    <row r="15587" spans="5:6">
      <c r="E15587" s="1"/>
      <c r="F15587" s="1"/>
    </row>
    <row r="15588" spans="5:6">
      <c r="E15588" s="1"/>
      <c r="F15588" s="1"/>
    </row>
    <row r="15589" spans="5:6">
      <c r="E15589" s="1"/>
      <c r="F15589" s="1"/>
    </row>
    <row r="15590" spans="5:6">
      <c r="E15590" s="1"/>
      <c r="F15590" s="1"/>
    </row>
    <row r="15591" spans="5:6">
      <c r="E15591" s="1"/>
      <c r="F15591" s="1"/>
    </row>
    <row r="15592" spans="5:6">
      <c r="E15592" s="1"/>
      <c r="F15592" s="1"/>
    </row>
    <row r="15593" spans="5:6">
      <c r="E15593" s="1"/>
      <c r="F15593" s="1"/>
    </row>
    <row r="15594" spans="5:6">
      <c r="E15594" s="1"/>
      <c r="F15594" s="1"/>
    </row>
    <row r="15595" spans="5:6">
      <c r="E15595" s="1"/>
      <c r="F15595" s="1"/>
    </row>
    <row r="15596" spans="5:6">
      <c r="E15596" s="1"/>
      <c r="F15596" s="1"/>
    </row>
    <row r="15597" spans="5:6">
      <c r="E15597" s="1"/>
      <c r="F15597" s="1"/>
    </row>
    <row r="15598" spans="5:6">
      <c r="E15598" s="1"/>
      <c r="F15598" s="1"/>
    </row>
    <row r="15599" spans="5:6">
      <c r="E15599" s="1"/>
      <c r="F15599" s="1"/>
    </row>
    <row r="15600" spans="5:6">
      <c r="E15600" s="1"/>
      <c r="F15600" s="1"/>
    </row>
    <row r="15601" spans="5:6">
      <c r="E15601" s="1"/>
      <c r="F15601" s="1"/>
    </row>
    <row r="15602" spans="5:6">
      <c r="E15602" s="1"/>
      <c r="F15602" s="1"/>
    </row>
    <row r="15603" spans="5:6">
      <c r="E15603" s="1"/>
      <c r="F15603" s="1"/>
    </row>
    <row r="15604" spans="5:6">
      <c r="E15604" s="1"/>
      <c r="F15604" s="1"/>
    </row>
    <row r="15605" spans="5:6">
      <c r="E15605" s="1"/>
      <c r="F15605" s="1"/>
    </row>
    <row r="15606" spans="5:6">
      <c r="E15606" s="1"/>
      <c r="F15606" s="1"/>
    </row>
    <row r="15607" spans="5:6">
      <c r="E15607" s="1"/>
      <c r="F15607" s="1"/>
    </row>
    <row r="15608" spans="5:6">
      <c r="E15608" s="1"/>
      <c r="F15608" s="1"/>
    </row>
    <row r="15609" spans="5:6">
      <c r="E15609" s="1"/>
      <c r="F15609" s="1"/>
    </row>
    <row r="15610" spans="5:6">
      <c r="E15610" s="1"/>
      <c r="F15610" s="1"/>
    </row>
    <row r="15611" spans="5:6">
      <c r="E15611" s="1"/>
      <c r="F15611" s="1"/>
    </row>
    <row r="15612" spans="5:6">
      <c r="E15612" s="1"/>
      <c r="F15612" s="1"/>
    </row>
    <row r="15613" spans="5:6">
      <c r="E15613" s="1"/>
      <c r="F15613" s="1"/>
    </row>
    <row r="15614" spans="5:6">
      <c r="E15614" s="1"/>
      <c r="F15614" s="1"/>
    </row>
    <row r="15615" spans="5:6">
      <c r="E15615" s="1"/>
      <c r="F15615" s="1"/>
    </row>
    <row r="15616" spans="5:6">
      <c r="E15616" s="1"/>
      <c r="F15616" s="1"/>
    </row>
    <row r="15617" spans="5:6">
      <c r="E15617" s="1"/>
      <c r="F15617" s="1"/>
    </row>
    <row r="15618" spans="5:6">
      <c r="E15618" s="1"/>
      <c r="F15618" s="1"/>
    </row>
    <row r="15619" spans="5:6">
      <c r="E15619" s="1"/>
      <c r="F15619" s="1"/>
    </row>
    <row r="15620" spans="5:6">
      <c r="E15620" s="1"/>
      <c r="F15620" s="1"/>
    </row>
    <row r="15621" spans="5:6">
      <c r="E15621" s="1"/>
      <c r="F15621" s="1"/>
    </row>
    <row r="15622" spans="5:6">
      <c r="E15622" s="1"/>
      <c r="F15622" s="1"/>
    </row>
    <row r="15623" spans="5:6">
      <c r="E15623" s="1"/>
      <c r="F15623" s="1"/>
    </row>
    <row r="15624" spans="5:6">
      <c r="E15624" s="1"/>
      <c r="F15624" s="1"/>
    </row>
    <row r="15625" spans="5:6">
      <c r="E15625" s="1"/>
      <c r="F15625" s="1"/>
    </row>
    <row r="15626" spans="5:6">
      <c r="E15626" s="1"/>
      <c r="F15626" s="1"/>
    </row>
    <row r="15627" spans="5:6">
      <c r="E15627" s="1"/>
      <c r="F15627" s="1"/>
    </row>
    <row r="15628" spans="5:6">
      <c r="E15628" s="1"/>
      <c r="F15628" s="1"/>
    </row>
    <row r="15629" spans="5:6">
      <c r="E15629" s="1"/>
      <c r="F15629" s="1"/>
    </row>
    <row r="15630" spans="5:6">
      <c r="E15630" s="1"/>
      <c r="F15630" s="1"/>
    </row>
    <row r="15631" spans="5:6">
      <c r="E15631" s="1"/>
      <c r="F15631" s="1"/>
    </row>
    <row r="15632" spans="5:6">
      <c r="E15632" s="1"/>
      <c r="F15632" s="1"/>
    </row>
    <row r="15633" spans="5:6">
      <c r="E15633" s="1"/>
      <c r="F15633" s="1"/>
    </row>
    <row r="15634" spans="5:6">
      <c r="E15634" s="1"/>
      <c r="F15634" s="1"/>
    </row>
    <row r="15635" spans="5:6">
      <c r="E15635" s="1"/>
      <c r="F15635" s="1"/>
    </row>
    <row r="15636" spans="5:6">
      <c r="E15636" s="1"/>
      <c r="F15636" s="1"/>
    </row>
    <row r="15637" spans="5:6">
      <c r="E15637" s="1"/>
      <c r="F15637" s="1"/>
    </row>
    <row r="15638" spans="5:6">
      <c r="E15638" s="1"/>
      <c r="F15638" s="1"/>
    </row>
    <row r="15639" spans="5:6">
      <c r="E15639" s="1"/>
      <c r="F15639" s="1"/>
    </row>
    <row r="15640" spans="5:6">
      <c r="E15640" s="1"/>
      <c r="F15640" s="1"/>
    </row>
    <row r="15641" spans="5:6">
      <c r="E15641" s="1"/>
      <c r="F15641" s="1"/>
    </row>
    <row r="15642" spans="5:6">
      <c r="E15642" s="1"/>
      <c r="F15642" s="1"/>
    </row>
    <row r="15643" spans="5:6">
      <c r="E15643" s="1"/>
      <c r="F15643" s="1"/>
    </row>
    <row r="15644" spans="5:6">
      <c r="E15644" s="1"/>
      <c r="F15644" s="1"/>
    </row>
    <row r="15645" spans="5:6">
      <c r="E15645" s="1"/>
      <c r="F15645" s="1"/>
    </row>
    <row r="15646" spans="5:6">
      <c r="E15646" s="1"/>
      <c r="F15646" s="1"/>
    </row>
    <row r="15647" spans="5:6">
      <c r="E15647" s="1"/>
      <c r="F15647" s="1"/>
    </row>
    <row r="15648" spans="5:6">
      <c r="E15648" s="1"/>
      <c r="F15648" s="1"/>
    </row>
    <row r="15649" spans="5:6">
      <c r="E15649" s="1"/>
      <c r="F15649" s="1"/>
    </row>
    <row r="15650" spans="5:6">
      <c r="E15650" s="1"/>
      <c r="F15650" s="1"/>
    </row>
    <row r="15651" spans="5:6">
      <c r="E15651" s="1"/>
      <c r="F15651" s="1"/>
    </row>
    <row r="15652" spans="5:6">
      <c r="E15652" s="1"/>
      <c r="F15652" s="1"/>
    </row>
    <row r="15653" spans="5:6">
      <c r="E15653" s="1"/>
      <c r="F15653" s="1"/>
    </row>
    <row r="15654" spans="5:6">
      <c r="E15654" s="1"/>
      <c r="F15654" s="1"/>
    </row>
    <row r="15655" spans="5:6">
      <c r="E15655" s="1"/>
      <c r="F15655" s="1"/>
    </row>
    <row r="15656" spans="5:6">
      <c r="E15656" s="1"/>
      <c r="F15656" s="1"/>
    </row>
    <row r="15657" spans="5:6">
      <c r="E15657" s="1"/>
      <c r="F15657" s="1"/>
    </row>
    <row r="15658" spans="5:6">
      <c r="E15658" s="1"/>
      <c r="F15658" s="1"/>
    </row>
    <row r="15659" spans="5:6">
      <c r="E15659" s="1"/>
      <c r="F15659" s="1"/>
    </row>
    <row r="15660" spans="5:6">
      <c r="E15660" s="1"/>
      <c r="F15660" s="1"/>
    </row>
    <row r="15661" spans="5:6">
      <c r="E15661" s="1"/>
      <c r="F15661" s="1"/>
    </row>
    <row r="15662" spans="5:6">
      <c r="E15662" s="1"/>
      <c r="F15662" s="1"/>
    </row>
    <row r="15663" spans="5:6">
      <c r="E15663" s="1"/>
      <c r="F15663" s="1"/>
    </row>
    <row r="15664" spans="5:6">
      <c r="E15664" s="1"/>
      <c r="F15664" s="1"/>
    </row>
    <row r="15665" spans="5:6">
      <c r="E15665" s="1"/>
      <c r="F15665" s="1"/>
    </row>
    <row r="15666" spans="5:6">
      <c r="E15666" s="1"/>
      <c r="F15666" s="1"/>
    </row>
    <row r="15667" spans="5:6">
      <c r="E15667" s="1"/>
      <c r="F15667" s="1"/>
    </row>
    <row r="15668" spans="5:6">
      <c r="E15668" s="1"/>
      <c r="F15668" s="1"/>
    </row>
    <row r="15669" spans="5:6">
      <c r="E15669" s="1"/>
      <c r="F15669" s="1"/>
    </row>
    <row r="15670" spans="5:6">
      <c r="E15670" s="1"/>
      <c r="F15670" s="1"/>
    </row>
    <row r="15671" spans="5:6">
      <c r="E15671" s="1"/>
      <c r="F15671" s="1"/>
    </row>
    <row r="15672" spans="5:6">
      <c r="E15672" s="1"/>
      <c r="F15672" s="1"/>
    </row>
    <row r="15673" spans="5:6">
      <c r="E15673" s="1"/>
      <c r="F15673" s="1"/>
    </row>
    <row r="15674" spans="5:6">
      <c r="E15674" s="1"/>
      <c r="F15674" s="1"/>
    </row>
    <row r="15675" spans="5:6">
      <c r="E15675" s="1"/>
      <c r="F15675" s="1"/>
    </row>
    <row r="15676" spans="5:6">
      <c r="E15676" s="1"/>
      <c r="F15676" s="1"/>
    </row>
    <row r="15677" spans="5:6">
      <c r="E15677" s="1"/>
      <c r="F15677" s="1"/>
    </row>
    <row r="15678" spans="5:6">
      <c r="E15678" s="1"/>
      <c r="F15678" s="1"/>
    </row>
    <row r="15679" spans="5:6">
      <c r="E15679" s="1"/>
      <c r="F15679" s="1"/>
    </row>
    <row r="15680" spans="5:6">
      <c r="E15680" s="1"/>
      <c r="F15680" s="1"/>
    </row>
    <row r="15681" spans="5:6">
      <c r="E15681" s="1"/>
      <c r="F15681" s="1"/>
    </row>
    <row r="15682" spans="5:6">
      <c r="E15682" s="1"/>
      <c r="F15682" s="1"/>
    </row>
    <row r="15683" spans="5:6">
      <c r="E15683" s="1"/>
      <c r="F15683" s="1"/>
    </row>
    <row r="15684" spans="5:6">
      <c r="E15684" s="1"/>
      <c r="F15684" s="1"/>
    </row>
    <row r="15685" spans="5:6">
      <c r="E15685" s="1"/>
      <c r="F15685" s="1"/>
    </row>
    <row r="15686" spans="5:6">
      <c r="E15686" s="1"/>
      <c r="F15686" s="1"/>
    </row>
    <row r="15687" spans="5:6">
      <c r="E15687" s="1"/>
      <c r="F15687" s="1"/>
    </row>
    <row r="15688" spans="5:6">
      <c r="E15688" s="1"/>
      <c r="F15688" s="1"/>
    </row>
    <row r="15689" spans="5:6">
      <c r="E15689" s="1"/>
      <c r="F15689" s="1"/>
    </row>
    <row r="15690" spans="5:6">
      <c r="E15690" s="1"/>
      <c r="F15690" s="1"/>
    </row>
    <row r="15691" spans="5:6">
      <c r="E15691" s="1"/>
      <c r="F15691" s="1"/>
    </row>
    <row r="15692" spans="5:6">
      <c r="E15692" s="1"/>
      <c r="F15692" s="1"/>
    </row>
    <row r="15693" spans="5:6">
      <c r="E15693" s="1"/>
      <c r="F15693" s="1"/>
    </row>
    <row r="15694" spans="5:6">
      <c r="E15694" s="1"/>
      <c r="F15694" s="1"/>
    </row>
  </sheetData>
  <phoneticPr fontId="8"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73"/>
  <sheetViews>
    <sheetView topLeftCell="B4" workbookViewId="0">
      <selection activeCell="B14" sqref="B14:B22"/>
    </sheetView>
  </sheetViews>
  <sheetFormatPr baseColWidth="10" defaultColWidth="8.83203125" defaultRowHeight="15"/>
  <cols>
    <col min="2" max="2" width="36.5" bestFit="1" customWidth="1"/>
    <col min="3" max="3" width="36.5" customWidth="1"/>
    <col min="4" max="4" width="18" bestFit="1" customWidth="1"/>
    <col min="6" max="6" width="24.1640625" bestFit="1" customWidth="1"/>
  </cols>
  <sheetData>
    <row r="2" spans="2:8">
      <c r="B2" t="s">
        <v>540</v>
      </c>
    </row>
    <row r="4" spans="2:8" ht="32">
      <c r="B4" s="1" t="s">
        <v>135</v>
      </c>
      <c r="C4" s="27" t="s">
        <v>541</v>
      </c>
      <c r="D4" s="1" t="s">
        <v>139</v>
      </c>
      <c r="G4" s="15"/>
    </row>
    <row r="5" spans="2:8" ht="16">
      <c r="B5" s="2" t="s">
        <v>244</v>
      </c>
      <c r="C5" t="s">
        <v>82</v>
      </c>
      <c r="D5" s="8" t="s">
        <v>243</v>
      </c>
      <c r="G5" s="15"/>
      <c r="H5" s="8"/>
    </row>
    <row r="6" spans="2:8" ht="16">
      <c r="B6" s="2" t="s">
        <v>250</v>
      </c>
      <c r="C6" t="s">
        <v>83</v>
      </c>
      <c r="D6" s="8" t="s">
        <v>243</v>
      </c>
      <c r="G6" s="15"/>
      <c r="H6" s="8"/>
    </row>
    <row r="7" spans="2:8" ht="16">
      <c r="B7" t="s">
        <v>256</v>
      </c>
      <c r="C7" t="s">
        <v>98</v>
      </c>
      <c r="D7" s="8" t="s">
        <v>243</v>
      </c>
      <c r="G7" s="15"/>
      <c r="H7" s="8"/>
    </row>
    <row r="8" spans="2:8" ht="16">
      <c r="B8" t="s">
        <v>288</v>
      </c>
      <c r="C8" t="s">
        <v>105</v>
      </c>
      <c r="D8" s="8" t="s">
        <v>243</v>
      </c>
      <c r="G8" s="15"/>
      <c r="H8" s="8"/>
    </row>
    <row r="9" spans="2:8" ht="16">
      <c r="B9" t="s">
        <v>542</v>
      </c>
      <c r="C9" t="s">
        <v>72</v>
      </c>
      <c r="D9" s="8" t="s">
        <v>243</v>
      </c>
      <c r="G9" s="15"/>
      <c r="H9" s="8"/>
    </row>
    <row r="10" spans="2:8" ht="16">
      <c r="B10" t="s">
        <v>543</v>
      </c>
      <c r="C10" t="s">
        <v>104</v>
      </c>
      <c r="D10" s="8" t="s">
        <v>243</v>
      </c>
      <c r="G10" s="15"/>
      <c r="H10" s="8"/>
    </row>
    <row r="11" spans="2:8" ht="16">
      <c r="B11" t="s">
        <v>573</v>
      </c>
      <c r="C11" t="s">
        <v>125</v>
      </c>
      <c r="D11" s="8" t="s">
        <v>243</v>
      </c>
      <c r="G11" s="15"/>
      <c r="H11" s="8"/>
    </row>
    <row r="12" spans="2:8" ht="16">
      <c r="B12" s="2" t="s">
        <v>310</v>
      </c>
      <c r="C12" t="s">
        <v>93</v>
      </c>
      <c r="D12" s="8" t="s">
        <v>309</v>
      </c>
      <c r="G12" s="15"/>
      <c r="H12" s="8"/>
    </row>
    <row r="13" spans="2:8" ht="16">
      <c r="B13" s="2" t="s">
        <v>314</v>
      </c>
      <c r="C13" t="s">
        <v>84</v>
      </c>
      <c r="D13" s="8" t="s">
        <v>309</v>
      </c>
      <c r="G13" s="15"/>
      <c r="H13" s="8"/>
    </row>
    <row r="14" spans="2:8" ht="16">
      <c r="B14" s="2" t="s">
        <v>587</v>
      </c>
      <c r="C14" s="9" t="s">
        <v>578</v>
      </c>
      <c r="D14" s="8" t="s">
        <v>309</v>
      </c>
      <c r="H14" s="8"/>
    </row>
    <row r="15" spans="2:8" ht="16">
      <c r="B15" s="2" t="s">
        <v>588</v>
      </c>
      <c r="C15" s="9" t="s">
        <v>579</v>
      </c>
      <c r="D15" s="8" t="s">
        <v>309</v>
      </c>
      <c r="H15" s="8"/>
    </row>
    <row r="16" spans="2:8" ht="16">
      <c r="B16" s="2" t="s">
        <v>589</v>
      </c>
      <c r="C16" s="9" t="s">
        <v>580</v>
      </c>
      <c r="D16" s="8" t="s">
        <v>309</v>
      </c>
      <c r="H16" s="8"/>
    </row>
    <row r="17" spans="2:8" ht="16">
      <c r="B17" s="2" t="s">
        <v>590</v>
      </c>
      <c r="C17" s="9" t="s">
        <v>581</v>
      </c>
      <c r="D17" s="8" t="s">
        <v>309</v>
      </c>
      <c r="H17" s="8"/>
    </row>
    <row r="18" spans="2:8" ht="16">
      <c r="B18" s="2" t="s">
        <v>591</v>
      </c>
      <c r="C18" s="9" t="s">
        <v>582</v>
      </c>
      <c r="D18" s="8" t="s">
        <v>309</v>
      </c>
      <c r="H18" s="8"/>
    </row>
    <row r="19" spans="2:8" ht="16">
      <c r="B19" s="2" t="s">
        <v>592</v>
      </c>
      <c r="C19" s="9" t="s">
        <v>583</v>
      </c>
      <c r="D19" s="8" t="s">
        <v>309</v>
      </c>
      <c r="H19" s="8"/>
    </row>
    <row r="20" spans="2:8" ht="16">
      <c r="B20" s="2" t="s">
        <v>593</v>
      </c>
      <c r="C20" s="9" t="s">
        <v>584</v>
      </c>
      <c r="D20" s="8" t="s">
        <v>309</v>
      </c>
      <c r="H20" s="8"/>
    </row>
    <row r="21" spans="2:8" ht="16">
      <c r="B21" s="2" t="s">
        <v>594</v>
      </c>
      <c r="C21" s="9" t="s">
        <v>585</v>
      </c>
      <c r="D21" s="8" t="s">
        <v>309</v>
      </c>
      <c r="H21" s="8"/>
    </row>
    <row r="22" spans="2:8" ht="16">
      <c r="B22" s="2" t="s">
        <v>595</v>
      </c>
      <c r="C22" s="9" t="s">
        <v>586</v>
      </c>
      <c r="D22" s="8" t="s">
        <v>309</v>
      </c>
      <c r="H22" s="8"/>
    </row>
    <row r="23" spans="2:8" ht="16">
      <c r="B23" s="2" t="s">
        <v>340</v>
      </c>
      <c r="C23" t="s">
        <v>85</v>
      </c>
      <c r="D23" s="8" t="s">
        <v>339</v>
      </c>
      <c r="H23" s="8"/>
    </row>
    <row r="24" spans="2:8" ht="16">
      <c r="B24" t="s">
        <v>343</v>
      </c>
      <c r="C24" t="s">
        <v>86</v>
      </c>
      <c r="D24" s="8" t="s">
        <v>339</v>
      </c>
      <c r="H24" s="8"/>
    </row>
    <row r="25" spans="2:8" ht="16">
      <c r="B25" t="s">
        <v>345</v>
      </c>
      <c r="C25" t="s">
        <v>124</v>
      </c>
      <c r="D25" s="8" t="s">
        <v>339</v>
      </c>
      <c r="H25" s="8"/>
    </row>
    <row r="26" spans="2:8" ht="16">
      <c r="B26" s="2" t="s">
        <v>348</v>
      </c>
      <c r="C26" t="s">
        <v>96</v>
      </c>
      <c r="D26" s="8" t="s">
        <v>339</v>
      </c>
      <c r="H26" s="8"/>
    </row>
    <row r="27" spans="2:8" ht="16">
      <c r="B27" s="2" t="s">
        <v>350</v>
      </c>
      <c r="C27" t="s">
        <v>106</v>
      </c>
      <c r="D27" s="8" t="s">
        <v>339</v>
      </c>
      <c r="H27" s="8"/>
    </row>
    <row r="28" spans="2:8" ht="16">
      <c r="B28" s="2" t="s">
        <v>352</v>
      </c>
      <c r="C28" t="s">
        <v>97</v>
      </c>
      <c r="D28" s="8" t="s">
        <v>339</v>
      </c>
      <c r="H28" s="8"/>
    </row>
    <row r="29" spans="2:8" ht="16">
      <c r="B29" s="2" t="s">
        <v>354</v>
      </c>
      <c r="C29" t="s">
        <v>99</v>
      </c>
      <c r="D29" s="8" t="s">
        <v>339</v>
      </c>
      <c r="H29" s="8"/>
    </row>
    <row r="30" spans="2:8" ht="16">
      <c r="B30" s="2" t="s">
        <v>357</v>
      </c>
      <c r="C30" t="s">
        <v>102</v>
      </c>
      <c r="D30" s="8" t="s">
        <v>339</v>
      </c>
      <c r="H30" s="8"/>
    </row>
    <row r="31" spans="2:8" ht="16">
      <c r="B31" s="2" t="s">
        <v>359</v>
      </c>
      <c r="C31" t="s">
        <v>101</v>
      </c>
      <c r="D31" s="8" t="s">
        <v>339</v>
      </c>
      <c r="H31" s="8"/>
    </row>
    <row r="32" spans="2:8" ht="16">
      <c r="B32" s="2" t="s">
        <v>361</v>
      </c>
      <c r="C32" t="s">
        <v>103</v>
      </c>
      <c r="D32" s="8" t="s">
        <v>339</v>
      </c>
      <c r="H32" s="8"/>
    </row>
    <row r="33" spans="2:8" ht="16">
      <c r="B33" s="2" t="s">
        <v>363</v>
      </c>
      <c r="C33" t="s">
        <v>100</v>
      </c>
      <c r="D33" s="8" t="s">
        <v>339</v>
      </c>
      <c r="H33" s="8"/>
    </row>
    <row r="34" spans="2:8" ht="16">
      <c r="B34" s="2" t="s">
        <v>365</v>
      </c>
      <c r="C34" s="2" t="s">
        <v>197</v>
      </c>
      <c r="D34" s="8" t="s">
        <v>339</v>
      </c>
      <c r="H34" s="8"/>
    </row>
    <row r="35" spans="2:8" ht="16">
      <c r="B35" s="2" t="s">
        <v>369</v>
      </c>
      <c r="C35" s="2" t="s">
        <v>198</v>
      </c>
      <c r="D35" s="8" t="s">
        <v>339</v>
      </c>
      <c r="H35" s="8"/>
    </row>
    <row r="36" spans="2:8" ht="16">
      <c r="B36" s="2" t="s">
        <v>371</v>
      </c>
      <c r="C36" s="2" t="s">
        <v>199</v>
      </c>
      <c r="D36" s="8" t="s">
        <v>339</v>
      </c>
      <c r="H36" s="8"/>
    </row>
    <row r="37" spans="2:8" ht="16">
      <c r="B37" s="2" t="s">
        <v>374</v>
      </c>
      <c r="C37" t="s">
        <v>95</v>
      </c>
      <c r="D37" s="8" t="s">
        <v>339</v>
      </c>
      <c r="H37" s="8"/>
    </row>
    <row r="38" spans="2:8" ht="16">
      <c r="B38" s="2" t="s">
        <v>385</v>
      </c>
      <c r="C38" t="s">
        <v>90</v>
      </c>
      <c r="D38" s="8" t="s">
        <v>339</v>
      </c>
      <c r="H38" s="8"/>
    </row>
    <row r="39" spans="2:8" ht="16">
      <c r="B39" s="2" t="s">
        <v>388</v>
      </c>
      <c r="C39" t="s">
        <v>92</v>
      </c>
      <c r="D39" s="8" t="s">
        <v>339</v>
      </c>
      <c r="H39" s="8"/>
    </row>
    <row r="40" spans="2:8" ht="16">
      <c r="B40" s="2" t="s">
        <v>378</v>
      </c>
      <c r="C40" s="2" t="s">
        <v>87</v>
      </c>
      <c r="D40" s="8" t="s">
        <v>339</v>
      </c>
      <c r="H40" s="8"/>
    </row>
    <row r="41" spans="2:8" ht="16">
      <c r="B41" s="2" t="s">
        <v>382</v>
      </c>
      <c r="C41" s="2" t="s">
        <v>89</v>
      </c>
      <c r="D41" s="8" t="s">
        <v>339</v>
      </c>
      <c r="H41" s="8"/>
    </row>
    <row r="42" spans="2:8" ht="16">
      <c r="B42" s="2" t="s">
        <v>59</v>
      </c>
      <c r="C42" s="2" t="s">
        <v>59</v>
      </c>
      <c r="D42" s="8" t="s">
        <v>339</v>
      </c>
      <c r="H42" s="8"/>
    </row>
    <row r="43" spans="2:8" ht="16">
      <c r="B43" s="2" t="s">
        <v>451</v>
      </c>
      <c r="C43" s="2" t="s">
        <v>226</v>
      </c>
      <c r="D43" s="8" t="s">
        <v>450</v>
      </c>
      <c r="H43" s="8"/>
    </row>
    <row r="44" spans="2:8" ht="16">
      <c r="B44" s="2" t="s">
        <v>454</v>
      </c>
      <c r="C44" s="2" t="s">
        <v>229</v>
      </c>
      <c r="D44" s="8" t="s">
        <v>450</v>
      </c>
      <c r="H44" s="8"/>
    </row>
    <row r="45" spans="2:8" ht="16">
      <c r="B45" t="s">
        <v>334</v>
      </c>
      <c r="C45" t="s">
        <v>213</v>
      </c>
      <c r="D45" s="8" t="s">
        <v>450</v>
      </c>
      <c r="H45" s="8"/>
    </row>
    <row r="46" spans="2:8" ht="16">
      <c r="B46" s="2" t="s">
        <v>455</v>
      </c>
      <c r="C46" t="s">
        <v>79</v>
      </c>
      <c r="D46" s="8" t="s">
        <v>450</v>
      </c>
      <c r="H46" s="8"/>
    </row>
    <row r="47" spans="2:8" ht="16">
      <c r="B47" s="2" t="s">
        <v>459</v>
      </c>
      <c r="C47" t="s">
        <v>75</v>
      </c>
      <c r="D47" s="8" t="s">
        <v>458</v>
      </c>
      <c r="H47" s="8"/>
    </row>
    <row r="48" spans="2:8" ht="16">
      <c r="B48" s="2" t="s">
        <v>462</v>
      </c>
      <c r="C48" s="2" t="s">
        <v>187</v>
      </c>
      <c r="D48" s="8" t="s">
        <v>458</v>
      </c>
      <c r="H48" s="8"/>
    </row>
    <row r="49" spans="2:8" ht="16">
      <c r="B49" s="2" t="s">
        <v>465</v>
      </c>
      <c r="C49" s="2" t="s">
        <v>188</v>
      </c>
      <c r="D49" s="8" t="s">
        <v>458</v>
      </c>
      <c r="H49" s="8"/>
    </row>
    <row r="50" spans="2:8" ht="16">
      <c r="B50" s="2" t="s">
        <v>468</v>
      </c>
      <c r="C50" s="2" t="s">
        <v>189</v>
      </c>
      <c r="D50" s="8" t="s">
        <v>458</v>
      </c>
      <c r="H50" s="8"/>
    </row>
    <row r="51" spans="2:8" ht="16">
      <c r="B51" s="2" t="s">
        <v>471</v>
      </c>
      <c r="C51" s="2" t="s">
        <v>190</v>
      </c>
      <c r="D51" s="8" t="s">
        <v>458</v>
      </c>
      <c r="H51" s="8"/>
    </row>
    <row r="52" spans="2:8" ht="16">
      <c r="B52" s="2" t="s">
        <v>473</v>
      </c>
      <c r="C52" s="2" t="s">
        <v>191</v>
      </c>
      <c r="D52" s="8" t="s">
        <v>458</v>
      </c>
      <c r="H52" s="8"/>
    </row>
    <row r="53" spans="2:8" ht="16">
      <c r="B53" s="2" t="s">
        <v>475</v>
      </c>
      <c r="C53" s="2" t="s">
        <v>192</v>
      </c>
      <c r="D53" s="8" t="s">
        <v>458</v>
      </c>
      <c r="H53" s="8"/>
    </row>
    <row r="54" spans="2:8" ht="16">
      <c r="B54" s="2" t="s">
        <v>477</v>
      </c>
      <c r="C54" s="2" t="s">
        <v>193</v>
      </c>
      <c r="D54" s="8" t="s">
        <v>458</v>
      </c>
      <c r="H54" s="8"/>
    </row>
    <row r="55" spans="2:8" ht="16">
      <c r="B55" s="2" t="s">
        <v>479</v>
      </c>
      <c r="C55" s="2" t="s">
        <v>194</v>
      </c>
      <c r="D55" s="8" t="s">
        <v>458</v>
      </c>
      <c r="H55" s="8"/>
    </row>
    <row r="56" spans="2:8" ht="16">
      <c r="B56" s="2" t="s">
        <v>481</v>
      </c>
      <c r="C56" s="2" t="s">
        <v>195</v>
      </c>
      <c r="D56" s="8" t="s">
        <v>458</v>
      </c>
      <c r="H56" s="8"/>
    </row>
    <row r="57" spans="2:8" ht="16">
      <c r="B57" s="2" t="s">
        <v>483</v>
      </c>
      <c r="C57" s="2" t="s">
        <v>196</v>
      </c>
      <c r="D57" s="8" t="s">
        <v>458</v>
      </c>
      <c r="H57" s="8"/>
    </row>
    <row r="58" spans="2:8" ht="16">
      <c r="B58" s="2" t="s">
        <v>492</v>
      </c>
      <c r="C58" s="2" t="s">
        <v>544</v>
      </c>
      <c r="D58" s="8" t="s">
        <v>486</v>
      </c>
      <c r="H58" s="8"/>
    </row>
    <row r="59" spans="2:8" ht="16">
      <c r="B59" s="2" t="s">
        <v>487</v>
      </c>
      <c r="C59" s="2" t="s">
        <v>545</v>
      </c>
      <c r="D59" s="8" t="s">
        <v>486</v>
      </c>
      <c r="H59" s="8"/>
    </row>
    <row r="60" spans="2:8" ht="16">
      <c r="B60" s="2" t="s">
        <v>499</v>
      </c>
      <c r="C60" s="2" t="s">
        <v>107</v>
      </c>
      <c r="D60" s="8" t="s">
        <v>498</v>
      </c>
      <c r="H60" s="8"/>
    </row>
    <row r="61" spans="2:8" ht="16">
      <c r="B61" s="2" t="s">
        <v>505</v>
      </c>
      <c r="C61" s="2" t="s">
        <v>109</v>
      </c>
      <c r="D61" s="8" t="s">
        <v>498</v>
      </c>
      <c r="H61" s="8"/>
    </row>
    <row r="62" spans="2:8" ht="16">
      <c r="B62" s="2" t="s">
        <v>506</v>
      </c>
      <c r="C62" s="2" t="s">
        <v>204</v>
      </c>
      <c r="D62" s="8" t="s">
        <v>498</v>
      </c>
      <c r="H62" s="8"/>
    </row>
    <row r="63" spans="2:8" ht="16">
      <c r="B63" s="2" t="s">
        <v>511</v>
      </c>
      <c r="C63" s="2" t="s">
        <v>230</v>
      </c>
      <c r="D63" s="8" t="s">
        <v>498</v>
      </c>
      <c r="H63" s="8"/>
    </row>
    <row r="64" spans="2:8" ht="16">
      <c r="B64" s="2" t="s">
        <v>419</v>
      </c>
      <c r="C64" s="2" t="s">
        <v>212</v>
      </c>
      <c r="D64" s="8" t="s">
        <v>339</v>
      </c>
      <c r="H64" s="8"/>
    </row>
    <row r="65" spans="2:4" ht="16">
      <c r="B65" s="2" t="s">
        <v>390</v>
      </c>
      <c r="C65" s="43" t="s">
        <v>111</v>
      </c>
      <c r="D65" s="8" t="s">
        <v>339</v>
      </c>
    </row>
    <row r="66" spans="2:4" ht="16">
      <c r="B66" s="2" t="s">
        <v>394</v>
      </c>
      <c r="C66" s="43" t="s">
        <v>112</v>
      </c>
      <c r="D66" s="8" t="s">
        <v>339</v>
      </c>
    </row>
    <row r="67" spans="2:4" ht="16">
      <c r="B67" s="2" t="s">
        <v>399</v>
      </c>
      <c r="C67" s="43" t="s">
        <v>114</v>
      </c>
      <c r="D67" s="8" t="s">
        <v>339</v>
      </c>
    </row>
    <row r="68" spans="2:4" ht="16">
      <c r="B68" s="2" t="s">
        <v>401</v>
      </c>
      <c r="C68" s="43" t="s">
        <v>116</v>
      </c>
      <c r="D68" s="8" t="s">
        <v>339</v>
      </c>
    </row>
    <row r="69" spans="2:4" ht="16">
      <c r="B69" s="2" t="s">
        <v>404</v>
      </c>
      <c r="C69" s="43" t="s">
        <v>117</v>
      </c>
      <c r="D69" s="8" t="s">
        <v>339</v>
      </c>
    </row>
    <row r="70" spans="2:4" ht="16">
      <c r="B70" s="2" t="s">
        <v>408</v>
      </c>
      <c r="C70" s="43" t="s">
        <v>119</v>
      </c>
      <c r="D70" s="8" t="s">
        <v>339</v>
      </c>
    </row>
    <row r="71" spans="2:4" ht="16">
      <c r="B71" s="2" t="s">
        <v>411</v>
      </c>
      <c r="C71" s="43" t="s">
        <v>121</v>
      </c>
      <c r="D71" s="8" t="s">
        <v>339</v>
      </c>
    </row>
    <row r="72" spans="2:4" ht="16">
      <c r="B72" s="2" t="s">
        <v>413</v>
      </c>
      <c r="C72" s="43" t="s">
        <v>122</v>
      </c>
      <c r="D72" s="8" t="s">
        <v>339</v>
      </c>
    </row>
    <row r="73" spans="2:4" ht="16">
      <c r="B73" s="2" t="s">
        <v>416</v>
      </c>
      <c r="C73" s="43" t="s">
        <v>123</v>
      </c>
      <c r="D73" s="8" t="s">
        <v>339</v>
      </c>
    </row>
  </sheetData>
  <phoneticPr fontId="1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5C21-80FE-4C32-8EDE-0D7904F10C39}">
  <dimension ref="C2:F26"/>
  <sheetViews>
    <sheetView topLeftCell="A4" workbookViewId="0">
      <selection activeCell="F5" sqref="F5"/>
    </sheetView>
  </sheetViews>
  <sheetFormatPr baseColWidth="10" defaultColWidth="8.83203125" defaultRowHeight="15"/>
  <cols>
    <col min="3" max="3" width="19.83203125" customWidth="1"/>
    <col min="4" max="4" width="13" bestFit="1" customWidth="1"/>
    <col min="5" max="5" width="25.5" bestFit="1" customWidth="1"/>
    <col min="6" max="6" width="95.5" customWidth="1"/>
  </cols>
  <sheetData>
    <row r="2" spans="3:6">
      <c r="C2" s="1" t="s">
        <v>546</v>
      </c>
    </row>
    <row r="4" spans="3:6" ht="131.5" customHeight="1">
      <c r="C4" s="116" t="s">
        <v>547</v>
      </c>
      <c r="D4" s="117"/>
      <c r="E4" s="117"/>
      <c r="F4" s="117"/>
    </row>
    <row r="5" spans="3:6" ht="38" customHeight="1">
      <c r="C5" s="66"/>
      <c r="D5" s="65"/>
      <c r="E5" s="65"/>
      <c r="F5" s="65"/>
    </row>
    <row r="6" spans="3:6" ht="16" thickBot="1">
      <c r="C6" s="2" t="s">
        <v>548</v>
      </c>
    </row>
    <row r="7" spans="3:6" ht="49" thickBot="1">
      <c r="C7" s="57" t="s">
        <v>135</v>
      </c>
      <c r="D7" s="58" t="s">
        <v>549</v>
      </c>
      <c r="E7" s="58" t="s">
        <v>6</v>
      </c>
      <c r="F7" s="58" t="s">
        <v>550</v>
      </c>
    </row>
    <row r="8" spans="3:6" ht="17" thickBot="1">
      <c r="C8" s="59" t="s">
        <v>551</v>
      </c>
      <c r="D8" s="60">
        <v>0.85</v>
      </c>
      <c r="E8" s="113" t="s">
        <v>552</v>
      </c>
      <c r="F8" s="113" t="s">
        <v>553</v>
      </c>
    </row>
    <row r="9" spans="3:6" ht="17" thickBot="1">
      <c r="C9" s="59" t="s">
        <v>554</v>
      </c>
      <c r="D9" s="60">
        <v>0.85</v>
      </c>
      <c r="E9" s="114"/>
      <c r="F9" s="114"/>
    </row>
    <row r="10" spans="3:6" ht="17" thickBot="1">
      <c r="C10" s="59" t="s">
        <v>555</v>
      </c>
      <c r="D10" s="60">
        <v>0.45</v>
      </c>
      <c r="E10" s="113" t="s">
        <v>556</v>
      </c>
      <c r="F10" s="113" t="s">
        <v>557</v>
      </c>
    </row>
    <row r="11" spans="3:6" ht="17" thickBot="1">
      <c r="C11" s="59" t="s">
        <v>558</v>
      </c>
      <c r="D11" s="60">
        <v>0.4</v>
      </c>
      <c r="E11" s="114"/>
      <c r="F11" s="115"/>
    </row>
    <row r="12" spans="3:6">
      <c r="C12" s="113" t="s">
        <v>559</v>
      </c>
      <c r="D12" s="113">
        <v>0.4</v>
      </c>
      <c r="E12" s="113" t="s">
        <v>560</v>
      </c>
      <c r="F12" s="115"/>
    </row>
    <row r="13" spans="3:6" ht="16" thickBot="1">
      <c r="C13" s="114"/>
      <c r="D13" s="114"/>
      <c r="E13" s="115"/>
      <c r="F13" s="115"/>
    </row>
    <row r="14" spans="3:6" ht="17" thickBot="1">
      <c r="C14" s="59" t="s">
        <v>561</v>
      </c>
      <c r="D14" s="60">
        <v>0.4</v>
      </c>
      <c r="E14" s="114"/>
      <c r="F14" s="114"/>
    </row>
    <row r="15" spans="3:6" ht="17" thickBot="1">
      <c r="C15" s="59" t="s">
        <v>562</v>
      </c>
      <c r="D15" s="60">
        <v>0.52500000000000002</v>
      </c>
      <c r="E15" s="113" t="s">
        <v>563</v>
      </c>
      <c r="F15" s="113" t="s">
        <v>564</v>
      </c>
    </row>
    <row r="16" spans="3:6" ht="17" thickBot="1">
      <c r="C16" s="59" t="s">
        <v>565</v>
      </c>
      <c r="D16" s="60">
        <v>0.52500000000000002</v>
      </c>
      <c r="E16" s="114"/>
      <c r="F16" s="115"/>
    </row>
    <row r="17" spans="3:6" ht="33" thickBot="1">
      <c r="C17" s="59" t="s">
        <v>566</v>
      </c>
      <c r="D17" s="60">
        <v>0.8</v>
      </c>
      <c r="E17" s="60" t="s">
        <v>567</v>
      </c>
      <c r="F17" s="114"/>
    </row>
    <row r="18" spans="3:6">
      <c r="C18" s="61"/>
    </row>
    <row r="19" spans="3:6">
      <c r="C19" s="63" t="s">
        <v>568</v>
      </c>
    </row>
    <row r="20" spans="3:6">
      <c r="C20" s="64" t="s">
        <v>569</v>
      </c>
    </row>
    <row r="21" spans="3:6">
      <c r="C21" s="61"/>
    </row>
    <row r="22" spans="3:6">
      <c r="C22" s="62"/>
    </row>
    <row r="23" spans="3:6">
      <c r="C23" s="61"/>
    </row>
    <row r="24" spans="3:6">
      <c r="C24" s="62"/>
    </row>
    <row r="25" spans="3:6">
      <c r="C25" s="62"/>
    </row>
    <row r="26" spans="3:6">
      <c r="C26" s="61"/>
    </row>
  </sheetData>
  <mergeCells count="10">
    <mergeCell ref="E15:E16"/>
    <mergeCell ref="F15:F17"/>
    <mergeCell ref="C4:F4"/>
    <mergeCell ref="E8:E9"/>
    <mergeCell ref="F8:F9"/>
    <mergeCell ref="E10:E11"/>
    <mergeCell ref="F10:F14"/>
    <mergeCell ref="C12:C13"/>
    <mergeCell ref="D12:D13"/>
    <mergeCell ref="E12:E14"/>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Readme</vt:lpstr>
      <vt:lpstr>all_city_parameter_inputs</vt:lpstr>
      <vt:lpstr>All_city_list</vt:lpstr>
      <vt:lpstr>all_global_parameter_inputs</vt:lpstr>
      <vt:lpstr>All_global_list</vt:lpstr>
      <vt:lpstr>Default</vt:lpstr>
      <vt:lpstr>Further_input_files</vt:lpstr>
      <vt:lpstr>Grouped_Sources</vt:lpstr>
      <vt:lpstr>Lookup</vt:lpstr>
      <vt:lpstr>Safety in Numbers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Schroeder</dc:creator>
  <cp:keywords/>
  <dc:description/>
  <cp:lastModifiedBy>Chenxi(Erika) Lu</cp:lastModifiedBy>
  <cp:revision/>
  <dcterms:created xsi:type="dcterms:W3CDTF">2021-09-23T14:34:16Z</dcterms:created>
  <dcterms:modified xsi:type="dcterms:W3CDTF">2024-12-14T16:30:51Z</dcterms:modified>
  <cp:category/>
  <cp:contentStatus/>
</cp:coreProperties>
</file>