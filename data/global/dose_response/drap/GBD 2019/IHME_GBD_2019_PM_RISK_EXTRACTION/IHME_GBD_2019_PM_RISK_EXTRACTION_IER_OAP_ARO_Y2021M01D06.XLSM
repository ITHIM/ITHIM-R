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kcausey\AppData\Local\Temp\BvSshSftp\Bv0034e8\Bv003530\"/>
    </mc:Choice>
  </mc:AlternateContent>
  <bookViews>
    <workbookView xWindow="0" yWindow="0" windowWidth="18480" windowHeight="5190"/>
  </bookViews>
  <sheets>
    <sheet name="extraction" sheetId="1" r:id="rId1"/>
  </sheets>
  <externalReferences>
    <externalReference r:id="rId2"/>
  </externalReferences>
  <definedNames>
    <definedName name="_xlnm._FilterDatabase" localSheetId="0" hidden="1">extraction!$A$1:$BS$88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88" i="1" l="1"/>
  <c r="BK87" i="1"/>
  <c r="J87" i="1"/>
  <c r="K79" i="1"/>
  <c r="J79" i="1"/>
  <c r="K78" i="1"/>
  <c r="J78" i="1"/>
  <c r="BH77" i="1"/>
  <c r="K77" i="1"/>
  <c r="J77" i="1"/>
  <c r="X76" i="1"/>
  <c r="W76" i="1"/>
  <c r="K76" i="1"/>
  <c r="J76" i="1"/>
  <c r="X75" i="1"/>
  <c r="W75" i="1"/>
  <c r="K75" i="1"/>
  <c r="J75" i="1"/>
  <c r="K74" i="1"/>
  <c r="J74" i="1"/>
  <c r="K73" i="1"/>
  <c r="J73" i="1"/>
  <c r="K72" i="1"/>
  <c r="J72" i="1"/>
  <c r="K71" i="1"/>
  <c r="J71" i="1"/>
  <c r="K70" i="1"/>
  <c r="J70" i="1"/>
  <c r="K69" i="1"/>
  <c r="J69" i="1"/>
  <c r="K68" i="1"/>
  <c r="J68" i="1"/>
  <c r="K67" i="1"/>
  <c r="J67" i="1"/>
  <c r="K61" i="1"/>
  <c r="J61" i="1"/>
  <c r="K60" i="1"/>
  <c r="J60" i="1"/>
  <c r="K59" i="1"/>
  <c r="J59" i="1"/>
  <c r="BK58" i="1"/>
  <c r="AK58" i="1"/>
  <c r="K58" i="1"/>
  <c r="J58" i="1"/>
  <c r="BK57" i="1"/>
  <c r="K57" i="1"/>
  <c r="J57" i="1"/>
  <c r="K56" i="1"/>
  <c r="J56" i="1"/>
  <c r="K55" i="1"/>
  <c r="J55" i="1"/>
  <c r="K54" i="1"/>
  <c r="J54" i="1"/>
  <c r="X53" i="1"/>
  <c r="K53" i="1"/>
  <c r="J53" i="1"/>
  <c r="AL52" i="1"/>
  <c r="X52" i="1"/>
  <c r="W52" i="1"/>
  <c r="K52" i="1"/>
  <c r="J52" i="1"/>
  <c r="AL51" i="1"/>
  <c r="X51" i="1"/>
  <c r="W51" i="1"/>
  <c r="K51" i="1"/>
  <c r="J51" i="1"/>
  <c r="AL50" i="1"/>
  <c r="X50" i="1"/>
  <c r="W50" i="1"/>
  <c r="K50" i="1"/>
  <c r="J50" i="1"/>
  <c r="K49" i="1"/>
  <c r="J49" i="1"/>
  <c r="K48" i="1"/>
  <c r="J48" i="1"/>
  <c r="K47" i="1"/>
  <c r="J47" i="1"/>
  <c r="K46" i="1"/>
  <c r="J46" i="1"/>
  <c r="K45" i="1"/>
  <c r="J45" i="1"/>
  <c r="K44" i="1"/>
  <c r="J44" i="1"/>
  <c r="K43" i="1"/>
  <c r="J43" i="1"/>
  <c r="K42" i="1"/>
  <c r="J42" i="1"/>
  <c r="K41" i="1"/>
  <c r="J41" i="1"/>
  <c r="K40" i="1"/>
  <c r="J40" i="1"/>
  <c r="X36" i="1"/>
  <c r="W36" i="1"/>
  <c r="K36" i="1"/>
  <c r="J36" i="1"/>
  <c r="X35" i="1"/>
  <c r="W35" i="1"/>
  <c r="K35" i="1"/>
  <c r="J35" i="1"/>
  <c r="X34" i="1"/>
  <c r="W34" i="1"/>
  <c r="K34" i="1"/>
  <c r="J34" i="1"/>
  <c r="K33" i="1"/>
  <c r="J33" i="1"/>
  <c r="K32" i="1"/>
  <c r="J32" i="1"/>
  <c r="K31" i="1"/>
  <c r="J31" i="1"/>
  <c r="BK30" i="1"/>
  <c r="K30" i="1"/>
  <c r="J30" i="1"/>
  <c r="BK29" i="1"/>
  <c r="K29" i="1"/>
  <c r="J29" i="1"/>
  <c r="BK28" i="1"/>
  <c r="AK28" i="1"/>
  <c r="K28" i="1"/>
  <c r="J28" i="1"/>
  <c r="BK27" i="1"/>
  <c r="K27" i="1"/>
  <c r="J27" i="1"/>
  <c r="K26" i="1"/>
  <c r="J26" i="1"/>
  <c r="K25" i="1"/>
  <c r="J25" i="1"/>
  <c r="K24" i="1"/>
  <c r="J24" i="1"/>
  <c r="K23" i="1"/>
  <c r="J23" i="1"/>
  <c r="K22" i="1"/>
  <c r="J22" i="1"/>
  <c r="X21" i="1"/>
  <c r="K21" i="1"/>
  <c r="J21" i="1"/>
  <c r="BK20" i="1"/>
  <c r="K20" i="1"/>
  <c r="J20" i="1"/>
  <c r="BK19" i="1"/>
  <c r="K19" i="1"/>
  <c r="J19" i="1"/>
  <c r="K18" i="1"/>
  <c r="J18" i="1"/>
  <c r="K17" i="1"/>
  <c r="J17" i="1"/>
  <c r="K16" i="1"/>
  <c r="J16" i="1"/>
  <c r="K11" i="1"/>
  <c r="J11" i="1"/>
  <c r="K10" i="1"/>
  <c r="J10" i="1"/>
  <c r="K9" i="1"/>
  <c r="J9" i="1"/>
  <c r="K8" i="1"/>
  <c r="J8" i="1"/>
  <c r="K7" i="1"/>
  <c r="J7" i="1"/>
  <c r="K6" i="1"/>
  <c r="J6" i="1"/>
  <c r="K5" i="1"/>
  <c r="J5" i="1"/>
  <c r="K4" i="1"/>
  <c r="J4" i="1"/>
  <c r="K3" i="1"/>
  <c r="J66" i="1"/>
  <c r="K14" i="1"/>
  <c r="J3" i="1"/>
  <c r="J64" i="1"/>
  <c r="K81" i="1"/>
  <c r="J65" i="1"/>
  <c r="K39" i="1"/>
  <c r="J14" i="1"/>
  <c r="K62" i="1"/>
  <c r="K38" i="1"/>
  <c r="K66" i="1"/>
  <c r="J15" i="1"/>
  <c r="K37" i="1"/>
  <c r="K86" i="1"/>
  <c r="K12" i="1"/>
  <c r="K80" i="1"/>
  <c r="K65" i="1"/>
  <c r="K64" i="1"/>
  <c r="K13" i="1"/>
  <c r="K63" i="1"/>
  <c r="K15" i="1"/>
  <c r="K85" i="1"/>
</calcChain>
</file>

<file path=xl/comments1.xml><?xml version="1.0" encoding="utf-8"?>
<comments xmlns="http://schemas.openxmlformats.org/spreadsheetml/2006/main">
  <authors>
    <author>R Ghosh</author>
  </authors>
  <commentList>
    <comment ref="D21" authorId="0" shapeId="0">
      <text>
        <r>
          <rPr>
            <b/>
            <sz val="10"/>
            <color rgb="FF000000"/>
            <rFont val="Tahoma"/>
            <family val="2"/>
          </rPr>
          <t>R Ghosh:</t>
        </r>
        <r>
          <rPr>
            <sz val="10"/>
            <color rgb="FF000000"/>
            <rFont val="Tahoma"/>
            <family val="2"/>
          </rPr>
          <t xml:space="preserve">
</t>
        </r>
        <r>
          <rPr>
            <sz val="10"/>
            <color rgb="FF000000"/>
            <rFont val="Tahoma"/>
            <family val="2"/>
          </rPr>
          <t>Should exclude. Single pollutant (OS tableS-6)  is protective but multipollutant shows significant negative association (table 4)</t>
        </r>
      </text>
    </comment>
    <comment ref="BL21" authorId="0" shapeId="0">
      <text>
        <r>
          <rPr>
            <b/>
            <sz val="10"/>
            <color rgb="FF000000"/>
            <rFont val="Tahoma"/>
            <family val="2"/>
          </rPr>
          <t>R Ghosh:</t>
        </r>
        <r>
          <rPr>
            <sz val="10"/>
            <color rgb="FF000000"/>
            <rFont val="Tahoma"/>
            <family val="2"/>
          </rPr>
          <t xml:space="preserve">
</t>
        </r>
        <r>
          <rPr>
            <sz val="10"/>
            <color rgb="FF000000"/>
            <rFont val="Tahoma"/>
            <family val="2"/>
          </rPr>
          <t>Should exclude. Single pollutant (OS tableS-6)  is protective but multipollutant shows significant negative association (table 4)</t>
        </r>
      </text>
    </comment>
    <comment ref="BL40" authorId="0" shapeId="0">
      <text>
        <r>
          <rPr>
            <b/>
            <sz val="10"/>
            <color rgb="FF000000"/>
            <rFont val="Tahoma"/>
            <family val="2"/>
          </rPr>
          <t>R Ghosh:</t>
        </r>
        <r>
          <rPr>
            <sz val="10"/>
            <color rgb="FF000000"/>
            <rFont val="Tahoma"/>
            <family val="2"/>
          </rPr>
          <t xml:space="preserve">
</t>
        </r>
        <r>
          <rPr>
            <sz val="10"/>
            <color rgb="FF000000"/>
            <rFont val="Tahoma"/>
            <family val="2"/>
          </rPr>
          <t xml:space="preserve">Successive pregnancies
</t>
        </r>
        <r>
          <rPr>
            <sz val="10"/>
            <color rgb="FF000000"/>
            <rFont val="Tahoma"/>
            <family val="2"/>
          </rPr>
          <t>Perth study no assoc.</t>
        </r>
      </text>
    </comment>
    <comment ref="BL41" authorId="0" shapeId="0">
      <text>
        <r>
          <rPr>
            <b/>
            <sz val="10"/>
            <color rgb="FF000000"/>
            <rFont val="Tahoma"/>
            <family val="2"/>
          </rPr>
          <t>R Ghosh:</t>
        </r>
        <r>
          <rPr>
            <sz val="10"/>
            <color rgb="FF000000"/>
            <rFont val="Tahoma"/>
            <family val="2"/>
          </rPr>
          <t xml:space="preserve">
</t>
        </r>
        <r>
          <rPr>
            <sz val="10"/>
            <color rgb="FF000000"/>
            <rFont val="Tahoma"/>
            <family val="2"/>
          </rPr>
          <t xml:space="preserve">Successive pregnancies.
</t>
        </r>
        <r>
          <rPr>
            <sz val="10"/>
            <color rgb="FF000000"/>
            <rFont val="Tahoma"/>
            <family val="2"/>
          </rPr>
          <t xml:space="preserve">Connecticut study +ve assoc.
</t>
        </r>
      </text>
    </comment>
    <comment ref="BL57" authorId="0" shapeId="0">
      <text>
        <r>
          <rPr>
            <b/>
            <sz val="10"/>
            <color rgb="FF000000"/>
            <rFont val="Tahoma"/>
            <family val="2"/>
          </rPr>
          <t>R Ghosh:</t>
        </r>
        <r>
          <rPr>
            <sz val="10"/>
            <color rgb="FF000000"/>
            <rFont val="Tahoma"/>
            <family val="2"/>
          </rPr>
          <t xml:space="preserve">
</t>
        </r>
        <r>
          <rPr>
            <sz val="10"/>
            <color rgb="FF000000"/>
            <rFont val="Tahoma"/>
            <family val="2"/>
          </rPr>
          <t>Discrepancy. Main text says PM2.5 in ug/m3, table S3 says ppm.</t>
        </r>
      </text>
    </comment>
    <comment ref="BL58" authorId="0" shapeId="0">
      <text>
        <r>
          <rPr>
            <b/>
            <sz val="10"/>
            <color rgb="FF000000"/>
            <rFont val="Tahoma"/>
            <family val="2"/>
          </rPr>
          <t>R Ghosh:</t>
        </r>
        <r>
          <rPr>
            <sz val="10"/>
            <color rgb="FF000000"/>
            <rFont val="Tahoma"/>
            <family val="2"/>
          </rPr>
          <t xml:space="preserve">
</t>
        </r>
        <r>
          <rPr>
            <sz val="10"/>
            <color rgb="FF000000"/>
            <rFont val="Tahoma"/>
            <family val="2"/>
          </rPr>
          <t>Discrepancy. Main text says PM2.5 in ug/m3, table S3 says ppm.</t>
        </r>
      </text>
    </comment>
    <comment ref="BL78" authorId="0" shapeId="0">
      <text>
        <r>
          <rPr>
            <b/>
            <sz val="10"/>
            <color rgb="FF000000"/>
            <rFont val="Tahoma"/>
            <family val="2"/>
          </rPr>
          <t>R Ghosh:</t>
        </r>
        <r>
          <rPr>
            <sz val="10"/>
            <color rgb="FF000000"/>
            <rFont val="Tahoma"/>
            <family val="2"/>
          </rPr>
          <t xml:space="preserve">
</t>
        </r>
        <r>
          <rPr>
            <sz val="10"/>
            <color rgb="FF000000"/>
            <rFont val="Tahoma"/>
            <family val="2"/>
          </rPr>
          <t>A difficult study to understand. Table 2 and 3 is not very clear.</t>
        </r>
      </text>
    </comment>
  </commentList>
</comments>
</file>

<file path=xl/sharedStrings.xml><?xml version="1.0" encoding="utf-8"?>
<sst xmlns="http://schemas.openxmlformats.org/spreadsheetml/2006/main" count="1724" uniqueCount="564">
  <si>
    <t>underlying_nid</t>
  </si>
  <si>
    <t>nid</t>
  </si>
  <si>
    <t>underlying_field_citation_value</t>
  </si>
  <si>
    <t>field_citation_value</t>
  </si>
  <si>
    <t>file_path</t>
  </si>
  <si>
    <t>page_num</t>
  </si>
  <si>
    <t>table_num</t>
  </si>
  <si>
    <t>source_type</t>
  </si>
  <si>
    <t>location_name</t>
  </si>
  <si>
    <t>location_id</t>
  </si>
  <si>
    <t>ihme_loc_id</t>
  </si>
  <si>
    <t>smaller_site_unit</t>
  </si>
  <si>
    <t>site_memo</t>
  </si>
  <si>
    <t>study</t>
  </si>
  <si>
    <t>ier_source</t>
  </si>
  <si>
    <t>ier_cause</t>
  </si>
  <si>
    <t>use_ier_cont</t>
  </si>
  <si>
    <t>use_ier_RR</t>
  </si>
  <si>
    <t>ier_cause_measure</t>
  </si>
  <si>
    <t>case_definition</t>
  </si>
  <si>
    <t>bw_min</t>
  </si>
  <si>
    <t>bw_max</t>
  </si>
  <si>
    <t>ga_min</t>
  </si>
  <si>
    <t>ga_max</t>
  </si>
  <si>
    <t>case_cutpoint</t>
  </si>
  <si>
    <t>sex</t>
  </si>
  <si>
    <t>year_start</t>
  </si>
  <si>
    <t>year_end</t>
  </si>
  <si>
    <t>age_start</t>
  </si>
  <si>
    <t>age_end</t>
  </si>
  <si>
    <t>age_mean</t>
  </si>
  <si>
    <t>measure</t>
  </si>
  <si>
    <t>mean</t>
  </si>
  <si>
    <t>lower</t>
  </si>
  <si>
    <t>upper</t>
  </si>
  <si>
    <t>standard_error</t>
  </si>
  <si>
    <t>cases</t>
  </si>
  <si>
    <t>sample_size</t>
  </si>
  <si>
    <t>uncertainty_type_value</t>
  </si>
  <si>
    <t>cv_subpopulation</t>
  </si>
  <si>
    <t>cv_exposure_population</t>
  </si>
  <si>
    <t>notes_exposure</t>
  </si>
  <si>
    <t>cv_exposure_selfreport</t>
  </si>
  <si>
    <t>cv_exposure_study</t>
  </si>
  <si>
    <t>cv_outcome_selfreport</t>
  </si>
  <si>
    <t>cv_outcome_unblinded</t>
  </si>
  <si>
    <t>cv_reverse_causation</t>
  </si>
  <si>
    <t>cv_confounding_nonrandom</t>
  </si>
  <si>
    <t>cv_counfounding uncontroled</t>
  </si>
  <si>
    <t>notes_confounders</t>
  </si>
  <si>
    <t>cv_selection_bias</t>
  </si>
  <si>
    <t>notes_followup</t>
  </si>
  <si>
    <t>oap_conc_increment</t>
  </si>
  <si>
    <t>oap_conc_min</t>
  </si>
  <si>
    <t>oap_conc_5</t>
  </si>
  <si>
    <t>oap_conc_95</t>
  </si>
  <si>
    <t>oap_conc_max</t>
  </si>
  <si>
    <t>oap_conc_mean</t>
  </si>
  <si>
    <t>oap_conc_sd</t>
  </si>
  <si>
    <t>oap_conc_median</t>
  </si>
  <si>
    <t>oap_conc_iqr</t>
  </si>
  <si>
    <t>note_modeler</t>
  </si>
  <si>
    <t>custom_analysis</t>
  </si>
  <si>
    <t>new_gbd2019</t>
  </si>
  <si>
    <t>note_SR</t>
  </si>
  <si>
    <t>extractor</t>
  </si>
  <si>
    <t>is_outlier</t>
  </si>
  <si>
    <t>outlier_notes</t>
  </si>
  <si>
    <t>Always talk to a data indexer before using this field.  Used for meta-analyses, certain database source, and in some other specific cases this is required</t>
  </si>
  <si>
    <t>Found in GHDx, created through the epi form by researchers or D(E)As, or created by Data Services Specialist or Data Indexer</t>
  </si>
  <si>
    <t>GHDx suggested citation</t>
  </si>
  <si>
    <t>IHME Zotero format or if source has NID, citation info from GHDx. Field is required; it is needed for creating NIDs and checking extractions before upload. Place holder for pubmed_id for NID creation later</t>
  </si>
  <si>
    <t xml:space="preserve">optional; full file path of article. Only needed if source doesn't have NID, to facilitate NID creation. </t>
  </si>
  <si>
    <t xml:space="preserve">page number from literature, or survey question; If available, use page number(s) of article, not page # of .pdf
</t>
  </si>
  <si>
    <t>table/figure number from literature, or survey question. For figures, put F before figure number. Can also enter text.</t>
  </si>
  <si>
    <t>identifies the underlying mode of data collection; see Epi template documentation (link on Guidelines and Processes page) for explanations of the options.</t>
  </si>
  <si>
    <t>location name from locations tab. Double-click in field &amp; start typing location name to get drop-down list of locations.  You can also use the 'locations' tab at bottom of spreadsheet - this can be helpful to filter by country or if a location name has special characters in it.</t>
  </si>
  <si>
    <t>autopopulated from location_name, If a study is done in multiple locations but not an entire gbd location (ex: CT and MA), AND it publishes odds ratios or relative risks, enter loc_ids as a comma separated list for prep ARO code to pull birthweight/GA distributions</t>
  </si>
  <si>
    <t>autopopulated from location_name; combines ISO3 with location_id to ensure correct location_name is being used</t>
  </si>
  <si>
    <t>1 = if data are collected in a location more granular than the assigned location_id=1; 0 = data were not collected in a location more granular than the assigned location_id</t>
  </si>
  <si>
    <t xml:space="preserve">When possible use the following format: Kigoyera (Village)|Kigoyera (Parish)|Mwenge (County)|Kanarole (District)|Uganda (Country); open-text site field; Please include facility names (hospitals, clinics, etc) and street addresses if provided, GPS coordinates, etc.  Comprehensive detail is important here. </t>
  </si>
  <si>
    <t>Give the cohort name or a unique name that helps to identify the study. If the study is not identified, use last name, publication year, and location. ex: "Gray, 2010, NC" OR "Gehring, 2011, Dutch PIAMA"</t>
  </si>
  <si>
    <t>HAP, SHS, OAP, or AS</t>
  </si>
  <si>
    <t>t2dm, cvd_stroke, cvd_ihd, resp_copd, lri, bw, ga, neo_lung</t>
  </si>
  <si>
    <t>use beta if available, OR if not</t>
  </si>
  <si>
    <t>Can only use OR/RR with standard cutpoint</t>
  </si>
  <si>
    <t>incidence or mortality</t>
  </si>
  <si>
    <t xml:space="preserve">text directly from article; case definition as it appears in source.
</t>
  </si>
  <si>
    <t>restrictions on the sample population (g)</t>
  </si>
  <si>
    <t>restrictions on the sample population (weeks)</t>
  </si>
  <si>
    <t>for categorical GA and BW, what is the cutoff point?</t>
  </si>
  <si>
    <t>sex identifier; Male, Female, Both</t>
  </si>
  <si>
    <t>format YYYY.  For articles that don't specify year or length of data collection the default is pub year - 3 = year_start.  If length of data collection is specified use year_end minus the time period of data collection  year_start   (see HUB documentation page)</t>
  </si>
  <si>
    <t xml:space="preserve">format YYYY.  For articles that don't specify year or length of data collection the default is pub year - 1 = year_end.  </t>
  </si>
  <si>
    <t>ages from 1 and above must be entered as an integer.  Ages &lt;1 year old can be entered as decimal values, e.g., 3 days = 3/365.</t>
  </si>
  <si>
    <t>at enrollment median or mean age</t>
  </si>
  <si>
    <t>OR, RR, beta</t>
  </si>
  <si>
    <t xml:space="preserve">mean value.  See online documentation for more detail.  For prevalence, if cases &amp; sample_size are provided, then don't extract 'mean' - the uploader will calculate with greater precision.  For other measures, this may not be true; see online documentation for more details.  Be sure to convert to 'per 1', e.g., 87% is entered as .87. Convert so that reference is unexposed. </t>
  </si>
  <si>
    <t>lower bound of the confidence interval; be sure to convert these to 'per 1' if reported as a percent</t>
  </si>
  <si>
    <t>upper bound of the confidence interval; be sure to convert these to 'per 1'  if reported as a percent</t>
  </si>
  <si>
    <t>standard error of the mean (not standard deviation). See online documentation.</t>
  </si>
  <si>
    <t>previously numerator.  If 'cases' is reported, it must be extracted.</t>
  </si>
  <si>
    <t>previously denominator.  If 'sample_size' is reported, it must be extracted.</t>
  </si>
  <si>
    <t>only required if article provides upper &amp; lower confidence intervals; column represents the confidence level which is reported at (e.g., 95, 90, 99)</t>
  </si>
  <si>
    <t>0 if generalizable--general population with reasonable exclusions, 1 analysis in subgroup such as high_risk group</t>
  </si>
  <si>
    <t>0 for individual (postal code or &lt;/= 1 km radius) and 1 for population level exposure</t>
  </si>
  <si>
    <t>0 for measured exposure and 1 for self report</t>
  </si>
  <si>
    <t>0 for exposure measured multiple times (time component in model) and 1 for only at baseline</t>
  </si>
  <si>
    <t>0 outcome based on death certificate or medical record and 1 if self-report</t>
  </si>
  <si>
    <t>0 if assessment of outcome is blind to exposure or vise versa and 1 if unblinded</t>
  </si>
  <si>
    <t>0 no risk of reverse causation and 1 if there is a risk</t>
  </si>
  <si>
    <t>0 for randomized study and 1 for non randomized</t>
  </si>
  <si>
    <t>Note which confounders are controlled for</t>
  </si>
  <si>
    <t xml:space="preserve">0 for greater than 95% follow-up, 1 for follow up of 85-95%, and 2 for less than 85% follow up.  Case-control studies should be scored based on the percentages of cases and controls for which exposure data could be ascertained. </t>
  </si>
  <si>
    <t>what percentage followup</t>
  </si>
  <si>
    <t>effect size reported for what unit</t>
  </si>
  <si>
    <t>measures of population PM2.5 exposure distribution</t>
  </si>
  <si>
    <t>Notes made by modeler (before or after initial upload)</t>
  </si>
  <si>
    <t>was this a custom analysis done within IHME or sent by PI</t>
  </si>
  <si>
    <t>new study or cohort for GBD2019</t>
  </si>
  <si>
    <t>Notes related to extraction (used by extractor).  See HUB documentation page for examples of notes that should be included, but others things can be included as well.</t>
  </si>
  <si>
    <t>uwnet id of person who extracted the data</t>
  </si>
  <si>
    <t>0 = not outliered; 1 = outlier; will be 0 for all rows after initial upload</t>
  </si>
  <si>
    <t>Jedrychowski W, Bendkowska I, Flak E, Penar A, Jacek R, Kaim I, Spengler JD, Camann D, Perera FP. Estimated risk for altered fetal growth resulting from exposure to fine particles during pregnancy: an epidemiologic prospective cohort study in Poland. Environ Health Perspect. 2004; 112(14): 1398-402.</t>
  </si>
  <si>
    <t>J:\DATA\JOURNAL_ARTICLES\ENVIRON_HEALTH_PERSPECT\2004</t>
  </si>
  <si>
    <t>Prospective cohort</t>
  </si>
  <si>
    <t>Poland|POL</t>
  </si>
  <si>
    <t>Krakow (City)|Poland (Country)</t>
  </si>
  <si>
    <t>Jedrychowski, 2004, Poland</t>
  </si>
  <si>
    <t>OAP</t>
  </si>
  <si>
    <t>bw</t>
  </si>
  <si>
    <t>incidence</t>
  </si>
  <si>
    <t>change in birthweight (g)</t>
  </si>
  <si>
    <t>Both</t>
  </si>
  <si>
    <t>beta</t>
  </si>
  <si>
    <t>GA, sex, educ, gravida, mat height, season, ETS, prepregnancy wt</t>
  </si>
  <si>
    <t>log 1 unit</t>
  </si>
  <si>
    <t>2004_Jedrychowski</t>
  </si>
  <si>
    <t>concern because modeling is done in log space. Rakesh may have way to handle this</t>
  </si>
  <si>
    <t>kcausey</t>
  </si>
  <si>
    <t>including 2009 instead</t>
  </si>
  <si>
    <r>
      <t>Jedrychowski W, Perera F, Mrozek-Budzyn D, Mroz E, Flak E, Spengler JD, Edwards S, Jacek R, Kaim I, Skolicki Z. Gender differences in fetal growth of newborns exposed prenatally to airborne fine particulate matter. </t>
    </r>
    <r>
      <rPr>
        <i/>
        <sz val="6"/>
        <color rgb="FF454545"/>
        <rFont val="Verdana"/>
        <family val="2"/>
      </rPr>
      <t>Environ Res</t>
    </r>
    <r>
      <rPr>
        <sz val="6"/>
        <color rgb="FF454545"/>
        <rFont val="Verdana"/>
        <family val="2"/>
      </rPr>
      <t>. 2009; 109(4): 447-56.</t>
    </r>
  </si>
  <si>
    <t>J:\DATA\JOURNAL_ARTICLES\ENVIRON_RES\2009</t>
  </si>
  <si>
    <t>Małopolskie|POL_53665</t>
  </si>
  <si>
    <t>Jedrychowski, 2009, Poland</t>
  </si>
  <si>
    <t>personal monitoring, 1 48 hr period</t>
  </si>
  <si>
    <t>GA, maternal education, sex, parity, season of birth, maternal height and weight, prenatal ETS</t>
  </si>
  <si>
    <t>2009_Jedry</t>
  </si>
  <si>
    <t>Parker JD, Woodruff TJ, Basu R, Schoendorf KC. Air Pollution and Birth Weight Among Term Infants in California. Pediatrics. 2005; 115(1): 121–8.</t>
  </si>
  <si>
    <t>J:\DATA\JOURNAL_ARTICLES\PEDIATRICS\2005</t>
  </si>
  <si>
    <t>Retrospective cohort</t>
  </si>
  <si>
    <t>California|USA_527</t>
  </si>
  <si>
    <t>Parker, 2005, CA</t>
  </si>
  <si>
    <t>monitor (&lt; 5 miles), daily</t>
  </si>
  <si>
    <t>Mat race, educ, marital status, mat age, parity and season of delivery, CO exposure</t>
  </si>
  <si>
    <t>2005_Parker</t>
  </si>
  <si>
    <t>re-extracted estimate that was adjusted</t>
  </si>
  <si>
    <t>Bell ML, Ebisu K, Belanger K. Ambient Air Pollution and Low Birth Weight in Connecticut and Massachusetts. Environ Health Perspect. 2007; 115(7): 1118–24.</t>
  </si>
  <si>
    <t>J:\DATA\JOURNAL_ARTICLES\ENVIRON_HEALTH_PERSPECT\2007</t>
  </si>
  <si>
    <t>United States|USA</t>
  </si>
  <si>
    <t>CT and MA, USA</t>
  </si>
  <si>
    <t>Bell, 2007, CT &amp; MA</t>
  </si>
  <si>
    <t>monitor (county), daily</t>
  </si>
  <si>
    <t>GA, marital status, tobacco use preg, alcohol use preg, education, mat age, race, sex, type of delivery, time when prenatal care began, birth order, year of birth.</t>
  </si>
  <si>
    <t>2007_Bell</t>
  </si>
  <si>
    <t xml:space="preserve">odds of low birthweight </t>
  </si>
  <si>
    <t>OR</t>
  </si>
  <si>
    <t>Brauer M, Lencar C, Tamburic L, Koehoorn M, Demers P, Karr C. A cohort study of traffic-related air pollution impacts on birth outcomes. Environ Health Perspect. 2008; 116(5): 680-6.</t>
  </si>
  <si>
    <t>J:\DATA\JOURNAL_ARTICLES\ENVIRON_HEALTH_PERSPECT\2008</t>
  </si>
  <si>
    <t>Canada|CAN</t>
  </si>
  <si>
    <t>Greater Vancouver metropolitan region, CA</t>
  </si>
  <si>
    <t>Brauer, 2008, Vancouver</t>
  </si>
  <si>
    <t xml:space="preserve">odds of term low birthweight </t>
  </si>
  <si>
    <t>LUR postal codes, daily</t>
  </si>
  <si>
    <t>infant sex, first nations status, parity, maternal age, maternal smoking, month-year of birth, income, maternal education</t>
  </si>
  <si>
    <t>2008_Brauer</t>
  </si>
  <si>
    <t>multiple exposure models</t>
  </si>
  <si>
    <t>ga</t>
  </si>
  <si>
    <t>odds of preterm birth</t>
  </si>
  <si>
    <t>Added row: reported multiple GA cutpoints</t>
  </si>
  <si>
    <t>Bell ML, Belanger K, Ebisu K, Gent JF, Lee HJ, Koutrakis P, Leaderer BP. Prenatal Exposure to Fine Particulate Matter and Birth Weight: Variations by Particulate Constituents and Sources. Epidemiology. 2010; 21(6): 884–91.</t>
  </si>
  <si>
    <t>J:\DATA\JOURNAL_ARTICLES\EPIDEMIOLOGY\2010</t>
  </si>
  <si>
    <t>529,524</t>
  </si>
  <si>
    <t>3 counties CT, 1 MA, USA</t>
  </si>
  <si>
    <t>Bell, 2010, CT &amp; MA</t>
  </si>
  <si>
    <t>GA, mat age, race, and educ, sex, parity, nature of delivery, prenatal care, year of birth, tobacco and alcohol use during pregnancy, temperature.</t>
  </si>
  <si>
    <t>2010_Bell</t>
  </si>
  <si>
    <t>risk of small-at-term birth</t>
  </si>
  <si>
    <t>RR</t>
  </si>
  <si>
    <t>Adding row for RR. Adjusted from % increase in risk to RR</t>
  </si>
  <si>
    <t>Gray SC, Edwards SE, Miranda ML. Assessing exposure metrics for PM and birth weight models. J Expo Sci Environ Epidemiol. 2010; 20(5): 469–77.</t>
  </si>
  <si>
    <t>J:\DATA\JOURNAL_ARTICLES\J_EXPO_SCI_ENVIRON_EPIDEMIOL\2010</t>
  </si>
  <si>
    <t>North Carolina|USA_556</t>
  </si>
  <si>
    <t>Gray, 2010, NC</t>
  </si>
  <si>
    <t>GA, sex, educ, mat age, firstborn, mat tobacco use, mat race, trmester of prenatal care</t>
  </si>
  <si>
    <t>2010_Gray</t>
  </si>
  <si>
    <t>using 2011_gray instead</t>
  </si>
  <si>
    <t>Gray SC, Gelfand AE, Miranda ML. Hierarchical spatial modeling of uncertainty in air pollution and birth weight study. Stat Med. 2011; 30(17): 2187-98.</t>
  </si>
  <si>
    <t>J:\DATA\JOURNAL_ARTICLES\STAT_MED\2011</t>
  </si>
  <si>
    <t>Gray, 2011, NC</t>
  </si>
  <si>
    <t>monitor, nearest, daily</t>
  </si>
  <si>
    <t>GA, sex, educ, mat age, marital status, firstborn, mat tobacco use, mat race, trmester of prenatal care, year of birth</t>
  </si>
  <si>
    <t>2011_Gray</t>
  </si>
  <si>
    <t>Morello-Frosch R, Jesdale BM, Sadd JL, Pastor M. Ambient air pollution exposure and full-term birth weight in California. Environmental Health [Internet]. 2010; 9(1).</t>
  </si>
  <si>
    <t>J:\DATA\JOURNAL_ARTICLES\ENVIRON_HEALTH\2010</t>
  </si>
  <si>
    <t>Morello-Frosch, 2010, CA</t>
  </si>
  <si>
    <t>monitor (10 km), weekly</t>
  </si>
  <si>
    <t>GA, sex, season and year of birth, parity, mat race/ethnicity, educ, status, access to prenatal care, birth place, age and neighborhood SES</t>
  </si>
  <si>
    <t>2010_Morello-Frosch</t>
  </si>
  <si>
    <t>odds of low birth weight (&lt;2500 g)</t>
  </si>
  <si>
    <t>Darrow LA, Klein M, Strickland MJ, Mulholland JA, Tolbert PE. Ambient Air Pollution and Birth Weight in Full-Term Infants in Atlanta, 1994–2004. Environ Health Perspect. 2011; 119(5): 731–7.</t>
  </si>
  <si>
    <t>J:\DATA\JOURNAL_ARTICLES\ENVIRON_HEALTH_PERSPECT\2011</t>
  </si>
  <si>
    <t>F1</t>
  </si>
  <si>
    <t>Georgia|USA_533</t>
  </si>
  <si>
    <t>5 counties of ATL metro area (Clayton, Cobb, DeKalb, Fulton, Gwinnett)| Georgia (State)|USA (Country)</t>
  </si>
  <si>
    <t>Darrow, 2011, ATL</t>
  </si>
  <si>
    <t>change in term birthweight (g)</t>
  </si>
  <si>
    <t>monitor, city average, daily</t>
  </si>
  <si>
    <t>GA, sex, mat marital status, educ, age, race/ethn, tobacco use, parity, long-term trends and seasonal trends.</t>
  </si>
  <si>
    <t>2011_Darrow</t>
  </si>
  <si>
    <t>Concentration represents 3rd trimester exposure, but whole pregnancy (analysis) exposure unavailable, choosing to assume they are close enough</t>
  </si>
  <si>
    <t>Gehring U, Wijga AH, Fischer P, de Jongste JC, Kerkhof M, Koppelman GH, Smit HA, Brunekreef B. Traffic-related air pollution, preterm birth and term birth weight in the PIAMA birth cohort study. Environ Res. 2011; 111(1): 125–35.</t>
  </si>
  <si>
    <t>J:\DATA\JOURNAL_ARTICLES\ENVIRON_RES\2011</t>
  </si>
  <si>
    <t>Netherlands|NLD</t>
  </si>
  <si>
    <t>communities in the N, W, and Centre of The Netherlands</t>
  </si>
  <si>
    <t>Gehring, 2011, Dutch PIAMA</t>
  </si>
  <si>
    <t>LUR, home address, daily using temporal adjustment</t>
  </si>
  <si>
    <t>GA, sex, mat age, pre-preg BMI, smok during preg, older siblings, educ, nationality and study region</t>
  </si>
  <si>
    <t>2011_Gehring</t>
  </si>
  <si>
    <t>sex, mat age, pre-preg BMI, smok during preg, older siblings, educ, nationality and study region</t>
  </si>
  <si>
    <t>Wilhelm M, Ghosh JK, Su J, Cockburn M, Jerrett M, Ritz B. Traffic-related air toxics and preterm birth: a population-based case-control study in Los Angeles County, California. Environ Health. 2011; 10: 89.</t>
  </si>
  <si>
    <t>J:\DATA\JOURNAL_ARTICLES\ENVIRON_HEALTH\2011</t>
  </si>
  <si>
    <t>S7</t>
  </si>
  <si>
    <t>S6</t>
  </si>
  <si>
    <t>LA county|California (State)|USA (Country)</t>
  </si>
  <si>
    <t>Wilhelm, 2011, CA</t>
  </si>
  <si>
    <t>nearest monitor (5 mi) monthly average</t>
  </si>
  <si>
    <t>maternal age, race/ethnicity, education, parity</t>
  </si>
  <si>
    <t>2011_Wilhelm</t>
  </si>
  <si>
    <t>chose single pollutant model from supplement despite it being opposite direction</t>
  </si>
  <si>
    <t>Geer LA, Weedon J, Bell ML. Ambient air pollution and term birth weight in Texas from 1998 to 2004. J Air Waste Manag Assoc. 2012; 62(11): 1285–95.</t>
  </si>
  <si>
    <t>J:\DATA\JOURNAL_ARTICLES\J_AIR_WASTE_MANAG_ASSOC\2012</t>
  </si>
  <si>
    <t>Texas|USA_566</t>
  </si>
  <si>
    <t>40 of 254 TX counties: Bexar, Bowie, Brazoria,
Brewster, Caldwell, Cameron, Cass, Collin, Dallas, Denton, Ector, Ellis, El Paso, Galveston,
Gregg, Harris, Harrison, Hays, Hidalgo, Hood, Hunt, Jeff Davis, Jefferson, Johnson,
Kaufman, Kleberg, Lubbock, McLennan, Marion, Montgomery, Nueces, Orange, Parker,
Potter, Rockwall, Smith, Tarrant, Travis, Victoria, and Webb</t>
  </si>
  <si>
    <t>Geer, 2012, Texas</t>
  </si>
  <si>
    <t>monitor (county), weekly</t>
  </si>
  <si>
    <t xml:space="preserve">GA, sex, mat age, race/eth, educ, marital status, trimester prenatal care began, birth order, tob use, alcohol use, region, year of birth, temp, wind speed,  </t>
  </si>
  <si>
    <t>2012_Geer</t>
  </si>
  <si>
    <t>Laurent O, Wu J, Li L, Chung J, Bartell S. Investigating the association between birth weight and complementary air pollution metrics: a cohort study. Environmental Health [Internet]. 2013; 12(1).</t>
  </si>
  <si>
    <t>J:\DATA\JOURNAL_ARTICLES\ENVIRON_HEALTH\2013</t>
  </si>
  <si>
    <t>LA &amp; Org County, CA, USA</t>
  </si>
  <si>
    <t>Laurent, 2013, CA</t>
  </si>
  <si>
    <t>monitor, nearest, monthly averages</t>
  </si>
  <si>
    <t>GA, sex, mat age, race/eth, poverty, insurance and parity</t>
  </si>
  <si>
    <t>2013_Laurent</t>
  </si>
  <si>
    <t>Multiple exposure methods</t>
  </si>
  <si>
    <t>odds of term low birthweight</t>
  </si>
  <si>
    <t>Basu R, Harris M, Sie L, Malig B, Broadwin R, Green R. Effects of fine particulate matter and its constituents on low birth weight among full-term infants in California. Environ Res. 2014; 128: 42–51.</t>
  </si>
  <si>
    <t>J:\DATA\JOURNAL_ARTICLES\ENVIRON_RES\2014</t>
  </si>
  <si>
    <t>8 CA counties, within 20 km of monitor, California (State)|USA (Country)</t>
  </si>
  <si>
    <t>Basu, 2014, CA</t>
  </si>
  <si>
    <t>monitor (20km), weekly</t>
  </si>
  <si>
    <t>GA, sex, mat age, educ, race/eth, GA, month_year of birth, region, temperature; neighborhood SES (ZCTA-homeownership, employment)</t>
  </si>
  <si>
    <t>2014_Basu</t>
  </si>
  <si>
    <t>Gehring U, Tamburic L, Sbihi H, Davies HW, Brauer M. Impact of Noise and Air Pollution on Pregnancy Outcomes:. Epidemiology. 2014; 25(3): 351–8.</t>
  </si>
  <si>
    <t>J:\DATA\JOURNAL_ARTICLES\EPIDEMIOLOGY\2014</t>
  </si>
  <si>
    <t>Greater vancouver metropolitan region|British Columbia (Province)|Canada (Country)</t>
  </si>
  <si>
    <t>Gehring, 2014, Vancouver</t>
  </si>
  <si>
    <t>GA, sex, parity, First Nations status, mat age, smoking during pregnancy, education, income, year and month of birth;</t>
  </si>
  <si>
    <t>2014_Gehring</t>
  </si>
  <si>
    <t>moderately preterm birth</t>
  </si>
  <si>
    <t>sex, parity, First Nations status, mat age, smoking during pregnancy, education, income, year and month of birth;</t>
  </si>
  <si>
    <t>using 2008_Brauer</t>
  </si>
  <si>
    <t>very preterm birth</t>
  </si>
  <si>
    <t>e7</t>
  </si>
  <si>
    <t>odds of term low birth weight</t>
  </si>
  <si>
    <t>Gray SC, Edwards SE, Schultz BD, Miranda ML. Assessing the impact of race, social factors and air pollution on birth outcomes: a population-based study. Environmental Health [Internet]. 2014; 13(1).</t>
  </si>
  <si>
    <t>J:\DATA\JOURNAL_ARTICLES\ENVIRONMENTAL_HEALTH_INTERNET\2014</t>
  </si>
  <si>
    <t>Gray, 2014, NC</t>
  </si>
  <si>
    <t>Bayesian fusion model, daily, census tract</t>
  </si>
  <si>
    <t>GA, sex, mat age, educ, race/eth, trimester prenatal care, tobacco use during preg, marital status, year of birth and parity, individual and area SES</t>
  </si>
  <si>
    <t>2014_Gray</t>
  </si>
  <si>
    <t>odds of low birth weight</t>
  </si>
  <si>
    <t>J:\DATA\JOURNAL_ARTICLES\ENVIRON_HEALTH\2014</t>
  </si>
  <si>
    <t>Ha S, Hu H, Roussos-Ross D, Haidong K, Roth J, Xu X. The effects of air pollution on adverse birth outcomes. Environ Res. 2014; 134: 198-204.</t>
  </si>
  <si>
    <t>Florida|USA_532</t>
  </si>
  <si>
    <t>Ha, 2014, FL</t>
  </si>
  <si>
    <t>Bayesian, 12x12 km daily</t>
  </si>
  <si>
    <t>maternal education, ethnicity, marital status, age, infant gender, prenatal care status, season of conception, alcohol, smoking, census tract income, urbanicity, presence or absence of maternal risk factor, infection, PTD status, co-morbidity</t>
  </si>
  <si>
    <t>2014_Ha</t>
  </si>
  <si>
    <t>odds of preterm delivery</t>
  </si>
  <si>
    <t>maternal education, ethnicity, marital status, age, infant gender, prenatal care status, alcohol, smoking, census group income, urbanicity, maternal risk factor, lbwstatus, comorbitiy</t>
  </si>
  <si>
    <t>odds of very preterm delivery</t>
  </si>
  <si>
    <t>Added row for very preterm</t>
  </si>
  <si>
    <t>Hyder A, Lee HJ, Ebisu K, Koutrakis P, Belanger K, Bell ML. PM2.5 Exposure and Birth Outcomes: Use of Satellite- and Monitor-Based Data. Epidemiology. 2014; 25(1): 58–67.</t>
  </si>
  <si>
    <t>Hyder, 2014, CT &amp; MA</t>
  </si>
  <si>
    <t>monitor (satellite (2)), daily</t>
  </si>
  <si>
    <t>GA, sex, mat age, marital status, educ, race/ethn, prenatal care, smoking, type of birth, parity, season of conception, medical risk factors, medical risk caused by previous ptb/sga</t>
  </si>
  <si>
    <t>2014_Hyder</t>
  </si>
  <si>
    <t>Pereira G, Bell ML, Belanger K, de Klerk N. Fine particulate matter and risk of preterm birth and pre-labor rupture of membranes in Perth, Western Australia 1997-2007: a longitudinal study. Environ Int. 2014; 73: 143-9.</t>
  </si>
  <si>
    <t>J:\DATA\JOURNAL_ARTICLES\ENVIRON_INT\2014</t>
  </si>
  <si>
    <t>Australia|AUS</t>
  </si>
  <si>
    <t>Perth, Western Australia</t>
  </si>
  <si>
    <t>Pereira, 2014, Perth</t>
  </si>
  <si>
    <t>monitor (40 km)</t>
  </si>
  <si>
    <t>parity, maternal age, smoking, socio-econmic disadvantage, temporal patterns</t>
  </si>
  <si>
    <t>2014_Pereira</t>
  </si>
  <si>
    <t>compares pregnancy to previous pregnancy in a given mother</t>
  </si>
  <si>
    <t>Pereira G, Belanger K, Ebisu K, Bell ML. Fine particulate matter and risk of preterm birth in Connecticut in 2000-2006: a longitudinal study. Am J Epidemiol. 2014; 179(1): 67-74.</t>
  </si>
  <si>
    <t>J:\DATA\JOURNAL_ARTICLES\AM_J_EPIDEMIOL\2014</t>
  </si>
  <si>
    <t>Connecticut|USA_529</t>
  </si>
  <si>
    <t>Pereira, 2014, CT</t>
  </si>
  <si>
    <t>Odds of preterm birth</t>
  </si>
  <si>
    <t>monitor (40 km), weekly</t>
  </si>
  <si>
    <t>parity, maternal age, smoking</t>
  </si>
  <si>
    <t>compares pregnancy to previous pregnancy in a given mother.</t>
  </si>
  <si>
    <t>Savitz DA, Bobb JF, Carr JL, Clougherty JE, Dominici F, Elston B, Ito K, Ross Z, Yee M, Matte TD. Ambient Fine Particulate Matter, Nitrogen Dioxide, and Term Birth Weight in New York, New York. Am J Epidemiol. 2014; 179(4): 457–66.</t>
  </si>
  <si>
    <t>S1</t>
  </si>
  <si>
    <t>New York|USA_555</t>
  </si>
  <si>
    <t>New York (City)|New York (State)|USA (Country)</t>
  </si>
  <si>
    <t>Savitz, 2014, NY</t>
  </si>
  <si>
    <t>spatio-temporal (300 m) weekly</t>
  </si>
  <si>
    <t>GA, mat age, race/ethnicity, educ, parity, Medicaid status, neighborhood SES, yearof birth and temperature (in non smokers)</t>
  </si>
  <si>
    <t>2014_Savitz</t>
  </si>
  <si>
    <t>Ebisu K, Berman JD, Bell ML. Exposure to coarse particulate matter during gestation and birth weight in the U.S. Environ Int. 2016; 94: 519–24.</t>
  </si>
  <si>
    <t>J:\DATA\JOURNAL_ARTICLES\ENVIRON_INT\2016</t>
  </si>
  <si>
    <t>Contiguous USA</t>
  </si>
  <si>
    <t>Ebisu, 2016, USA</t>
  </si>
  <si>
    <t>monitor (35 km), weekly levels</t>
  </si>
  <si>
    <t>GA, sex, mat age, race, educ, marital status, birth order, trimester when prenatal care began, alcohol and/or tobacco use during pregnancy, birth year, season, state and neighborhood SES</t>
  </si>
  <si>
    <t>2016_Ebisu</t>
  </si>
  <si>
    <t>Hao H, Chang HH, Holmes HA, Mulholland JA, Klein M, Darrow LA, Strickland MJ. Air Pollution and Preterm Birth in the U.S. State of Georgia (2002-2006): Associations with Concentrations of 11 Ambient Air Pollutants Estimated by Combining Community Multiscale Air Quality Model (CMAQ) Simulations with Stationary Monitor Measurements. Environ Health Perspect. 2016; 124(6): 875-80.</t>
  </si>
  <si>
    <t>J:\DATA\JOURNAL_ARTICLES\ENVIRON_HEALTH_PERSPECT\2016</t>
  </si>
  <si>
    <t>S8</t>
  </si>
  <si>
    <t>S2</t>
  </si>
  <si>
    <t>Hao, 2016, GA</t>
  </si>
  <si>
    <t xml:space="preserve">odds of preterm birth </t>
  </si>
  <si>
    <t>model (CMAQ), 12x12 km, daily</t>
  </si>
  <si>
    <t>maternal education, race, smoking, long term trend</t>
  </si>
  <si>
    <t>2016_Hao</t>
  </si>
  <si>
    <t>Hao Y, Strosnider H, Balluz L, Qualters JR. Geographic Variation in the Association between Ambient Fine Particulate Matter (PM2.5) and Term Low Birth Weight in the United States. Environ Health Perspect. 2016; 124(2): 250-5.</t>
  </si>
  <si>
    <t>Hao, 2016, USA</t>
  </si>
  <si>
    <t>model (CMAQ), county level daily estimates</t>
  </si>
  <si>
    <t>2016_Kumar</t>
  </si>
  <si>
    <t>J:\temp\kcausey\NID_pdfs\LBW_papers\2012_Kumar_Uncertainty AP_LBW_Br Wt.pdf</t>
  </si>
  <si>
    <t>Illinois|USA_536</t>
  </si>
  <si>
    <t>Chicago MSA includes Cook, DuPage, Kane, Lake, McHenry, and Will counties|Illinois (State)|USA (Country)</t>
  </si>
  <si>
    <t>change in term bw (g)</t>
  </si>
  <si>
    <t>Mat age, educ, marital status, neighborhood SES, mat smoking</t>
  </si>
  <si>
    <t>replaced with 2012_Kumar</t>
  </si>
  <si>
    <t>odds of term lbw</t>
  </si>
  <si>
    <t>Kumar N. Uncertainty in the relationship between criteria pollutants and low birth weight in Chicago. Atmos Environ. 2012; 49: 171–9.</t>
  </si>
  <si>
    <t>J:\DATA\JOURNAL_ARTICLES\ATMOS_ENVIRON\2012</t>
  </si>
  <si>
    <t>Chicago MSA|Illinois (State)|USA (Country)</t>
  </si>
  <si>
    <t>Kumar, 2012, Chicago</t>
  </si>
  <si>
    <t>medical risk, race, smoking, kessner index, marital status, age, maternal education, alcohol, census tract public assistance %, geography</t>
  </si>
  <si>
    <t>2012_Kumar</t>
  </si>
  <si>
    <t>Laurent O, Hu J, Li L, Kleeman MJ, Bartell SM, Cockburn M, Escobedo L, Wu J. A Statewide Nested Case-Control Study of Preterm Birth and Air Pollution by Source and Composition: California, 2001-2008. Environ Health Perspect. 2016; 124(9): 1479-86.</t>
  </si>
  <si>
    <t>Case control</t>
  </si>
  <si>
    <t>Laurent, 2016, CA</t>
  </si>
  <si>
    <t>bayesian model 200 x 200 m, monthly averages</t>
  </si>
  <si>
    <t>race/ethnicity, education, maternal age, median household income</t>
  </si>
  <si>
    <t>422431/442314 cases had PM2.5 data = 95.5</t>
  </si>
  <si>
    <t>2016_Laurent</t>
  </si>
  <si>
    <t>used modeled estimates, multiple exposures available. Found exposure distribution in Appendix of HEI report 188: https://www.healtheffects.org/publication/adverse-reproductive-health-outcomes-and-exposure-gaseous-and-particulate-matter-air</t>
  </si>
  <si>
    <t>odds of moderately preterm birth</t>
  </si>
  <si>
    <t>added rows for multiple GA cutpoints. used modeled estimates, multiple exposures available. Found exposure distribution in Appendix of HEI report 188: https://www.healtheffects.org/publication/adverse-reproductive-health-outcomes-and-exposure-gaseous-and-particulate-matter-air</t>
  </si>
  <si>
    <t>odds of very preterm birth</t>
  </si>
  <si>
    <t>Laurent O, Hu J, Li L, Kleeman MJ, Bartell SM, Cockburn M, Escobedo L, Wu J. Low birth weight and air pollution in California: Which sources and components drive the risk?. Environ Int. 2016; 92-93: 471-7.</t>
  </si>
  <si>
    <t>Case-cohort</t>
  </si>
  <si>
    <t>hospital, race/ethnicity, education level, maternal age, census block household income</t>
  </si>
  <si>
    <t>68887/72632 cases had PM2.5 = 94.8</t>
  </si>
  <si>
    <t>Lavigne E, Yasseen AS 3rd, Stieb DM, Hystad P, van Donkelaar A, Martin RV, Brook JR, Crouse DL, Burnett RT, Chen H, Weichenthal S, Johnson M, Villeneuve PJ, Walker M. Ambient air pollution and adverse birth outcomes: Differences by maternal comorbidities. Environ Res. 2016; 148: 457-466.</t>
  </si>
  <si>
    <t>J:\DATA\JOURNAL_ARTICLES\ENVIRON_RES\2016</t>
  </si>
  <si>
    <t>S5</t>
  </si>
  <si>
    <t>Ontario (Province)|Canada (Country)</t>
  </si>
  <si>
    <t>Lavigne, 2016, Canada</t>
  </si>
  <si>
    <t xml:space="preserve">satellite model, 6-digit postal code, 1x1 km, 3 year average </t>
  </si>
  <si>
    <t>Mat age, cig smoking during preg, sex, parity, previous CS, urban/rural resid, month- year of birth,  census dissemination area median family income, census dissemination area minority,  census dissemination area adult female % who completed post secondary educ.</t>
  </si>
  <si>
    <t>not reported</t>
  </si>
  <si>
    <t>2016_Lavigne</t>
  </si>
  <si>
    <t>Qian Z, Liang S, Yang S, Trevathan E, Huang Z, Yang R, Wang J, Hu K, Zhang Y, Vaughn M, Shen L, Liu W, Li P, Ward P, Yang L, Zhang W, Chen W, Dong G, Zheng T, Xu S, Zhang B. Ambient air pollution and preterm birth: A prospective birth cohort study in Wuhan, China. Int J Hyg Environ Health. 2016; 219(2): 195-203.</t>
  </si>
  <si>
    <t>J:\DATA\JOURNAL_ARTICLES\INT_J_HYG_ENVIRON_HEALTH\2016</t>
  </si>
  <si>
    <t>Hubei|CHN_503</t>
  </si>
  <si>
    <t>7 inner-city districts of Wuhan (city)|Hubei (Province)|China (Country)</t>
  </si>
  <si>
    <t>Qian, 2016, China</t>
  </si>
  <si>
    <t>monitor, nearest, daily averages</t>
  </si>
  <si>
    <t>Mat age, educ, mat occupation, gravidity, parity, sex, season of conception, and temperature at conception.</t>
  </si>
  <si>
    <t>2016_Qian</t>
  </si>
  <si>
    <t>Benmarhnia T, Huang J, Basu R, Wu J, Bruckner TA. Decomposition Analysis of Black-White Disparities in Birth Outcomes: The Relative Contribution of Air Pollution and Social Factors in California. Environ Health Perspect. 2017; 125(10): 107003.</t>
  </si>
  <si>
    <t>J:\DATA\JOURNAL_ARTICLES\ENVIRON_HEALTH_PERSPECT\2017</t>
  </si>
  <si>
    <t>S3</t>
  </si>
  <si>
    <t>Benmarhnia, 2017, CA</t>
  </si>
  <si>
    <t>monitor, zipcode, avverage over entire study period</t>
  </si>
  <si>
    <t>Mat age, race/ethn, educ, Medicaid enrollee, neighborhood level - unemployment, poverty, minority, educ attainment</t>
  </si>
  <si>
    <t>2017_Benmarhnia</t>
  </si>
  <si>
    <t>S9</t>
  </si>
  <si>
    <t>S4</t>
  </si>
  <si>
    <t>Added row for very preterm birth</t>
  </si>
  <si>
    <t>Clemens T, Turner S, Dibben C. Maternal exposure to ambient air pollution and fetal growth in North-East Scotland: A population-based study using routine ultrasound scans. Environ Int. 2017; 107: 216–26.</t>
  </si>
  <si>
    <t>J:\DATA\JOURNAL_ARTICLES\ENVIRON_INT\2017</t>
  </si>
  <si>
    <t>F2</t>
  </si>
  <si>
    <t>Scotland|GBR_434</t>
  </si>
  <si>
    <t>Aberdeen maternity hospital which serves NE scotalnd and Aberdeen City</t>
  </si>
  <si>
    <t>Clemens, 2017, Scotland</t>
  </si>
  <si>
    <t>model, average annual 1 km x 1 km, postcode of residence</t>
  </si>
  <si>
    <t>Sex, mat age, ht, wt in early pregnancy, parity, smoking, SES, year of USG</t>
  </si>
  <si>
    <t>2017_Clemens</t>
  </si>
  <si>
    <t>NO adjustment for gestational age, re-extracted using web plot digitizer</t>
  </si>
  <si>
    <t>Smith RB, Fecht D, Gulliver J, Beevers SD, Dajnak D, Blangiardo M, Ghosh RE, Hansell AL, Kelly FJ, Anderson HR, Toledano MB. Impact of London's road traffic air and noise pollution on birth weight: retrospective population based cohort study. BMJ. 2017; 359: j5299.</t>
  </si>
  <si>
    <t>J:\DATA\JOURNAL_ARTICLES\BMJ\2017</t>
  </si>
  <si>
    <t>Greater London|GBR_4624</t>
  </si>
  <si>
    <t>Greater London and surrounding counties up to the M25
motorway (2317 km2), UK</t>
  </si>
  <si>
    <t>Smith, 2017, Greater London</t>
  </si>
  <si>
    <t>dispersion model, 20 m x 20 m, monthly averages</t>
  </si>
  <si>
    <t>GA (linear and quadritic) Sex, mat age, ethn, birth registration type, birth season, birth year, Carstairs quintile (SES), tobacco expenditure (census output area level), random intercept for middle layer super output areas and noise</t>
  </si>
  <si>
    <t>540365/671509=80.5</t>
  </si>
  <si>
    <t>2017_Smith</t>
  </si>
  <si>
    <t>term birth weight (g)</t>
  </si>
  <si>
    <t>Added row for cont. birthweight found in Supplementary Table 7</t>
  </si>
  <si>
    <t>Balakrishnan K, Ghosh S, Thangavel G, Sambandam S, Mukhopadhyay K, Puttaswamy N, Sadasivam A, Ramaswamy P, Johnson P, Kuppuswamy R, Natesan D, Maheshwari U, Natarajan A, Rajendran G, Ramasami R, Madhav S, Manivannan S, Nargunanadan S, Natarajan S, Saidam S, Chakraborty M, Balakrishnan L, Thanasekaraan V. Exposures to fine particulate matter (PM2.5) and birthweight in a rural-urban, mother-child cohort in Tamil Nadu, India. Environ Res. 2018; 161: 524–31.</t>
  </si>
  <si>
    <t>J:\DATA\JOURNAL_ARTICLES\ENVIRON_RES\2018</t>
  </si>
  <si>
    <t>Tamil Nadu|IND_4870</t>
  </si>
  <si>
    <t>43901,43937</t>
  </si>
  <si>
    <t>11 primary health care centers i.e. PHCs (serving ~110 villages in Thiruvallur and Kancheepuram districts of Tamil Nadu) and 17 urban health posts i.e. UHPs (serving the ten municipal zones of Chennai, the capital city of Tamil Nadu) were randomly selected to recruit pregnant women from rural and urban areas</t>
  </si>
  <si>
    <t>Balakrishnan, 2018, India</t>
  </si>
  <si>
    <t>3 24 hr measurements in kitchen</t>
  </si>
  <si>
    <t>2018_Balakrishnan</t>
  </si>
  <si>
    <t>used weighted mean of rural and urban to determine mean PM2.5 exposure and pooled standard deviation, finds very different effect sizes for term births versus preterm births. Results here are from all birhts.</t>
  </si>
  <si>
    <t>odds of low birthweight</t>
  </si>
  <si>
    <t>2009_Wu</t>
  </si>
  <si>
    <t>J:\temp\kcausey\NID_pdfs\Preterm_papers\2009_Wu_Traffic_Preeclampsia_4 Birth outcomes.pdf</t>
  </si>
  <si>
    <t>Mat age, race/ethn, parity, prenatal care insurance type, poverty, and season of conception, pyelonephritis</t>
  </si>
  <si>
    <t>looks only at traffic-related PM2.5</t>
  </si>
  <si>
    <t>odds of moderately preterm delivery</t>
  </si>
  <si>
    <t>Added row for moderate and very preterm births</t>
  </si>
  <si>
    <t>odds of very pre term delivery</t>
  </si>
  <si>
    <t>Wu J, Wilhelm M, Chung J, Ritz B. Comparing exposure assessment methods for traffic-related air pollution in an adverse pregnancy outcome study. Environ Res. 2011; 111(5): 685-92.</t>
  </si>
  <si>
    <t>LA County, CA, USA</t>
  </si>
  <si>
    <t>Wu, 2011, LA, CA</t>
  </si>
  <si>
    <t>closest monitor, monthly averages</t>
  </si>
  <si>
    <t>Mat age, race/ethn, parity, pyelonephritis, prenatal care insurance type, poverty, season of conception.</t>
  </si>
  <si>
    <t>2011_Wu</t>
  </si>
  <si>
    <t>Orange County, CA, USA</t>
  </si>
  <si>
    <t>Wu, 2011, Orange County, CA</t>
  </si>
  <si>
    <t>added rows for vptb</t>
  </si>
  <si>
    <t>Chang HH, Reich BJ, Miranda ML. A spatial time-to-event approach for estimating associations between air pollution and preterm birth. J R Stat Soc Ser C Appl Stat. 2013; 62(2).</t>
  </si>
  <si>
    <t>J:\DATA\JOURNAL_ARTICLES\J_R_STAT_SOC_SER_C_APPL_STAT\2013</t>
  </si>
  <si>
    <t>Chang, 2012, NC</t>
  </si>
  <si>
    <t>model, FSD full, bayesian spase time model, daily (12x12 km)</t>
  </si>
  <si>
    <t xml:space="preserve">Sex, mat age, educ, ethn, tob use during preg, marital status, birth order, season and year of conception, </t>
  </si>
  <si>
    <t>83% geocoding success rate</t>
  </si>
  <si>
    <t>2012_Chang</t>
  </si>
  <si>
    <t>unclear which IQR was used in analysis</t>
  </si>
  <si>
    <t>Kloog I, Melly SJ, Ridgway WL, Coull BA, Schwartz J. Using new satellite based exposure methods to study the association between pregnancy pm2.5 exposure, premature birth and birth weight in Massachusetts. Environmental Health [Internet]. 2012; 11(1).</t>
  </si>
  <si>
    <t>J:\DATA\JOURNAL_ARTICLES\ENVIRONMENTAL_HEALTH_INTERNET\2012</t>
  </si>
  <si>
    <t>Massachusetts|USA_544</t>
  </si>
  <si>
    <t>Kloog, 2012, NC</t>
  </si>
  <si>
    <t>satellite model (10 x 10 km) daily</t>
  </si>
  <si>
    <t>GA, mat age, tob use in  previous and current pregnancy, median income, APNCU, traffic density, percent of open spaces, chronic conditions of mother during pregnancy, previous preterm births and lbw</t>
  </si>
  <si>
    <t>2012_Kloog</t>
  </si>
  <si>
    <t>satellite model</t>
  </si>
  <si>
    <t>Dadvand P, Ostro B, Figueras F, Foraster M, Basagaña X, Valentín A, Martinez D, Beelen R, Cirach M, Hoek G, Jerrett M, Brunekreef B, Nieuwenhuijsen MJ. Residential proximity to major roads and term low birth weight: the roles of air pollution, heat, noise, and road-adjacent trees. Epidemiology. 2014; 25(4): 518-25.</t>
  </si>
  <si>
    <t>Spain|ESP</t>
  </si>
  <si>
    <t>Barcelona (city), Spain</t>
  </si>
  <si>
    <t>Dadvand, 2014, Spain</t>
  </si>
  <si>
    <t>LUR, home address, weekly</t>
  </si>
  <si>
    <t>Sex, mat age, ethnicity, educ, marital status, SES,  smoking and alcohol consumption during pregnancy, admission BMI, diabetes, infection during pregnancy, parity, and season and year of conception.</t>
  </si>
  <si>
    <t>2014_Dadvand</t>
  </si>
  <si>
    <t>Laurent O, Hu J, Li L, Cockburn M, Escobedo L, Kleeman MJ, Wu J. Sources and contents of air pollution affecting term low birth weight in Los Angeles County, California, 2001-2008. Environ Res. 2014; 134: 488-95.</t>
  </si>
  <si>
    <t>Laurent, 2014, CA</t>
  </si>
  <si>
    <t>bayesian model, monthly averages on a 200mx200m grid</t>
  </si>
  <si>
    <t>GA, sex, mat age, race/ethn, educ, parity, trimester primary care began, neighborhood SES (median income by census Block Group)</t>
  </si>
  <si>
    <t>2014_Laurent</t>
  </si>
  <si>
    <t>Coker E, Ghosh J, Jerrett M, Gomez-Rubio V, Beckerman B, Cockburn M, Liverani S, Su J, Li A, Kile ML, Ritz B, Molitor J. Modeling spatial effects of PM(2.5) on term low birth weight in Los Angeles County. Environ Res. 2015; 142: 354-64.</t>
  </si>
  <si>
    <t>J:\DATA\JOURNAL_ARTICLES\ENVIRON_RES\2015</t>
  </si>
  <si>
    <t>Coker, 2015, CA</t>
  </si>
  <si>
    <t>model LUR residential address (long-term annual exposure 1995-2006)</t>
  </si>
  <si>
    <t>GA (linear and square), sex, mat age, race, educ, parity</t>
  </si>
  <si>
    <t>2015_Coker</t>
  </si>
  <si>
    <t>Huynh M, Woodruff TJ, Parker JD, Schoendorf KC. Relationships between air pollution and preterm birth in California. Paediatr Perinat Epidemiol. 2006; 20(6): 454-61.</t>
  </si>
  <si>
    <t>J:\DATA\JOURNAL_ARTICLES\PAEDIATR_PERINAT_EPIDEMIOL\2006</t>
  </si>
  <si>
    <t>Huynh, 2006, CA</t>
  </si>
  <si>
    <t>monitor (5 miles), exposure period 2 week prior to birth</t>
  </si>
  <si>
    <t>Mat age, race/ethnicity, educ, marital status and parity.</t>
  </si>
  <si>
    <t>49.1% of preterm and 46.6% of full term</t>
  </si>
  <si>
    <t>2006_Hyunh</t>
  </si>
  <si>
    <t>compares babies born 39-44 weeks to babies born 24-36 weeks…took 37 as cutpoint to simplify, use weighted mean and pooled SD for exposure concentration</t>
  </si>
  <si>
    <t>Parker JD, Woodruff TJ. Influences of study design and location on the relationship between particulate matter air pollution and birthweight. Paediatr Perinat Epidemiol. 2008; 22(3): 214–27.</t>
  </si>
  <si>
    <t>J:\DATA\JOURNAL_ARTICLES\PAEDIATR_PERINAT_EPIDEMIOL\2008</t>
  </si>
  <si>
    <t>Parker, 2008, USA</t>
  </si>
  <si>
    <t>change in term (40 week) birthweight (g)</t>
  </si>
  <si>
    <t>monitor (county), quarterly averages</t>
  </si>
  <si>
    <t>Mat age, race/eth, parity, rural/urban and year of delivery (Not clearly stated, exactly which ones were in the model)</t>
  </si>
  <si>
    <t>401273/785965 eligible linked to PM</t>
  </si>
  <si>
    <t>2008_Parker</t>
  </si>
  <si>
    <t xml:space="preserve">odds of term  (40 week) low birth weight </t>
  </si>
  <si>
    <t>Ebisu K, Bell ML. Airborne PM2.5 chemical components and low birth weight in the northeastern and mid-Atlantic regions of the United States. Environ Health Perspect. 2012; 120(12): 1746-52.</t>
  </si>
  <si>
    <t>J:\DATA\JOURNAL_ARTICLES\ENVIRON_HEALTH_PERSPECT\2012</t>
  </si>
  <si>
    <t>529,530,543,544,552,553,555,561,562,568,569,571</t>
  </si>
  <si>
    <t>NE &amp; Mid Altlantic 49 counties, 12 states (Connecticut, delaware, maryland, massachussetts, new hampshire, new jersey, new york, pennsylvania, rhode island, vermont, virginia, DC, W virginia), USA</t>
  </si>
  <si>
    <t>Ebisu, 2012, USA</t>
  </si>
  <si>
    <t>monitor (county), every 3-6 days</t>
  </si>
  <si>
    <t>GA, sex, mat age, educ,  race, marital status, tobacco &amp; alcohol consumption during pregnancy, trimester prenatal care began, first in birth order, delivery method, apparent temperature, season and year of birth, and regional indicators for SES</t>
  </si>
  <si>
    <t>2012_Ebisu</t>
  </si>
  <si>
    <t>Harris G, Thompson WD, Fitzgerald E, Wartenberg D. The association of PM(2.5) with full term low birth weight at different spatial scales. Environ Res. 2014; 134: 427-34.</t>
  </si>
  <si>
    <t>529,542,546,553,555,567,572</t>
  </si>
  <si>
    <t>7 NE Mid West States (CT, ME, MN, NJ, NY, UT, and WI), USA</t>
  </si>
  <si>
    <t>Harris, 2014, USA</t>
  </si>
  <si>
    <t>odds of term (37-40) low birthweight</t>
  </si>
  <si>
    <t>model (CMAQ), daily values, 12-36 km</t>
  </si>
  <si>
    <t>Sex, mat age, educ, race/eth, marital status, Kessner measure of prenatal care, mother's smoking status and pregnancy complications.</t>
  </si>
  <si>
    <t>2014_Harris</t>
  </si>
  <si>
    <t>Stieb DM, Chen L, Beckerman BS, Jerrett M, Crouse DL, Omariba DW, Peters PA, van Donkelaar A, Martin RV, Burnett RT, Gilbert NL, Tjepkema M, Liu S, Dugandzic RM. Associations of Pregnancy outcomes and PM2.5 in a National Canadian Study. Environ Health Perspect. 2016; 124:243-9.</t>
  </si>
  <si>
    <t>J:/DATA/JOURNAL_ARTICLES/ENVIRON_HEALTH_PERSPECT/2016</t>
  </si>
  <si>
    <t>USA</t>
  </si>
  <si>
    <t>Stieb, 2016, CAN</t>
  </si>
  <si>
    <t>change in term birth weight</t>
  </si>
  <si>
    <t>LUR, 6 digit postal code (30 people), monthly model used to estimate pregnancy</t>
  </si>
  <si>
    <t>GA, sex, mat age and marital status, parity, neigboorhood SES, neighboorhood income, neighborhood females educ, urban/rural, airshed of mat residence, place of birth of mother, year of birth, season of birth and minority proportion.</t>
  </si>
  <si>
    <t>2016_Steib</t>
  </si>
  <si>
    <t>Fleischer NL, Merialdi M, van Donkelaar A, Vadillo-Ortega F, Martin RV, Betran AP, Souza JP. Outdoor air pollution, preterm birth, and low birth weight: analysis of the world health organization global survey on maternal and perinatal health. Environ Health Perspect. 2014; 122: 425-30.</t>
  </si>
  <si>
    <t>J:/DATA/JOURNAL_ARTICLES/ENVIRON_HEALTH_PERSPECT/2014</t>
  </si>
  <si>
    <t>Global|G</t>
  </si>
  <si>
    <t>97,4750,4751,4752,4753,4754,4755,4756,4757,4758,4759,4760,4761,4762,4763,4764,4765,4766,4767,4768,4769,4770,4771,4772,4773,4774,4775,4776,354,361,491,492,493,494,495,496,497,498,499,500,501,502,503,504,505,506,507,508,509,510,511,512,513,514,515,516,517,518,519,520,521,171,109,139,122,43872,43873,43874,43875,43877,43880,43881,43882,43883,43884,43885,43886,43887,43888,43890,43891,43892,43893,43894,43895,43896,43898,43899,43900,43901,43902,43903,43904,43905,43906,43908,43909,43910,43911,43913,43916,43917,43918,43919,43920,43921,43922,43923,43924,43926,43927,43928,43929,43930,43931,43932,43934,43935,43936,43937,43938,43939,43940,43941,43942,44539,44540,35424,35425,35426,35427,35428,35429,35430,35431,35432,35433,35434,35435,35436,35437,35438,35439,35440,35441,35442,35443,35444,35445,35446,35447,35448,35449,35450,35451,35452,35453,35454,35455,35456,35457,35458,35459,35460,35461,35462,35463,35464,35465,35466,35467,35468,35469,35470,35617,35618,35619,35620,35621,35622,35623,35624,35625,35626,35627,35628,35629,35630,35631,35632,35633,35634,35635,35636,35637,35638,35639,35640,35641,35642,35643,35644,35645,35646,35647,35648,35649,35650,35651,35652,35653,35654,35655,35656,35657,35658,35659,35660,35661,35662,35663,10,17,4643,4644,4645,4646,4647,4648,4649,4650,4651,4652,4653,4654,4655,4656,4657,4658,4659,4660,4661,4662,4663,4664,4665,4666,4667,4668,4669,4670,4671,4672,4673,4674,213,25318,25319,25320,25321,25322,25323,25324,25325,25326,25327,25328,25329,25330,25331,25332,25333,25334,25335,25336,25337,25338,25339,25340,25341,25342,25343,25344,25345,25346,25347,25348,25349,25350,25351,25352,25353,25354,131,164,123,53533,53534,53535,53536,53537,53538,53539,53540,53541,53542,53543,53544,53545,53546,53547,53548,53549,53550,53551,53552,53553,53554,53555,53556,53557,53558,53559,53560,53561,53562,53563,53564,53565,53566,53567,53568,53569,53570,53571,53572,53573,53574,53575,53576,53577,53578,53579,53580,53581,53582,53583,53584,53585,53586,53587,53588,53589,53590,53591,53592,53593,53594,53595,53596,53597,53598,53599,53600,53601,53602,53603,53604,53605,53606,53607,53608,53609,53610,53611,53612,53613,53614,18,20</t>
  </si>
  <si>
    <t>24 countries in Africa, Latin America, and Asia. </t>
  </si>
  <si>
    <t>Fleischer, 2014, Global</t>
  </si>
  <si>
    <t>satellite model (50K, facility of birth), annual estimates seasonally adjusted to the month prior to delivery</t>
  </si>
  <si>
    <t>Sex, mat age, educ, parity, prenatal care, country-level GDP per capita, urbanicity, health care expenditure per capita, and Gini coefficient</t>
  </si>
  <si>
    <t>2014_Fleischer</t>
  </si>
  <si>
    <t>No good exposure distribution info, concern about no adjustment or restriction for GA</t>
  </si>
  <si>
    <t>No good exposure distribution info</t>
  </si>
  <si>
    <t>Heft-Neal S, Burney J, Bendavid E, Burke M. Robust relationship between air quality and infant mortality in Africa. Nature. 2018; 559(7713): 2548.</t>
  </si>
  <si>
    <t>J:\DATA\JOURNAL_ARTICLES\NATURE\2018</t>
  </si>
  <si>
    <t>E8</t>
  </si>
  <si>
    <t>30 countries in Africa</t>
  </si>
  <si>
    <t>Heft-Neal, 2018, Africa</t>
  </si>
  <si>
    <t>change in birthweight</t>
  </si>
  <si>
    <t>satellite model, 1x1 km at equator, unclear if this is mapped to home address or village?, use annual average weighted based on birth month</t>
  </si>
  <si>
    <t>temperature, rain, sex, birth order, multiple birth, mother, season, time, location</t>
  </si>
  <si>
    <t>22 % have bw available</t>
  </si>
  <si>
    <t>2018_Heft-Neal</t>
  </si>
  <si>
    <t>no GA controlled for, no beta published, but re-ran analysis from github repo provided by authors</t>
  </si>
  <si>
    <t>Erickson AC, Ostry A, Chan LH, Arbour L. The reduction of birth weight by fine particulate matter and its modification by maternal and neighbourhood-level factors: a multilevel analysis in British Columbia, Canada. Environ Health. 2016; 15: 51.</t>
  </si>
  <si>
    <t>J:\DATA\JOURNAL_ARTICLES\ENVIRON_HEALTH\2016</t>
  </si>
  <si>
    <t>British Columbia</t>
  </si>
  <si>
    <t>Erickson, 2016, CAN</t>
  </si>
  <si>
    <t>LUR to the census dissemination level (200-800 people), cross-sectional based on 2006 data</t>
  </si>
  <si>
    <t>GA (quadratic), tobacco smoke, mat educ, parity, diabetes mellitus, gestational hypertension, prenatal care visits and season of birth</t>
  </si>
  <si>
    <t>2016_Erickson</t>
  </si>
  <si>
    <t>Re-analysis done by Anders to assume linear PM2.5</t>
  </si>
  <si>
    <t>education</t>
  </si>
  <si>
    <t>income</t>
  </si>
  <si>
    <t>was education controlled for at individual level, ecological level, both, or neither?</t>
  </si>
  <si>
    <t>was income controlled for at individual level, ecological level, both, or neither?</t>
  </si>
  <si>
    <t>individual</t>
  </si>
  <si>
    <t>neither</t>
  </si>
  <si>
    <t>ecological</t>
  </si>
  <si>
    <t>both</t>
  </si>
  <si>
    <t>Rakesh estimated using area under the curve method</t>
  </si>
  <si>
    <t xml:space="preserve">0 for randomization or oucome controlled for all major known confounders and age, sex, education, income, and all critical determinants of outcome. 1 for age, sex, and other critical determinants (smoking). 2 for only age and sex. </t>
  </si>
  <si>
    <t>GA, county, county poverty, infant sex, parity, maternal age, race/ethnicity, education, marital status, education, prenatal care, virth season, census division (sensitivity analysis for smoking)</t>
  </si>
  <si>
    <t>GA (linear and quadritic), Sex, mat age, ethn, birth registration type, birth season, birth year, Carstairs quintile (census-level SES), censes-level tobacco, random intercept for middle layer super output areas and noise</t>
  </si>
  <si>
    <t>GA, sex, mat BMI, age, history of LBW, birth order and season of conception, (smokers excluded)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</si>
</sst>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0"/>
  </numFmts>
  <fonts count="13" x14ac:knownFonts="1">
    <font>
      <sz val="11"/>
      <color theme="1"/>
      <name val="Calibri"/>
      <family val="2"/>
      <scheme val="minor"/>
    </font>
    <font>
      <sz val="9"/>
      <name val="Calibri"/>
      <family val="2"/>
      <scheme val="minor"/>
    </font>
    <font>
      <sz val="8"/>
      <name val="Calibri"/>
      <family val="2"/>
      <scheme val="minor"/>
    </font>
    <font>
      <sz val="9"/>
      <color theme="1"/>
      <name val="Calibri"/>
      <family val="2"/>
      <scheme val="minor"/>
    </font>
    <font>
      <b/>
      <sz val="9"/>
      <color theme="1"/>
      <name val="Calibri"/>
      <family val="2"/>
      <scheme val="minor"/>
    </font>
    <font>
      <b/>
      <sz val="8"/>
      <name val="Calibri"/>
      <family val="2"/>
      <scheme val="minor"/>
    </font>
    <font>
      <sz val="11"/>
      <name val="Calibri"/>
      <family val="2"/>
      <scheme val="minor"/>
    </font>
    <font>
      <i/>
      <sz val="6"/>
      <color rgb="FF454545"/>
      <name val="Verdana"/>
      <family val="2"/>
    </font>
    <font>
      <sz val="6"/>
      <color rgb="FF454545"/>
      <name val="Verdana"/>
      <family val="2"/>
    </font>
    <font>
      <u/>
      <sz val="11"/>
      <color theme="10"/>
      <name val="Calibri"/>
      <family val="2"/>
      <scheme val="minor"/>
    </font>
    <font>
      <sz val="10"/>
      <name val="Arial"/>
      <family val="2"/>
    </font>
    <font>
      <b/>
      <sz val="10"/>
      <color rgb="FF000000"/>
      <name val="Tahoma"/>
      <family val="2"/>
    </font>
    <font>
      <sz val="10"/>
      <color rgb="FF000000"/>
      <name val="Tahoma"/>
      <family val="2"/>
    </font>
  </fonts>
  <fills count="12">
    <fill>
      <patternFill patternType="none"/>
    </fill>
    <fill>
      <patternFill patternType="gray125"/>
    </fill>
    <fill>
      <patternFill patternType="solid">
        <fgColor theme="5" tint="0.59999389629810485"/>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s>
  <borders count="13">
    <border>
      <left/>
      <right/>
      <top/>
      <bottom/>
      <diagonal/>
    </border>
    <border>
      <left style="thin">
        <color indexed="64"/>
      </left>
      <right/>
      <top/>
      <bottom/>
      <diagonal/>
    </border>
    <border>
      <left style="thin">
        <color indexed="64"/>
      </left>
      <right style="thin">
        <color indexed="64"/>
      </right>
      <top/>
      <bottom/>
      <diagonal/>
    </border>
    <border>
      <left/>
      <right style="thin">
        <color auto="1"/>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s>
  <cellStyleXfs count="3">
    <xf numFmtId="0" fontId="0" fillId="0" borderId="0"/>
    <xf numFmtId="0" fontId="9" fillId="0" borderId="0" applyNumberFormat="0" applyFill="0" applyBorder="0" applyAlignment="0" applyProtection="0"/>
    <xf numFmtId="0" fontId="10" fillId="0" borderId="0"/>
  </cellStyleXfs>
  <cellXfs count="93">
    <xf numFmtId="0" fontId="0" fillId="0" borderId="0" xfId="0"/>
    <xf numFmtId="0" fontId="1" fillId="0" borderId="0" xfId="0" applyFont="1" applyFill="1" applyBorder="1" applyAlignment="1">
      <alignment horizontal="left" vertical="top" wrapText="1"/>
    </xf>
    <xf numFmtId="0" fontId="1" fillId="2" borderId="0" xfId="0" applyFont="1" applyFill="1" applyBorder="1" applyAlignment="1">
      <alignment horizontal="left" vertical="top" wrapText="1"/>
    </xf>
    <xf numFmtId="0" fontId="1" fillId="2" borderId="1" xfId="0" applyFont="1" applyFill="1" applyBorder="1" applyAlignment="1">
      <alignment horizontal="left" vertical="top" wrapText="1"/>
    </xf>
    <xf numFmtId="0" fontId="2" fillId="2" borderId="0" xfId="0" applyFont="1" applyFill="1" applyBorder="1" applyAlignment="1">
      <alignment horizontal="center" vertical="top" wrapText="1"/>
    </xf>
    <xf numFmtId="0" fontId="1" fillId="2" borderId="2" xfId="0" applyFont="1" applyFill="1" applyBorder="1" applyAlignment="1">
      <alignment horizontal="left" vertical="top" wrapText="1"/>
    </xf>
    <xf numFmtId="0" fontId="1" fillId="3" borderId="0" xfId="0" applyFont="1" applyFill="1" applyBorder="1" applyAlignment="1">
      <alignment horizontal="center" vertical="top" wrapText="1"/>
    </xf>
    <xf numFmtId="0" fontId="1" fillId="3" borderId="0" xfId="0" applyFont="1" applyFill="1" applyBorder="1" applyAlignment="1">
      <alignment horizontal="left" vertical="top" wrapText="1"/>
    </xf>
    <xf numFmtId="0" fontId="1" fillId="3" borderId="1" xfId="0" applyFont="1" applyFill="1" applyBorder="1" applyAlignment="1">
      <alignment horizontal="left" vertical="top" wrapText="1"/>
    </xf>
    <xf numFmtId="0" fontId="3" fillId="3" borderId="0" xfId="0" applyFont="1" applyFill="1" applyBorder="1" applyAlignment="1">
      <alignment horizontal="left" vertical="top" wrapText="1"/>
    </xf>
    <xf numFmtId="0" fontId="4" fillId="4" borderId="1" xfId="0" applyFont="1" applyFill="1" applyBorder="1" applyAlignment="1">
      <alignment horizontal="left" vertical="top" wrapText="1"/>
    </xf>
    <xf numFmtId="0" fontId="4" fillId="4" borderId="0" xfId="0" applyFont="1" applyFill="1" applyBorder="1" applyAlignment="1">
      <alignment horizontal="left" vertical="top" wrapText="1"/>
    </xf>
    <xf numFmtId="0" fontId="4" fillId="5" borderId="0" xfId="0" applyFont="1" applyFill="1" applyBorder="1" applyAlignment="1">
      <alignment horizontal="left" vertical="top" wrapText="1"/>
    </xf>
    <xf numFmtId="0" fontId="3" fillId="5" borderId="0" xfId="0" applyFont="1" applyFill="1" applyBorder="1" applyAlignment="1">
      <alignment horizontal="left" vertical="top" wrapText="1"/>
    </xf>
    <xf numFmtId="0" fontId="1" fillId="6" borderId="0" xfId="0" applyFont="1" applyFill="1" applyBorder="1" applyAlignment="1">
      <alignment horizontal="left" vertical="top" wrapText="1"/>
    </xf>
    <xf numFmtId="0" fontId="1" fillId="7" borderId="1" xfId="0" applyFont="1" applyFill="1" applyBorder="1" applyAlignment="1">
      <alignment horizontal="left" vertical="top" wrapText="1"/>
    </xf>
    <xf numFmtId="0" fontId="1" fillId="7" borderId="0" xfId="0" applyFont="1" applyFill="1" applyBorder="1" applyAlignment="1">
      <alignment horizontal="left" vertical="top" wrapText="1"/>
    </xf>
    <xf numFmtId="0" fontId="1" fillId="0" borderId="1" xfId="0" applyFont="1" applyFill="1" applyBorder="1" applyAlignment="1">
      <alignment horizontal="left" vertical="top" wrapText="1"/>
    </xf>
    <xf numFmtId="0" fontId="1" fillId="8" borderId="0" xfId="0" applyFont="1" applyFill="1" applyBorder="1" applyAlignment="1">
      <alignment horizontal="left" vertical="top" wrapText="1"/>
    </xf>
    <xf numFmtId="0" fontId="1" fillId="0" borderId="0" xfId="0" applyFont="1" applyBorder="1" applyAlignment="1">
      <alignment horizontal="left" vertical="top" wrapText="1"/>
    </xf>
    <xf numFmtId="0" fontId="2" fillId="0" borderId="4" xfId="0" applyFont="1" applyFill="1" applyBorder="1" applyAlignment="1">
      <alignment horizontal="left" vertical="top" wrapText="1"/>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2" fillId="0" borderId="6" xfId="0" applyFont="1" applyBorder="1" applyAlignment="1">
      <alignment horizontal="left" vertical="top" wrapText="1"/>
    </xf>
    <xf numFmtId="164" fontId="2" fillId="0" borderId="4" xfId="0" applyNumberFormat="1" applyFont="1" applyBorder="1" applyAlignment="1">
      <alignment horizontal="left" vertical="top" wrapText="1"/>
    </xf>
    <xf numFmtId="0" fontId="5" fillId="0" borderId="5" xfId="0" applyFont="1" applyBorder="1" applyAlignment="1">
      <alignment horizontal="left" vertical="top" wrapText="1"/>
    </xf>
    <xf numFmtId="0" fontId="5" fillId="0" borderId="4" xfId="0" applyFont="1" applyBorder="1" applyAlignment="1">
      <alignment horizontal="left" vertical="top" wrapText="1"/>
    </xf>
    <xf numFmtId="0" fontId="2" fillId="0" borderId="5" xfId="0" applyFont="1" applyFill="1" applyBorder="1" applyAlignment="1">
      <alignment horizontal="left" vertical="top" wrapText="1"/>
    </xf>
    <xf numFmtId="0" fontId="6" fillId="0" borderId="0" xfId="0" applyFont="1" applyFill="1" applyBorder="1" applyAlignment="1">
      <alignment horizontal="left" vertical="top"/>
    </xf>
    <xf numFmtId="0" fontId="0" fillId="0" borderId="0" xfId="0" applyBorder="1" applyAlignment="1">
      <alignment horizontal="left" vertical="top"/>
    </xf>
    <xf numFmtId="0" fontId="0" fillId="0" borderId="0" xfId="0" applyFill="1" applyBorder="1" applyAlignment="1">
      <alignment horizontal="left" vertical="top"/>
    </xf>
    <xf numFmtId="0" fontId="0" fillId="0" borderId="1" xfId="0" applyBorder="1" applyAlignment="1">
      <alignment horizontal="left" vertical="top"/>
    </xf>
    <xf numFmtId="0" fontId="0" fillId="0" borderId="0" xfId="0" applyBorder="1" applyAlignment="1">
      <alignment horizontal="center" vertical="top"/>
    </xf>
    <xf numFmtId="0" fontId="0" fillId="0" borderId="0" xfId="0" applyFont="1" applyBorder="1" applyAlignment="1">
      <alignment horizontal="left" vertical="top"/>
    </xf>
    <xf numFmtId="0" fontId="0" fillId="0" borderId="1" xfId="0" applyFont="1" applyBorder="1" applyAlignment="1">
      <alignment horizontal="left" vertical="top"/>
    </xf>
    <xf numFmtId="0" fontId="0" fillId="0" borderId="2" xfId="0" applyBorder="1" applyAlignment="1">
      <alignment horizontal="left" vertical="top"/>
    </xf>
    <xf numFmtId="0" fontId="0" fillId="0" borderId="1" xfId="0" applyFill="1" applyBorder="1" applyAlignment="1">
      <alignment horizontal="left" vertical="top"/>
    </xf>
    <xf numFmtId="0" fontId="0" fillId="0" borderId="3" xfId="0" applyBorder="1" applyAlignment="1">
      <alignment horizontal="left" vertical="top"/>
    </xf>
    <xf numFmtId="0" fontId="0" fillId="9" borderId="3" xfId="0" applyFill="1" applyBorder="1" applyAlignment="1">
      <alignment horizontal="left" vertical="top"/>
    </xf>
    <xf numFmtId="0" fontId="0" fillId="10" borderId="0" xfId="0" applyFill="1" applyBorder="1" applyAlignment="1">
      <alignment horizontal="left" vertical="top"/>
    </xf>
    <xf numFmtId="0" fontId="6" fillId="11" borderId="0" xfId="0" applyFont="1" applyFill="1" applyBorder="1" applyAlignment="1">
      <alignment horizontal="right" vertical="top"/>
    </xf>
    <xf numFmtId="0" fontId="0" fillId="11" borderId="0" xfId="0" applyFill="1" applyBorder="1" applyAlignment="1">
      <alignment horizontal="right" vertical="top"/>
    </xf>
    <xf numFmtId="0" fontId="0" fillId="11" borderId="0" xfId="0" applyFill="1" applyBorder="1" applyAlignment="1">
      <alignment horizontal="left" vertical="top"/>
    </xf>
    <xf numFmtId="0" fontId="9" fillId="11" borderId="0" xfId="1" applyFill="1"/>
    <xf numFmtId="0" fontId="0" fillId="11" borderId="1" xfId="0" applyFill="1" applyBorder="1" applyAlignment="1">
      <alignment horizontal="left" vertical="top"/>
    </xf>
    <xf numFmtId="0" fontId="0" fillId="11" borderId="0" xfId="0" applyFill="1" applyBorder="1" applyAlignment="1">
      <alignment horizontal="center" vertical="top"/>
    </xf>
    <xf numFmtId="0" fontId="0" fillId="11" borderId="0" xfId="0" applyFont="1" applyFill="1" applyBorder="1" applyAlignment="1">
      <alignment horizontal="left" vertical="top"/>
    </xf>
    <xf numFmtId="0" fontId="0" fillId="11" borderId="1" xfId="0" applyFont="1" applyFill="1" applyBorder="1" applyAlignment="1">
      <alignment horizontal="left" vertical="top"/>
    </xf>
    <xf numFmtId="0" fontId="0" fillId="11" borderId="2" xfId="0" applyFill="1" applyBorder="1" applyAlignment="1">
      <alignment horizontal="left" vertical="top"/>
    </xf>
    <xf numFmtId="0" fontId="0" fillId="11" borderId="3" xfId="0" applyFill="1" applyBorder="1" applyAlignment="1">
      <alignment horizontal="left" vertical="top"/>
    </xf>
    <xf numFmtId="0" fontId="6" fillId="0" borderId="0" xfId="0" applyFont="1" applyFill="1" applyBorder="1" applyAlignment="1">
      <alignment horizontal="right" vertical="top"/>
    </xf>
    <xf numFmtId="0" fontId="0" fillId="0" borderId="0" xfId="0" applyBorder="1" applyAlignment="1">
      <alignment horizontal="right" vertical="top"/>
    </xf>
    <xf numFmtId="0" fontId="0" fillId="9" borderId="0" xfId="0" applyFill="1" applyBorder="1" applyAlignment="1">
      <alignment horizontal="left" vertical="top"/>
    </xf>
    <xf numFmtId="0" fontId="0" fillId="0" borderId="0" xfId="0" applyFill="1" applyBorder="1" applyAlignment="1">
      <alignment horizontal="center" vertical="top"/>
    </xf>
    <xf numFmtId="0" fontId="0" fillId="0" borderId="0" xfId="0" applyFont="1" applyFill="1" applyBorder="1" applyAlignment="1">
      <alignment horizontal="left" vertical="top"/>
    </xf>
    <xf numFmtId="0" fontId="0" fillId="0" borderId="3" xfId="0" applyFill="1" applyBorder="1" applyAlignment="1">
      <alignment horizontal="left" vertical="top"/>
    </xf>
    <xf numFmtId="0" fontId="9" fillId="0" borderId="0" xfId="1"/>
    <xf numFmtId="49" fontId="6" fillId="11" borderId="0" xfId="0" applyNumberFormat="1" applyFont="1" applyFill="1" applyBorder="1" applyAlignment="1">
      <alignment horizontal="left" vertical="top"/>
    </xf>
    <xf numFmtId="0" fontId="6" fillId="11" borderId="0" xfId="0" applyFont="1" applyFill="1" applyBorder="1" applyAlignment="1">
      <alignment horizontal="left" vertical="top"/>
    </xf>
    <xf numFmtId="49" fontId="6" fillId="0" borderId="0" xfId="0" applyNumberFormat="1" applyFont="1" applyFill="1" applyBorder="1" applyAlignment="1">
      <alignment horizontal="left" vertical="top"/>
    </xf>
    <xf numFmtId="2" fontId="10" fillId="11" borderId="0" xfId="2" applyNumberFormat="1" applyFill="1" applyBorder="1" applyAlignment="1">
      <alignment horizontal="center" vertical="center"/>
    </xf>
    <xf numFmtId="0" fontId="6" fillId="11" borderId="1" xfId="0" applyFont="1" applyFill="1" applyBorder="1" applyAlignment="1">
      <alignment horizontal="left" vertical="top"/>
    </xf>
    <xf numFmtId="0" fontId="6" fillId="0" borderId="7" xfId="0" applyFont="1" applyFill="1" applyBorder="1" applyAlignment="1">
      <alignment horizontal="right" vertical="top"/>
    </xf>
    <xf numFmtId="0" fontId="0" fillId="0" borderId="7" xfId="0" applyFill="1" applyBorder="1" applyAlignment="1">
      <alignment horizontal="right" vertical="top"/>
    </xf>
    <xf numFmtId="0" fontId="0" fillId="0" borderId="7" xfId="0" applyFill="1"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7" xfId="0" applyBorder="1" applyAlignment="1">
      <alignment horizontal="center" vertical="top"/>
    </xf>
    <xf numFmtId="0" fontId="0" fillId="0" borderId="7" xfId="0" applyFont="1" applyFill="1" applyBorder="1" applyAlignment="1">
      <alignment horizontal="left" vertical="top"/>
    </xf>
    <xf numFmtId="0" fontId="0" fillId="0" borderId="8" xfId="0" applyFont="1" applyBorder="1" applyAlignment="1">
      <alignment horizontal="left" vertical="top"/>
    </xf>
    <xf numFmtId="0" fontId="0" fillId="0" borderId="9" xfId="0" applyBorder="1" applyAlignment="1">
      <alignment horizontal="left" vertical="top"/>
    </xf>
    <xf numFmtId="0" fontId="0" fillId="0" borderId="8" xfId="0" applyFill="1" applyBorder="1" applyAlignment="1">
      <alignment horizontal="left" vertical="top"/>
    </xf>
    <xf numFmtId="0" fontId="0" fillId="0" borderId="7" xfId="0" applyFill="1" applyBorder="1" applyAlignment="1">
      <alignment horizontal="center" vertical="top"/>
    </xf>
    <xf numFmtId="0" fontId="0" fillId="9" borderId="7" xfId="0" applyFill="1" applyBorder="1" applyAlignment="1">
      <alignment horizontal="left" vertical="top"/>
    </xf>
    <xf numFmtId="0" fontId="6" fillId="0" borderId="7" xfId="0" applyFont="1" applyFill="1" applyBorder="1" applyAlignment="1">
      <alignment horizontal="left" vertical="top"/>
    </xf>
    <xf numFmtId="0" fontId="0" fillId="0" borderId="0" xfId="0" applyFill="1" applyBorder="1" applyAlignment="1">
      <alignment horizontal="right" vertical="top"/>
    </xf>
    <xf numFmtId="49" fontId="0" fillId="0" borderId="0" xfId="0" applyNumberFormat="1"/>
    <xf numFmtId="49" fontId="0" fillId="11" borderId="0" xfId="0" applyNumberFormat="1" applyFill="1"/>
    <xf numFmtId="0" fontId="6" fillId="11" borderId="10" xfId="0" applyFont="1" applyFill="1" applyBorder="1" applyAlignment="1">
      <alignment horizontal="right" vertical="top"/>
    </xf>
    <xf numFmtId="0" fontId="0" fillId="11" borderId="10" xfId="0" applyFill="1" applyBorder="1" applyAlignment="1">
      <alignment horizontal="right" vertical="top"/>
    </xf>
    <xf numFmtId="0" fontId="0" fillId="11" borderId="10" xfId="0" applyFill="1" applyBorder="1" applyAlignment="1">
      <alignment horizontal="left" vertical="top"/>
    </xf>
    <xf numFmtId="0" fontId="9" fillId="11" borderId="10" xfId="1" applyFill="1" applyBorder="1"/>
    <xf numFmtId="0" fontId="0" fillId="11" borderId="11" xfId="0" applyFill="1" applyBorder="1" applyAlignment="1">
      <alignment horizontal="left" vertical="top"/>
    </xf>
    <xf numFmtId="0" fontId="0" fillId="11" borderId="10" xfId="0" applyFill="1" applyBorder="1" applyAlignment="1">
      <alignment horizontal="center" vertical="top"/>
    </xf>
    <xf numFmtId="0" fontId="0" fillId="11" borderId="10" xfId="0" applyFont="1" applyFill="1" applyBorder="1" applyAlignment="1">
      <alignment horizontal="left" vertical="top"/>
    </xf>
    <xf numFmtId="0" fontId="0" fillId="11" borderId="11" xfId="0" applyFont="1" applyFill="1" applyBorder="1" applyAlignment="1">
      <alignment horizontal="left" vertical="top"/>
    </xf>
    <xf numFmtId="0" fontId="0" fillId="11" borderId="12" xfId="0" applyFill="1" applyBorder="1" applyAlignment="1">
      <alignment horizontal="left" vertical="top"/>
    </xf>
    <xf numFmtId="2" fontId="6" fillId="11" borderId="10" xfId="2" applyNumberFormat="1" applyFont="1" applyFill="1" applyBorder="1" applyAlignment="1">
      <alignment horizontal="center" vertical="center"/>
    </xf>
    <xf numFmtId="0" fontId="6" fillId="11" borderId="10" xfId="0" applyFont="1" applyFill="1" applyBorder="1" applyAlignment="1">
      <alignment horizontal="left" vertical="top"/>
    </xf>
    <xf numFmtId="0" fontId="0" fillId="0" borderId="1" xfId="0" applyBorder="1"/>
    <xf numFmtId="0" fontId="1" fillId="6" borderId="1" xfId="0" applyFont="1" applyFill="1" applyBorder="1" applyAlignment="1">
      <alignment horizontal="left" vertical="top" wrapText="1"/>
    </xf>
    <xf numFmtId="0" fontId="3" fillId="5" borderId="0" xfId="0" applyFont="1" applyFill="1" applyBorder="1" applyAlignment="1">
      <alignment horizontal="left" vertical="top"/>
    </xf>
    <xf numFmtId="0" fontId="2" fillId="0" borderId="4" xfId="0" applyFont="1" applyBorder="1" applyAlignment="1">
      <alignment horizontal="left" vertical="top"/>
    </xf>
  </cellXfs>
  <cellStyles count="3">
    <cellStyle name="Hyperlink" xfId="1" builtinId="8"/>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J:\WORK\05_risk\risks\air_pm\data\rr\raw\gbd_2019\extraction_ier_kcausey_2019_07_2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traction"/>
      <sheetName val="is_outlier"/>
      <sheetName val="locations"/>
    </sheetNames>
    <sheetDataSet>
      <sheetData sheetId="0"/>
      <sheetData sheetId="1"/>
      <sheetData sheetId="2">
        <row r="1">
          <cell r="A1" t="str">
            <v>location_name_ihme_loc_id</v>
          </cell>
          <cell r="B1" t="str">
            <v>location_type</v>
          </cell>
          <cell r="C1" t="str">
            <v>location_id</v>
          </cell>
          <cell r="D1" t="str">
            <v>location_name</v>
          </cell>
          <cell r="E1" t="str">
            <v>ihme_loc_id</v>
          </cell>
        </row>
        <row r="2">
          <cell r="A2" t="str">
            <v>Afghanistan|AFG</v>
          </cell>
          <cell r="B2" t="str">
            <v>admin0</v>
          </cell>
          <cell r="C2">
            <v>160</v>
          </cell>
          <cell r="D2" t="str">
            <v>Afghanistan</v>
          </cell>
          <cell r="E2" t="str">
            <v>AFG</v>
          </cell>
        </row>
        <row r="3">
          <cell r="A3" t="str">
            <v>Angola|AGO</v>
          </cell>
          <cell r="B3" t="str">
            <v>admin0</v>
          </cell>
          <cell r="C3">
            <v>168</v>
          </cell>
          <cell r="D3" t="str">
            <v>Angola</v>
          </cell>
          <cell r="E3" t="str">
            <v>AGO</v>
          </cell>
        </row>
        <row r="4">
          <cell r="A4" t="str">
            <v>Albania|ALB</v>
          </cell>
          <cell r="B4" t="str">
            <v>admin0</v>
          </cell>
          <cell r="C4">
            <v>43</v>
          </cell>
          <cell r="D4" t="str">
            <v>Albania</v>
          </cell>
          <cell r="E4" t="str">
            <v>ALB</v>
          </cell>
        </row>
        <row r="5">
          <cell r="A5" t="str">
            <v>Andorra|AND</v>
          </cell>
          <cell r="B5" t="str">
            <v>admin0</v>
          </cell>
          <cell r="C5">
            <v>74</v>
          </cell>
          <cell r="D5" t="str">
            <v>Andorra</v>
          </cell>
          <cell r="E5" t="str">
            <v>AND</v>
          </cell>
        </row>
        <row r="6">
          <cell r="A6" t="str">
            <v>United Arab Emirates|ARE</v>
          </cell>
          <cell r="B6" t="str">
            <v>admin0</v>
          </cell>
          <cell r="C6">
            <v>156</v>
          </cell>
          <cell r="D6" t="str">
            <v>United Arab Emirates</v>
          </cell>
          <cell r="E6" t="str">
            <v>ARE</v>
          </cell>
        </row>
        <row r="7">
          <cell r="A7" t="str">
            <v>Argentina|ARG</v>
          </cell>
          <cell r="B7" t="str">
            <v>admin0</v>
          </cell>
          <cell r="C7">
            <v>97</v>
          </cell>
          <cell r="D7" t="str">
            <v>Argentina</v>
          </cell>
          <cell r="E7" t="str">
            <v>ARG</v>
          </cell>
        </row>
        <row r="8">
          <cell r="A8" t="str">
            <v>Armenia|ARM</v>
          </cell>
          <cell r="B8" t="str">
            <v>admin0</v>
          </cell>
          <cell r="C8">
            <v>33</v>
          </cell>
          <cell r="D8" t="str">
            <v>Armenia</v>
          </cell>
          <cell r="E8" t="str">
            <v>ARM</v>
          </cell>
        </row>
        <row r="9">
          <cell r="A9" t="str">
            <v>American Samoa|ASM</v>
          </cell>
          <cell r="B9" t="str">
            <v>nonsovereign</v>
          </cell>
          <cell r="C9">
            <v>298</v>
          </cell>
          <cell r="D9" t="str">
            <v>American Samoa</v>
          </cell>
          <cell r="E9" t="str">
            <v>ASM</v>
          </cell>
        </row>
        <row r="10">
          <cell r="A10" t="str">
            <v>Antigua and Barbuda|ATG</v>
          </cell>
          <cell r="B10" t="str">
            <v>admin0</v>
          </cell>
          <cell r="C10">
            <v>105</v>
          </cell>
          <cell r="D10" t="str">
            <v>Antigua and Barbuda</v>
          </cell>
          <cell r="E10" t="str">
            <v>ATG</v>
          </cell>
        </row>
        <row r="11">
          <cell r="A11" t="str">
            <v>Australia|AUS</v>
          </cell>
          <cell r="B11" t="str">
            <v>admin0</v>
          </cell>
          <cell r="C11">
            <v>71</v>
          </cell>
          <cell r="D11" t="str">
            <v>Australia</v>
          </cell>
          <cell r="E11" t="str">
            <v>AUS</v>
          </cell>
        </row>
        <row r="12">
          <cell r="A12" t="str">
            <v>Austria|AUT</v>
          </cell>
          <cell r="B12" t="str">
            <v>admin0</v>
          </cell>
          <cell r="C12">
            <v>75</v>
          </cell>
          <cell r="D12" t="str">
            <v>Austria</v>
          </cell>
          <cell r="E12" t="str">
            <v>AUT</v>
          </cell>
        </row>
        <row r="13">
          <cell r="A13" t="str">
            <v>Azerbaijan|AZE</v>
          </cell>
          <cell r="B13" t="str">
            <v>admin0</v>
          </cell>
          <cell r="C13">
            <v>34</v>
          </cell>
          <cell r="D13" t="str">
            <v>Azerbaijan</v>
          </cell>
          <cell r="E13" t="str">
            <v>AZE</v>
          </cell>
        </row>
        <row r="14">
          <cell r="A14" t="str">
            <v>Burundi|BDI</v>
          </cell>
          <cell r="B14" t="str">
            <v>admin0</v>
          </cell>
          <cell r="C14">
            <v>175</v>
          </cell>
          <cell r="D14" t="str">
            <v>Burundi</v>
          </cell>
          <cell r="E14" t="str">
            <v>BDI</v>
          </cell>
        </row>
        <row r="15">
          <cell r="A15" t="str">
            <v>Belgium|BEL</v>
          </cell>
          <cell r="B15" t="str">
            <v>admin0</v>
          </cell>
          <cell r="C15">
            <v>76</v>
          </cell>
          <cell r="D15" t="str">
            <v>Belgium</v>
          </cell>
          <cell r="E15" t="str">
            <v>BEL</v>
          </cell>
        </row>
        <row r="16">
          <cell r="A16" t="str">
            <v>Benin|BEN</v>
          </cell>
          <cell r="B16" t="str">
            <v>admin0</v>
          </cell>
          <cell r="C16">
            <v>200</v>
          </cell>
          <cell r="D16" t="str">
            <v>Benin</v>
          </cell>
          <cell r="E16" t="str">
            <v>BEN</v>
          </cell>
        </row>
        <row r="17">
          <cell r="A17" t="str">
            <v>Burkina Faso|BFA</v>
          </cell>
          <cell r="B17" t="str">
            <v>admin0</v>
          </cell>
          <cell r="C17">
            <v>201</v>
          </cell>
          <cell r="D17" t="str">
            <v>Burkina Faso</v>
          </cell>
          <cell r="E17" t="str">
            <v>BFA</v>
          </cell>
        </row>
        <row r="18">
          <cell r="A18" t="str">
            <v>Bangladesh|BGD</v>
          </cell>
          <cell r="B18" t="str">
            <v>admin0</v>
          </cell>
          <cell r="C18">
            <v>161</v>
          </cell>
          <cell r="D18" t="str">
            <v>Bangladesh</v>
          </cell>
          <cell r="E18" t="str">
            <v>BGD</v>
          </cell>
        </row>
        <row r="19">
          <cell r="A19" t="str">
            <v>Bulgaria|BGR</v>
          </cell>
          <cell r="B19" t="str">
            <v>admin0</v>
          </cell>
          <cell r="C19">
            <v>45</v>
          </cell>
          <cell r="D19" t="str">
            <v>Bulgaria</v>
          </cell>
          <cell r="E19" t="str">
            <v>BGR</v>
          </cell>
        </row>
        <row r="20">
          <cell r="A20" t="str">
            <v>Bahrain|BHR</v>
          </cell>
          <cell r="B20" t="str">
            <v>admin0</v>
          </cell>
          <cell r="C20">
            <v>140</v>
          </cell>
          <cell r="D20" t="str">
            <v>Bahrain</v>
          </cell>
          <cell r="E20" t="str">
            <v>BHR</v>
          </cell>
        </row>
        <row r="21">
          <cell r="A21" t="str">
            <v>The Bahamas|BHS</v>
          </cell>
          <cell r="B21" t="str">
            <v>admin0</v>
          </cell>
          <cell r="C21">
            <v>106</v>
          </cell>
          <cell r="D21" t="str">
            <v>The Bahamas</v>
          </cell>
          <cell r="E21" t="str">
            <v>BHS</v>
          </cell>
        </row>
        <row r="22">
          <cell r="A22" t="str">
            <v>Bosnia and Herzegovina|BIH</v>
          </cell>
          <cell r="B22" t="str">
            <v>admin0</v>
          </cell>
          <cell r="C22">
            <v>44</v>
          </cell>
          <cell r="D22" t="str">
            <v>Bosnia and Herzegovina</v>
          </cell>
          <cell r="E22" t="str">
            <v>BIH</v>
          </cell>
        </row>
        <row r="23">
          <cell r="A23" t="str">
            <v>Belarus|BLR</v>
          </cell>
          <cell r="B23" t="str">
            <v>admin0</v>
          </cell>
          <cell r="C23">
            <v>57</v>
          </cell>
          <cell r="D23" t="str">
            <v>Belarus</v>
          </cell>
          <cell r="E23" t="str">
            <v>BLR</v>
          </cell>
        </row>
        <row r="24">
          <cell r="A24" t="str">
            <v>Belize|BLZ</v>
          </cell>
          <cell r="B24" t="str">
            <v>admin0</v>
          </cell>
          <cell r="C24">
            <v>108</v>
          </cell>
          <cell r="D24" t="str">
            <v>Belize</v>
          </cell>
          <cell r="E24" t="str">
            <v>BLZ</v>
          </cell>
        </row>
        <row r="25">
          <cell r="A25" t="str">
            <v>Bermuda|BMU</v>
          </cell>
          <cell r="B25" t="str">
            <v>nonsovereign</v>
          </cell>
          <cell r="C25">
            <v>305</v>
          </cell>
          <cell r="D25" t="str">
            <v>Bermuda</v>
          </cell>
          <cell r="E25" t="str">
            <v>BMU</v>
          </cell>
        </row>
        <row r="26">
          <cell r="A26" t="str">
            <v>Bolivia|BOL</v>
          </cell>
          <cell r="B26" t="str">
            <v>admin0</v>
          </cell>
          <cell r="C26">
            <v>121</v>
          </cell>
          <cell r="D26" t="str">
            <v>Bolivia</v>
          </cell>
          <cell r="E26" t="str">
            <v>BOL</v>
          </cell>
        </row>
        <row r="27">
          <cell r="A27" t="str">
            <v>Brazil|BRA</v>
          </cell>
          <cell r="B27" t="str">
            <v>admin0</v>
          </cell>
          <cell r="C27">
            <v>135</v>
          </cell>
          <cell r="D27" t="str">
            <v>Brazil</v>
          </cell>
          <cell r="E27" t="str">
            <v>BRA</v>
          </cell>
        </row>
        <row r="28">
          <cell r="A28" t="str">
            <v>Acre|BRA_4750</v>
          </cell>
          <cell r="B28" t="str">
            <v>admin1</v>
          </cell>
          <cell r="C28">
            <v>4750</v>
          </cell>
          <cell r="D28" t="str">
            <v>Acre</v>
          </cell>
          <cell r="E28" t="str">
            <v>BRA_4750</v>
          </cell>
        </row>
        <row r="29">
          <cell r="A29" t="str">
            <v>Alagoas|BRA_4751</v>
          </cell>
          <cell r="B29" t="str">
            <v>admin1</v>
          </cell>
          <cell r="C29">
            <v>4751</v>
          </cell>
          <cell r="D29" t="str">
            <v>Alagoas</v>
          </cell>
          <cell r="E29" t="str">
            <v>BRA_4751</v>
          </cell>
        </row>
        <row r="30">
          <cell r="A30" t="str">
            <v>Amazonas|BRA_4752</v>
          </cell>
          <cell r="B30" t="str">
            <v>admin1</v>
          </cell>
          <cell r="C30">
            <v>4752</v>
          </cell>
          <cell r="D30" t="str">
            <v>Amazonas</v>
          </cell>
          <cell r="E30" t="str">
            <v>BRA_4752</v>
          </cell>
        </row>
        <row r="31">
          <cell r="A31" t="str">
            <v>Amapá|BRA_4753</v>
          </cell>
          <cell r="B31" t="str">
            <v>admin1</v>
          </cell>
          <cell r="C31">
            <v>4753</v>
          </cell>
          <cell r="D31" t="str">
            <v>Amapá</v>
          </cell>
          <cell r="E31" t="str">
            <v>BRA_4753</v>
          </cell>
        </row>
        <row r="32">
          <cell r="A32" t="str">
            <v>Bahia|BRA_4754</v>
          </cell>
          <cell r="B32" t="str">
            <v>admin1</v>
          </cell>
          <cell r="C32">
            <v>4754</v>
          </cell>
          <cell r="D32" t="str">
            <v>Bahia</v>
          </cell>
          <cell r="E32" t="str">
            <v>BRA_4754</v>
          </cell>
        </row>
        <row r="33">
          <cell r="A33" t="str">
            <v>Ceará|BRA_4755</v>
          </cell>
          <cell r="B33" t="str">
            <v>admin1</v>
          </cell>
          <cell r="C33">
            <v>4755</v>
          </cell>
          <cell r="D33" t="str">
            <v>Ceará</v>
          </cell>
          <cell r="E33" t="str">
            <v>BRA_4755</v>
          </cell>
        </row>
        <row r="34">
          <cell r="A34" t="str">
            <v>Distrito Federal|BRA_4756</v>
          </cell>
          <cell r="B34" t="str">
            <v>admin1</v>
          </cell>
          <cell r="C34">
            <v>4756</v>
          </cell>
          <cell r="D34" t="str">
            <v>Distrito Federal</v>
          </cell>
          <cell r="E34" t="str">
            <v>BRA_4756</v>
          </cell>
        </row>
        <row r="35">
          <cell r="A35" t="str">
            <v>Espírito Santo|BRA_4757</v>
          </cell>
          <cell r="B35" t="str">
            <v>admin1</v>
          </cell>
          <cell r="C35">
            <v>4757</v>
          </cell>
          <cell r="D35" t="str">
            <v>Espírito Santo</v>
          </cell>
          <cell r="E35" t="str">
            <v>BRA_4757</v>
          </cell>
        </row>
        <row r="36">
          <cell r="A36" t="str">
            <v>Goiás|BRA_4758</v>
          </cell>
          <cell r="B36" t="str">
            <v>admin1</v>
          </cell>
          <cell r="C36">
            <v>4758</v>
          </cell>
          <cell r="D36" t="str">
            <v>Goiás</v>
          </cell>
          <cell r="E36" t="str">
            <v>BRA_4758</v>
          </cell>
        </row>
        <row r="37">
          <cell r="A37" t="str">
            <v>Maranhão|BRA_4759</v>
          </cell>
          <cell r="B37" t="str">
            <v>admin1</v>
          </cell>
          <cell r="C37">
            <v>4759</v>
          </cell>
          <cell r="D37" t="str">
            <v>Maranhão</v>
          </cell>
          <cell r="E37" t="str">
            <v>BRA_4759</v>
          </cell>
        </row>
        <row r="38">
          <cell r="A38" t="str">
            <v>Minas Gerais|BRA_4760</v>
          </cell>
          <cell r="B38" t="str">
            <v>admin1</v>
          </cell>
          <cell r="C38">
            <v>4760</v>
          </cell>
          <cell r="D38" t="str">
            <v>Minas Gerais</v>
          </cell>
          <cell r="E38" t="str">
            <v>BRA_4760</v>
          </cell>
        </row>
        <row r="39">
          <cell r="A39" t="str">
            <v>Mato Grosso do Sul|BRA_4761</v>
          </cell>
          <cell r="B39" t="str">
            <v>admin1</v>
          </cell>
          <cell r="C39">
            <v>4761</v>
          </cell>
          <cell r="D39" t="str">
            <v>Mato Grosso do Sul</v>
          </cell>
          <cell r="E39" t="str">
            <v>BRA_4761</v>
          </cell>
        </row>
        <row r="40">
          <cell r="A40" t="str">
            <v>Mato Grosso|BRA_4762</v>
          </cell>
          <cell r="B40" t="str">
            <v>admin1</v>
          </cell>
          <cell r="C40">
            <v>4762</v>
          </cell>
          <cell r="D40" t="str">
            <v>Mato Grosso</v>
          </cell>
          <cell r="E40" t="str">
            <v>BRA_4762</v>
          </cell>
        </row>
        <row r="41">
          <cell r="A41" t="str">
            <v>Pará|BRA_4763</v>
          </cell>
          <cell r="B41" t="str">
            <v>admin1</v>
          </cell>
          <cell r="C41">
            <v>4763</v>
          </cell>
          <cell r="D41" t="str">
            <v>Pará</v>
          </cell>
          <cell r="E41" t="str">
            <v>BRA_4763</v>
          </cell>
        </row>
        <row r="42">
          <cell r="A42" t="str">
            <v>Paraíba|BRA_4764</v>
          </cell>
          <cell r="B42" t="str">
            <v>admin1</v>
          </cell>
          <cell r="C42">
            <v>4764</v>
          </cell>
          <cell r="D42" t="str">
            <v>Paraíba</v>
          </cell>
          <cell r="E42" t="str">
            <v>BRA_4764</v>
          </cell>
        </row>
        <row r="43">
          <cell r="A43" t="str">
            <v>Paraná|BRA_4765</v>
          </cell>
          <cell r="B43" t="str">
            <v>admin1</v>
          </cell>
          <cell r="C43">
            <v>4765</v>
          </cell>
          <cell r="D43" t="str">
            <v>Paraná</v>
          </cell>
          <cell r="E43" t="str">
            <v>BRA_4765</v>
          </cell>
        </row>
        <row r="44">
          <cell r="A44" t="str">
            <v>Pernambuco|BRA_4766</v>
          </cell>
          <cell r="B44" t="str">
            <v>admin1</v>
          </cell>
          <cell r="C44">
            <v>4766</v>
          </cell>
          <cell r="D44" t="str">
            <v>Pernambuco</v>
          </cell>
          <cell r="E44" t="str">
            <v>BRA_4766</v>
          </cell>
        </row>
        <row r="45">
          <cell r="A45" t="str">
            <v>Piaui|BRA_4767</v>
          </cell>
          <cell r="B45" t="str">
            <v>admin1</v>
          </cell>
          <cell r="C45">
            <v>4767</v>
          </cell>
          <cell r="D45" t="str">
            <v>Piaui</v>
          </cell>
          <cell r="E45" t="str">
            <v>BRA_4767</v>
          </cell>
        </row>
        <row r="46">
          <cell r="A46" t="str">
            <v>Rio de Janeiro|BRA_4768</v>
          </cell>
          <cell r="B46" t="str">
            <v>admin1</v>
          </cell>
          <cell r="C46">
            <v>4768</v>
          </cell>
          <cell r="D46" t="str">
            <v>Rio de Janeiro</v>
          </cell>
          <cell r="E46" t="str">
            <v>BRA_4768</v>
          </cell>
        </row>
        <row r="47">
          <cell r="A47" t="str">
            <v>Rio Grande do Norte|BRA_4769</v>
          </cell>
          <cell r="B47" t="str">
            <v>admin1</v>
          </cell>
          <cell r="C47">
            <v>4769</v>
          </cell>
          <cell r="D47" t="str">
            <v>Rio Grande do Norte</v>
          </cell>
          <cell r="E47" t="str">
            <v>BRA_4769</v>
          </cell>
        </row>
        <row r="48">
          <cell r="A48" t="str">
            <v>Rondônia|BRA_4770</v>
          </cell>
          <cell r="B48" t="str">
            <v>admin1</v>
          </cell>
          <cell r="C48">
            <v>4770</v>
          </cell>
          <cell r="D48" t="str">
            <v>Rondônia</v>
          </cell>
          <cell r="E48" t="str">
            <v>BRA_4770</v>
          </cell>
        </row>
        <row r="49">
          <cell r="A49" t="str">
            <v>Roraima|BRA_4771</v>
          </cell>
          <cell r="B49" t="str">
            <v>admin1</v>
          </cell>
          <cell r="C49">
            <v>4771</v>
          </cell>
          <cell r="D49" t="str">
            <v>Roraima</v>
          </cell>
          <cell r="E49" t="str">
            <v>BRA_4771</v>
          </cell>
        </row>
        <row r="50">
          <cell r="A50" t="str">
            <v>Rio Grande do Sul|BRA_4772</v>
          </cell>
          <cell r="B50" t="str">
            <v>admin1</v>
          </cell>
          <cell r="C50">
            <v>4772</v>
          </cell>
          <cell r="D50" t="str">
            <v>Rio Grande do Sul</v>
          </cell>
          <cell r="E50" t="str">
            <v>BRA_4772</v>
          </cell>
        </row>
        <row r="51">
          <cell r="A51" t="str">
            <v>Santa Catarina|BRA_4773</v>
          </cell>
          <cell r="B51" t="str">
            <v>admin1</v>
          </cell>
          <cell r="C51">
            <v>4773</v>
          </cell>
          <cell r="D51" t="str">
            <v>Santa Catarina</v>
          </cell>
          <cell r="E51" t="str">
            <v>BRA_4773</v>
          </cell>
        </row>
        <row r="52">
          <cell r="A52" t="str">
            <v>Sergipe|BRA_4774</v>
          </cell>
          <cell r="B52" t="str">
            <v>admin1</v>
          </cell>
          <cell r="C52">
            <v>4774</v>
          </cell>
          <cell r="D52" t="str">
            <v>Sergipe</v>
          </cell>
          <cell r="E52" t="str">
            <v>BRA_4774</v>
          </cell>
        </row>
        <row r="53">
          <cell r="A53" t="str">
            <v>São Paulo|BRA_4775</v>
          </cell>
          <cell r="B53" t="str">
            <v>admin1</v>
          </cell>
          <cell r="C53">
            <v>4775</v>
          </cell>
          <cell r="D53" t="str">
            <v>São Paulo</v>
          </cell>
          <cell r="E53" t="str">
            <v>BRA_4775</v>
          </cell>
        </row>
        <row r="54">
          <cell r="A54" t="str">
            <v>Tocantins|BRA_4776</v>
          </cell>
          <cell r="B54" t="str">
            <v>admin1</v>
          </cell>
          <cell r="C54">
            <v>4776</v>
          </cell>
          <cell r="D54" t="str">
            <v>Tocantins</v>
          </cell>
          <cell r="E54" t="str">
            <v>BRA_4776</v>
          </cell>
        </row>
        <row r="55">
          <cell r="A55" t="str">
            <v>Barbados|BRB</v>
          </cell>
          <cell r="B55" t="str">
            <v>admin0</v>
          </cell>
          <cell r="C55">
            <v>107</v>
          </cell>
          <cell r="D55" t="str">
            <v>Barbados</v>
          </cell>
          <cell r="E55" t="str">
            <v>BRB</v>
          </cell>
        </row>
        <row r="56">
          <cell r="A56" t="str">
            <v>Brunei|BRN</v>
          </cell>
          <cell r="B56" t="str">
            <v>admin0</v>
          </cell>
          <cell r="C56">
            <v>66</v>
          </cell>
          <cell r="D56" t="str">
            <v>Brunei</v>
          </cell>
          <cell r="E56" t="str">
            <v>BRN</v>
          </cell>
        </row>
        <row r="57">
          <cell r="A57" t="str">
            <v>Bhutan|BTN</v>
          </cell>
          <cell r="B57" t="str">
            <v>admin0</v>
          </cell>
          <cell r="C57">
            <v>162</v>
          </cell>
          <cell r="D57" t="str">
            <v>Bhutan</v>
          </cell>
          <cell r="E57" t="str">
            <v>BTN</v>
          </cell>
        </row>
        <row r="58">
          <cell r="A58" t="str">
            <v>Botswana|BWA</v>
          </cell>
          <cell r="B58" t="str">
            <v>admin0</v>
          </cell>
          <cell r="C58">
            <v>193</v>
          </cell>
          <cell r="D58" t="str">
            <v>Botswana</v>
          </cell>
          <cell r="E58" t="str">
            <v>BWA</v>
          </cell>
        </row>
        <row r="59">
          <cell r="A59" t="str">
            <v>Central African Republic|CAF</v>
          </cell>
          <cell r="B59" t="str">
            <v>admin0</v>
          </cell>
          <cell r="C59">
            <v>169</v>
          </cell>
          <cell r="D59" t="str">
            <v>Central African Republic</v>
          </cell>
          <cell r="E59" t="str">
            <v>CAF</v>
          </cell>
        </row>
        <row r="60">
          <cell r="A60" t="str">
            <v>Canada|CAN</v>
          </cell>
          <cell r="B60" t="str">
            <v>admin0</v>
          </cell>
          <cell r="C60">
            <v>101</v>
          </cell>
          <cell r="D60" t="str">
            <v>Canada</v>
          </cell>
          <cell r="E60" t="str">
            <v>CAN</v>
          </cell>
        </row>
        <row r="61">
          <cell r="A61" t="str">
            <v>Switzerland|CHE</v>
          </cell>
          <cell r="B61" t="str">
            <v>admin0</v>
          </cell>
          <cell r="C61">
            <v>94</v>
          </cell>
          <cell r="D61" t="str">
            <v>Switzerland</v>
          </cell>
          <cell r="E61" t="str">
            <v>CHE</v>
          </cell>
        </row>
        <row r="62">
          <cell r="A62" t="str">
            <v>Chile|CHL</v>
          </cell>
          <cell r="B62" t="str">
            <v>admin0</v>
          </cell>
          <cell r="C62">
            <v>98</v>
          </cell>
          <cell r="D62" t="str">
            <v>Chile</v>
          </cell>
          <cell r="E62" t="str">
            <v>CHL</v>
          </cell>
        </row>
        <row r="63">
          <cell r="A63" t="str">
            <v>China|CHN</v>
          </cell>
          <cell r="B63" t="str">
            <v>admin0</v>
          </cell>
          <cell r="C63">
            <v>6</v>
          </cell>
          <cell r="D63" t="str">
            <v>China</v>
          </cell>
          <cell r="E63" t="str">
            <v>CHN</v>
          </cell>
        </row>
        <row r="64">
          <cell r="A64" t="str">
            <v>Hong Kong Special Administrative Region of China|CHN_354</v>
          </cell>
          <cell r="B64" t="str">
            <v>admin1</v>
          </cell>
          <cell r="C64">
            <v>354</v>
          </cell>
          <cell r="D64" t="str">
            <v>Hong Kong Special Administrative Region of China</v>
          </cell>
          <cell r="E64" t="str">
            <v>CHN_354</v>
          </cell>
        </row>
        <row r="65">
          <cell r="A65" t="str">
            <v>Macao Special Administrative Region of China|CHN_361</v>
          </cell>
          <cell r="B65" t="str">
            <v>admin1</v>
          </cell>
          <cell r="C65">
            <v>361</v>
          </cell>
          <cell r="D65" t="str">
            <v>Macao Special Administrative Region of China</v>
          </cell>
          <cell r="E65" t="str">
            <v>CHN_361</v>
          </cell>
        </row>
        <row r="66">
          <cell r="A66" t="str">
            <v>Anhui|CHN_491</v>
          </cell>
          <cell r="B66" t="str">
            <v>admin1</v>
          </cell>
          <cell r="C66">
            <v>491</v>
          </cell>
          <cell r="D66" t="str">
            <v>Anhui</v>
          </cell>
          <cell r="E66" t="str">
            <v>CHN_491</v>
          </cell>
        </row>
        <row r="67">
          <cell r="A67" t="str">
            <v>Beijing|CHN_492</v>
          </cell>
          <cell r="B67" t="str">
            <v>admin1</v>
          </cell>
          <cell r="C67">
            <v>492</v>
          </cell>
          <cell r="D67" t="str">
            <v>Beijing</v>
          </cell>
          <cell r="E67" t="str">
            <v>CHN_492</v>
          </cell>
        </row>
        <row r="68">
          <cell r="A68" t="str">
            <v>Chongqing|CHN_493</v>
          </cell>
          <cell r="B68" t="str">
            <v>admin1</v>
          </cell>
          <cell r="C68">
            <v>493</v>
          </cell>
          <cell r="D68" t="str">
            <v>Chongqing</v>
          </cell>
          <cell r="E68" t="str">
            <v>CHN_493</v>
          </cell>
        </row>
        <row r="69">
          <cell r="A69" t="str">
            <v>Fujian|CHN_494</v>
          </cell>
          <cell r="B69" t="str">
            <v>admin1</v>
          </cell>
          <cell r="C69">
            <v>494</v>
          </cell>
          <cell r="D69" t="str">
            <v>Fujian</v>
          </cell>
          <cell r="E69" t="str">
            <v>CHN_494</v>
          </cell>
        </row>
        <row r="70">
          <cell r="A70" t="str">
            <v>Gansu|CHN_495</v>
          </cell>
          <cell r="B70" t="str">
            <v>admin1</v>
          </cell>
          <cell r="C70">
            <v>495</v>
          </cell>
          <cell r="D70" t="str">
            <v>Gansu</v>
          </cell>
          <cell r="E70" t="str">
            <v>CHN_495</v>
          </cell>
        </row>
        <row r="71">
          <cell r="A71" t="str">
            <v>Guangdong|CHN_496</v>
          </cell>
          <cell r="B71" t="str">
            <v>admin1</v>
          </cell>
          <cell r="C71">
            <v>496</v>
          </cell>
          <cell r="D71" t="str">
            <v>Guangdong</v>
          </cell>
          <cell r="E71" t="str">
            <v>CHN_496</v>
          </cell>
        </row>
        <row r="72">
          <cell r="A72" t="str">
            <v>Guangxi|CHN_497</v>
          </cell>
          <cell r="B72" t="str">
            <v>admin1</v>
          </cell>
          <cell r="C72">
            <v>497</v>
          </cell>
          <cell r="D72" t="str">
            <v>Guangxi</v>
          </cell>
          <cell r="E72" t="str">
            <v>CHN_497</v>
          </cell>
        </row>
        <row r="73">
          <cell r="A73" t="str">
            <v>Guizhou|CHN_498</v>
          </cell>
          <cell r="B73" t="str">
            <v>admin1</v>
          </cell>
          <cell r="C73">
            <v>498</v>
          </cell>
          <cell r="D73" t="str">
            <v>Guizhou</v>
          </cell>
          <cell r="E73" t="str">
            <v>CHN_498</v>
          </cell>
        </row>
        <row r="74">
          <cell r="A74" t="str">
            <v>Hainan|CHN_499</v>
          </cell>
          <cell r="B74" t="str">
            <v>admin1</v>
          </cell>
          <cell r="C74">
            <v>499</v>
          </cell>
          <cell r="D74" t="str">
            <v>Hainan</v>
          </cell>
          <cell r="E74" t="str">
            <v>CHN_499</v>
          </cell>
        </row>
        <row r="75">
          <cell r="A75" t="str">
            <v>Hebei|CHN_500</v>
          </cell>
          <cell r="B75" t="str">
            <v>admin1</v>
          </cell>
          <cell r="C75">
            <v>500</v>
          </cell>
          <cell r="D75" t="str">
            <v>Hebei</v>
          </cell>
          <cell r="E75" t="str">
            <v>CHN_500</v>
          </cell>
        </row>
        <row r="76">
          <cell r="A76" t="str">
            <v>Heilongjiang|CHN_501</v>
          </cell>
          <cell r="B76" t="str">
            <v>admin1</v>
          </cell>
          <cell r="C76">
            <v>501</v>
          </cell>
          <cell r="D76" t="str">
            <v>Heilongjiang</v>
          </cell>
          <cell r="E76" t="str">
            <v>CHN_501</v>
          </cell>
        </row>
        <row r="77">
          <cell r="A77" t="str">
            <v>Henan|CHN_502</v>
          </cell>
          <cell r="B77" t="str">
            <v>admin1</v>
          </cell>
          <cell r="C77">
            <v>502</v>
          </cell>
          <cell r="D77" t="str">
            <v>Henan</v>
          </cell>
          <cell r="E77" t="str">
            <v>CHN_502</v>
          </cell>
        </row>
        <row r="78">
          <cell r="A78" t="str">
            <v>Hubei|CHN_503</v>
          </cell>
          <cell r="B78" t="str">
            <v>admin1</v>
          </cell>
          <cell r="C78">
            <v>503</v>
          </cell>
          <cell r="D78" t="str">
            <v>Hubei</v>
          </cell>
          <cell r="E78" t="str">
            <v>CHN_503</v>
          </cell>
        </row>
        <row r="79">
          <cell r="A79" t="str">
            <v>Hunan|CHN_504</v>
          </cell>
          <cell r="B79" t="str">
            <v>admin1</v>
          </cell>
          <cell r="C79">
            <v>504</v>
          </cell>
          <cell r="D79" t="str">
            <v>Hunan</v>
          </cell>
          <cell r="E79" t="str">
            <v>CHN_504</v>
          </cell>
        </row>
        <row r="80">
          <cell r="A80" t="str">
            <v>Inner Mongolia|CHN_505</v>
          </cell>
          <cell r="B80" t="str">
            <v>admin1</v>
          </cell>
          <cell r="C80">
            <v>505</v>
          </cell>
          <cell r="D80" t="str">
            <v>Inner Mongolia</v>
          </cell>
          <cell r="E80" t="str">
            <v>CHN_505</v>
          </cell>
        </row>
        <row r="81">
          <cell r="A81" t="str">
            <v>Jiangsu|CHN_506</v>
          </cell>
          <cell r="B81" t="str">
            <v>admin1</v>
          </cell>
          <cell r="C81">
            <v>506</v>
          </cell>
          <cell r="D81" t="str">
            <v>Jiangsu</v>
          </cell>
          <cell r="E81" t="str">
            <v>CHN_506</v>
          </cell>
        </row>
        <row r="82">
          <cell r="A82" t="str">
            <v>Jiangxi|CHN_507</v>
          </cell>
          <cell r="B82" t="str">
            <v>admin1</v>
          </cell>
          <cell r="C82">
            <v>507</v>
          </cell>
          <cell r="D82" t="str">
            <v>Jiangxi</v>
          </cell>
          <cell r="E82" t="str">
            <v>CHN_507</v>
          </cell>
        </row>
        <row r="83">
          <cell r="A83" t="str">
            <v>Jilin|CHN_508</v>
          </cell>
          <cell r="B83" t="str">
            <v>admin1</v>
          </cell>
          <cell r="C83">
            <v>508</v>
          </cell>
          <cell r="D83" t="str">
            <v>Jilin</v>
          </cell>
          <cell r="E83" t="str">
            <v>CHN_508</v>
          </cell>
        </row>
        <row r="84">
          <cell r="A84" t="str">
            <v>Liaoning|CHN_509</v>
          </cell>
          <cell r="B84" t="str">
            <v>admin1</v>
          </cell>
          <cell r="C84">
            <v>509</v>
          </cell>
          <cell r="D84" t="str">
            <v>Liaoning</v>
          </cell>
          <cell r="E84" t="str">
            <v>CHN_509</v>
          </cell>
        </row>
        <row r="85">
          <cell r="A85" t="str">
            <v>Ningxia|CHN_510</v>
          </cell>
          <cell r="B85" t="str">
            <v>admin1</v>
          </cell>
          <cell r="C85">
            <v>510</v>
          </cell>
          <cell r="D85" t="str">
            <v>Ningxia</v>
          </cell>
          <cell r="E85" t="str">
            <v>CHN_510</v>
          </cell>
        </row>
        <row r="86">
          <cell r="A86" t="str">
            <v>Qinghai|CHN_511</v>
          </cell>
          <cell r="B86" t="str">
            <v>admin1</v>
          </cell>
          <cell r="C86">
            <v>511</v>
          </cell>
          <cell r="D86" t="str">
            <v>Qinghai</v>
          </cell>
          <cell r="E86" t="str">
            <v>CHN_511</v>
          </cell>
        </row>
        <row r="87">
          <cell r="A87" t="str">
            <v>Shaanxi|CHN_512</v>
          </cell>
          <cell r="B87" t="str">
            <v>admin1</v>
          </cell>
          <cell r="C87">
            <v>512</v>
          </cell>
          <cell r="D87" t="str">
            <v>Shaanxi</v>
          </cell>
          <cell r="E87" t="str">
            <v>CHN_512</v>
          </cell>
        </row>
        <row r="88">
          <cell r="A88" t="str">
            <v>Shandong|CHN_513</v>
          </cell>
          <cell r="B88" t="str">
            <v>admin1</v>
          </cell>
          <cell r="C88">
            <v>513</v>
          </cell>
          <cell r="D88" t="str">
            <v>Shandong</v>
          </cell>
          <cell r="E88" t="str">
            <v>CHN_513</v>
          </cell>
        </row>
        <row r="89">
          <cell r="A89" t="str">
            <v>Shanghai|CHN_514</v>
          </cell>
          <cell r="B89" t="str">
            <v>admin1</v>
          </cell>
          <cell r="C89">
            <v>514</v>
          </cell>
          <cell r="D89" t="str">
            <v>Shanghai</v>
          </cell>
          <cell r="E89" t="str">
            <v>CHN_514</v>
          </cell>
        </row>
        <row r="90">
          <cell r="A90" t="str">
            <v>Shanxi|CHN_515</v>
          </cell>
          <cell r="B90" t="str">
            <v>admin1</v>
          </cell>
          <cell r="C90">
            <v>515</v>
          </cell>
          <cell r="D90" t="str">
            <v>Shanxi</v>
          </cell>
          <cell r="E90" t="str">
            <v>CHN_515</v>
          </cell>
        </row>
        <row r="91">
          <cell r="A91" t="str">
            <v>Sichuan|CHN_516</v>
          </cell>
          <cell r="B91" t="str">
            <v>admin1</v>
          </cell>
          <cell r="C91">
            <v>516</v>
          </cell>
          <cell r="D91" t="str">
            <v>Sichuan</v>
          </cell>
          <cell r="E91" t="str">
            <v>CHN_516</v>
          </cell>
        </row>
        <row r="92">
          <cell r="A92" t="str">
            <v>Tianjin|CHN_517</v>
          </cell>
          <cell r="B92" t="str">
            <v>admin1</v>
          </cell>
          <cell r="C92">
            <v>517</v>
          </cell>
          <cell r="D92" t="str">
            <v>Tianjin</v>
          </cell>
          <cell r="E92" t="str">
            <v>CHN_517</v>
          </cell>
        </row>
        <row r="93">
          <cell r="A93" t="str">
            <v>Tibet|CHN_518</v>
          </cell>
          <cell r="B93" t="str">
            <v>admin1</v>
          </cell>
          <cell r="C93">
            <v>518</v>
          </cell>
          <cell r="D93" t="str">
            <v>Tibet</v>
          </cell>
          <cell r="E93" t="str">
            <v>CHN_518</v>
          </cell>
        </row>
        <row r="94">
          <cell r="A94" t="str">
            <v>Xinjiang|CHN_519</v>
          </cell>
          <cell r="B94" t="str">
            <v>admin1</v>
          </cell>
          <cell r="C94">
            <v>519</v>
          </cell>
          <cell r="D94" t="str">
            <v>Xinjiang</v>
          </cell>
          <cell r="E94" t="str">
            <v>CHN_519</v>
          </cell>
        </row>
        <row r="95">
          <cell r="A95" t="str">
            <v>Yunnan|CHN_520</v>
          </cell>
          <cell r="B95" t="str">
            <v>admin1</v>
          </cell>
          <cell r="C95">
            <v>520</v>
          </cell>
          <cell r="D95" t="str">
            <v>Yunnan</v>
          </cell>
          <cell r="E95" t="str">
            <v>CHN_520</v>
          </cell>
        </row>
        <row r="96">
          <cell r="A96" t="str">
            <v>Zhejiang|CHN_521</v>
          </cell>
          <cell r="B96" t="str">
            <v>admin1</v>
          </cell>
          <cell r="C96">
            <v>521</v>
          </cell>
          <cell r="D96" t="str">
            <v>Zhejiang</v>
          </cell>
          <cell r="E96" t="str">
            <v>CHN_521</v>
          </cell>
        </row>
        <row r="97">
          <cell r="A97" t="str">
            <v>Cote d'Ivoire|CIV</v>
          </cell>
          <cell r="B97" t="str">
            <v>admin0</v>
          </cell>
          <cell r="C97">
            <v>205</v>
          </cell>
          <cell r="D97" t="str">
            <v>Cote d'Ivoire</v>
          </cell>
          <cell r="E97" t="str">
            <v>CIV</v>
          </cell>
        </row>
        <row r="98">
          <cell r="A98" t="str">
            <v>Cameroon|CMR</v>
          </cell>
          <cell r="B98" t="str">
            <v>admin0</v>
          </cell>
          <cell r="C98">
            <v>202</v>
          </cell>
          <cell r="D98" t="str">
            <v>Cameroon</v>
          </cell>
          <cell r="E98" t="str">
            <v>CMR</v>
          </cell>
        </row>
        <row r="99">
          <cell r="A99" t="str">
            <v>Democratic Republic of the Congo|COD</v>
          </cell>
          <cell r="B99" t="str">
            <v>admin0</v>
          </cell>
          <cell r="C99">
            <v>171</v>
          </cell>
          <cell r="D99" t="str">
            <v>Democratic Republic of the Congo</v>
          </cell>
          <cell r="E99" t="str">
            <v>COD</v>
          </cell>
        </row>
        <row r="100">
          <cell r="A100" t="str">
            <v>Congo|COG</v>
          </cell>
          <cell r="B100" t="str">
            <v>admin0</v>
          </cell>
          <cell r="C100">
            <v>170</v>
          </cell>
          <cell r="D100" t="str">
            <v>Congo</v>
          </cell>
          <cell r="E100" t="str">
            <v>COG</v>
          </cell>
        </row>
        <row r="101">
          <cell r="A101" t="str">
            <v>Cook Islands|COK</v>
          </cell>
          <cell r="B101" t="str">
            <v>nonsovereign</v>
          </cell>
          <cell r="C101">
            <v>320</v>
          </cell>
          <cell r="D101" t="str">
            <v>Cook Islands</v>
          </cell>
          <cell r="E101" t="str">
            <v>COK</v>
          </cell>
        </row>
        <row r="102">
          <cell r="A102" t="str">
            <v>Colombia|COL</v>
          </cell>
          <cell r="B102" t="str">
            <v>admin0</v>
          </cell>
          <cell r="C102">
            <v>125</v>
          </cell>
          <cell r="D102" t="str">
            <v>Colombia</v>
          </cell>
          <cell r="E102" t="str">
            <v>COL</v>
          </cell>
        </row>
        <row r="103">
          <cell r="A103" t="str">
            <v>Comoros|COM</v>
          </cell>
          <cell r="B103" t="str">
            <v>admin0</v>
          </cell>
          <cell r="C103">
            <v>176</v>
          </cell>
          <cell r="D103" t="str">
            <v>Comoros</v>
          </cell>
          <cell r="E103" t="str">
            <v>COM</v>
          </cell>
        </row>
        <row r="104">
          <cell r="A104" t="str">
            <v>Cape Verde|CPV</v>
          </cell>
          <cell r="B104" t="str">
            <v>admin0</v>
          </cell>
          <cell r="C104">
            <v>203</v>
          </cell>
          <cell r="D104" t="str">
            <v>Cape Verde</v>
          </cell>
          <cell r="E104" t="str">
            <v>CPV</v>
          </cell>
        </row>
        <row r="105">
          <cell r="A105" t="str">
            <v>Costa Rica|CRI</v>
          </cell>
          <cell r="B105" t="str">
            <v>admin0</v>
          </cell>
          <cell r="C105">
            <v>126</v>
          </cell>
          <cell r="D105" t="str">
            <v>Costa Rica</v>
          </cell>
          <cell r="E105" t="str">
            <v>CRI</v>
          </cell>
        </row>
        <row r="106">
          <cell r="A106" t="str">
            <v>Cuba|CUB</v>
          </cell>
          <cell r="B106" t="str">
            <v>admin0</v>
          </cell>
          <cell r="C106">
            <v>109</v>
          </cell>
          <cell r="D106" t="str">
            <v>Cuba</v>
          </cell>
          <cell r="E106" t="str">
            <v>CUB</v>
          </cell>
        </row>
        <row r="107">
          <cell r="A107" t="str">
            <v>Cyprus|CYP</v>
          </cell>
          <cell r="B107" t="str">
            <v>admin0</v>
          </cell>
          <cell r="C107">
            <v>77</v>
          </cell>
          <cell r="D107" t="str">
            <v>Cyprus</v>
          </cell>
          <cell r="E107" t="str">
            <v>CYP</v>
          </cell>
        </row>
        <row r="108">
          <cell r="A108" t="str">
            <v>Czech Republic|CZE</v>
          </cell>
          <cell r="B108" t="str">
            <v>admin0</v>
          </cell>
          <cell r="C108">
            <v>47</v>
          </cell>
          <cell r="D108" t="str">
            <v>Czech Republic</v>
          </cell>
          <cell r="E108" t="str">
            <v>CZE</v>
          </cell>
        </row>
        <row r="109">
          <cell r="A109" t="str">
            <v>Germany|DEU</v>
          </cell>
          <cell r="B109" t="str">
            <v>admin0</v>
          </cell>
          <cell r="C109">
            <v>81</v>
          </cell>
          <cell r="D109" t="str">
            <v>Germany</v>
          </cell>
          <cell r="E109" t="str">
            <v>DEU</v>
          </cell>
        </row>
        <row r="110">
          <cell r="A110" t="str">
            <v>Djibouti|DJI</v>
          </cell>
          <cell r="B110" t="str">
            <v>admin0</v>
          </cell>
          <cell r="C110">
            <v>177</v>
          </cell>
          <cell r="D110" t="str">
            <v>Djibouti</v>
          </cell>
          <cell r="E110" t="str">
            <v>DJI</v>
          </cell>
        </row>
        <row r="111">
          <cell r="A111" t="str">
            <v>Dominica|DMA</v>
          </cell>
          <cell r="B111" t="str">
            <v>admin0</v>
          </cell>
          <cell r="C111">
            <v>110</v>
          </cell>
          <cell r="D111" t="str">
            <v>Dominica</v>
          </cell>
          <cell r="E111" t="str">
            <v>DMA</v>
          </cell>
        </row>
        <row r="112">
          <cell r="A112" t="str">
            <v>Denmark|DNK</v>
          </cell>
          <cell r="B112" t="str">
            <v>admin0</v>
          </cell>
          <cell r="C112">
            <v>78</v>
          </cell>
          <cell r="D112" t="str">
            <v>Denmark</v>
          </cell>
          <cell r="E112" t="str">
            <v>DNK</v>
          </cell>
        </row>
        <row r="113">
          <cell r="A113" t="str">
            <v>Dominican Republic|DOM</v>
          </cell>
          <cell r="B113" t="str">
            <v>admin0</v>
          </cell>
          <cell r="C113">
            <v>111</v>
          </cell>
          <cell r="D113" t="str">
            <v>Dominican Republic</v>
          </cell>
          <cell r="E113" t="str">
            <v>DOM</v>
          </cell>
        </row>
        <row r="114">
          <cell r="A114" t="str">
            <v>Algeria|DZA</v>
          </cell>
          <cell r="B114" t="str">
            <v>admin0</v>
          </cell>
          <cell r="C114">
            <v>139</v>
          </cell>
          <cell r="D114" t="str">
            <v>Algeria</v>
          </cell>
          <cell r="E114" t="str">
            <v>DZA</v>
          </cell>
        </row>
        <row r="115">
          <cell r="A115" t="str">
            <v>Ecuador|ECU</v>
          </cell>
          <cell r="B115" t="str">
            <v>admin0</v>
          </cell>
          <cell r="C115">
            <v>122</v>
          </cell>
          <cell r="D115" t="str">
            <v>Ecuador</v>
          </cell>
          <cell r="E115" t="str">
            <v>ECU</v>
          </cell>
        </row>
        <row r="116">
          <cell r="A116" t="str">
            <v>Egypt|EGY</v>
          </cell>
          <cell r="B116" t="str">
            <v>admin0</v>
          </cell>
          <cell r="C116">
            <v>141</v>
          </cell>
          <cell r="D116" t="str">
            <v>Egypt</v>
          </cell>
          <cell r="E116" t="str">
            <v>EGY</v>
          </cell>
        </row>
        <row r="117">
          <cell r="A117" t="str">
            <v>Eritrea|ERI</v>
          </cell>
          <cell r="B117" t="str">
            <v>admin0</v>
          </cell>
          <cell r="C117">
            <v>178</v>
          </cell>
          <cell r="D117" t="str">
            <v>Eritrea</v>
          </cell>
          <cell r="E117" t="str">
            <v>ERI</v>
          </cell>
        </row>
        <row r="118">
          <cell r="A118" t="str">
            <v>Spain|ESP</v>
          </cell>
          <cell r="B118" t="str">
            <v>admin0</v>
          </cell>
          <cell r="C118">
            <v>92</v>
          </cell>
          <cell r="D118" t="str">
            <v>Spain</v>
          </cell>
          <cell r="E118" t="str">
            <v>ESP</v>
          </cell>
        </row>
        <row r="119">
          <cell r="A119" t="str">
            <v>Estonia|EST</v>
          </cell>
          <cell r="B119" t="str">
            <v>admin0</v>
          </cell>
          <cell r="C119">
            <v>58</v>
          </cell>
          <cell r="D119" t="str">
            <v>Estonia</v>
          </cell>
          <cell r="E119" t="str">
            <v>EST</v>
          </cell>
        </row>
        <row r="120">
          <cell r="A120" t="str">
            <v>Ethiopia|ETH</v>
          </cell>
          <cell r="B120" t="str">
            <v>admin0</v>
          </cell>
          <cell r="C120">
            <v>179</v>
          </cell>
          <cell r="D120" t="str">
            <v>Ethiopia</v>
          </cell>
          <cell r="E120" t="str">
            <v>ETH</v>
          </cell>
        </row>
        <row r="121">
          <cell r="A121" t="str">
            <v>Tigray|ETH_44852</v>
          </cell>
          <cell r="B121" t="str">
            <v>admin1</v>
          </cell>
          <cell r="C121">
            <v>44852</v>
          </cell>
          <cell r="D121" t="str">
            <v>Tigray</v>
          </cell>
          <cell r="E121" t="str">
            <v>ETH_44852</v>
          </cell>
        </row>
        <row r="122">
          <cell r="A122" t="str">
            <v>Afar|ETH_44853</v>
          </cell>
          <cell r="B122" t="str">
            <v>admin1</v>
          </cell>
          <cell r="C122">
            <v>44853</v>
          </cell>
          <cell r="D122" t="str">
            <v>Afar</v>
          </cell>
          <cell r="E122" t="str">
            <v>ETH_44853</v>
          </cell>
        </row>
        <row r="123">
          <cell r="A123" t="str">
            <v>Amhara|ETH_44854</v>
          </cell>
          <cell r="B123" t="str">
            <v>admin1</v>
          </cell>
          <cell r="C123">
            <v>44854</v>
          </cell>
          <cell r="D123" t="str">
            <v>Amhara</v>
          </cell>
          <cell r="E123" t="str">
            <v>ETH_44854</v>
          </cell>
        </row>
        <row r="124">
          <cell r="A124" t="str">
            <v>Oromia|ETH_44855</v>
          </cell>
          <cell r="B124" t="str">
            <v>admin1</v>
          </cell>
          <cell r="C124">
            <v>44855</v>
          </cell>
          <cell r="D124" t="str">
            <v>Oromia</v>
          </cell>
          <cell r="E124" t="str">
            <v>ETH_44855</v>
          </cell>
        </row>
        <row r="125">
          <cell r="A125" t="str">
            <v>Somali|ETH_44856</v>
          </cell>
          <cell r="B125" t="str">
            <v>admin1</v>
          </cell>
          <cell r="C125">
            <v>44856</v>
          </cell>
          <cell r="D125" t="str">
            <v>Somali</v>
          </cell>
          <cell r="E125" t="str">
            <v>ETH_44856</v>
          </cell>
        </row>
        <row r="126">
          <cell r="A126" t="str">
            <v>Benishangul-Gumuz|ETH_44857</v>
          </cell>
          <cell r="B126" t="str">
            <v>admin1</v>
          </cell>
          <cell r="C126">
            <v>44857</v>
          </cell>
          <cell r="D126" t="str">
            <v>Benishangul-Gumuz</v>
          </cell>
          <cell r="E126" t="str">
            <v>ETH_44857</v>
          </cell>
        </row>
        <row r="127">
          <cell r="A127" t="str">
            <v>Southern Nations, Nationalities, and Peoples|ETH_44858</v>
          </cell>
          <cell r="B127" t="str">
            <v>admin1</v>
          </cell>
          <cell r="C127">
            <v>44858</v>
          </cell>
          <cell r="D127" t="str">
            <v>Southern Nations, Nationalities, and Peoples</v>
          </cell>
          <cell r="E127" t="str">
            <v>ETH_44858</v>
          </cell>
        </row>
        <row r="128">
          <cell r="A128" t="str">
            <v>Harari|ETH_44859</v>
          </cell>
          <cell r="B128" t="str">
            <v>admin1</v>
          </cell>
          <cell r="C128">
            <v>44859</v>
          </cell>
          <cell r="D128" t="str">
            <v>Harari</v>
          </cell>
          <cell r="E128" t="str">
            <v>ETH_44859</v>
          </cell>
        </row>
        <row r="129">
          <cell r="A129" t="str">
            <v>Gambella|ETH_44860</v>
          </cell>
          <cell r="B129" t="str">
            <v>admin1</v>
          </cell>
          <cell r="C129">
            <v>44860</v>
          </cell>
          <cell r="D129" t="str">
            <v>Gambella</v>
          </cell>
          <cell r="E129" t="str">
            <v>ETH_44860</v>
          </cell>
        </row>
        <row r="130">
          <cell r="A130" t="str">
            <v>Addis Ababa|ETH_44861</v>
          </cell>
          <cell r="B130" t="str">
            <v>admin1</v>
          </cell>
          <cell r="C130">
            <v>44861</v>
          </cell>
          <cell r="D130" t="str">
            <v>Addis Ababa</v>
          </cell>
          <cell r="E130" t="str">
            <v>ETH_44861</v>
          </cell>
        </row>
        <row r="131">
          <cell r="A131" t="str">
            <v>Dire Dawa|ETH_44862</v>
          </cell>
          <cell r="B131" t="str">
            <v>admin1</v>
          </cell>
          <cell r="C131">
            <v>44862</v>
          </cell>
          <cell r="D131" t="str">
            <v>Dire Dawa</v>
          </cell>
          <cell r="E131" t="str">
            <v>ETH_44862</v>
          </cell>
        </row>
        <row r="132">
          <cell r="A132" t="str">
            <v>Finland|FIN</v>
          </cell>
          <cell r="B132" t="str">
            <v>admin0</v>
          </cell>
          <cell r="C132">
            <v>79</v>
          </cell>
          <cell r="D132" t="str">
            <v>Finland</v>
          </cell>
          <cell r="E132" t="str">
            <v>FIN</v>
          </cell>
        </row>
        <row r="133">
          <cell r="A133" t="str">
            <v>Fiji|FJI</v>
          </cell>
          <cell r="B133" t="str">
            <v>admin0</v>
          </cell>
          <cell r="C133">
            <v>22</v>
          </cell>
          <cell r="D133" t="str">
            <v>Fiji</v>
          </cell>
          <cell r="E133" t="str">
            <v>FJI</v>
          </cell>
        </row>
        <row r="134">
          <cell r="A134" t="str">
            <v>France|FRA</v>
          </cell>
          <cell r="B134" t="str">
            <v>admin0</v>
          </cell>
          <cell r="C134">
            <v>80</v>
          </cell>
          <cell r="D134" t="str">
            <v>France</v>
          </cell>
          <cell r="E134" t="str">
            <v>FRA</v>
          </cell>
        </row>
        <row r="135">
          <cell r="A135" t="str">
            <v>Federated States of Micronesia|FSM</v>
          </cell>
          <cell r="B135" t="str">
            <v>admin0</v>
          </cell>
          <cell r="C135">
            <v>25</v>
          </cell>
          <cell r="D135" t="str">
            <v>Federated States of Micronesia</v>
          </cell>
          <cell r="E135" t="str">
            <v>FSM</v>
          </cell>
        </row>
        <row r="136">
          <cell r="A136" t="str">
            <v>Global|G</v>
          </cell>
          <cell r="B136" t="str">
            <v>global</v>
          </cell>
          <cell r="C136">
            <v>1</v>
          </cell>
          <cell r="D136" t="str">
            <v>Global</v>
          </cell>
          <cell r="E136" t="str">
            <v>G</v>
          </cell>
        </row>
        <row r="137">
          <cell r="A137" t="str">
            <v>Gabon|GAB</v>
          </cell>
          <cell r="B137" t="str">
            <v>admin0</v>
          </cell>
          <cell r="C137">
            <v>173</v>
          </cell>
          <cell r="D137" t="str">
            <v>Gabon</v>
          </cell>
          <cell r="E137" t="str">
            <v>GAB</v>
          </cell>
        </row>
        <row r="138">
          <cell r="A138" t="str">
            <v>United Kingdom|GBR</v>
          </cell>
          <cell r="B138" t="str">
            <v>admin0</v>
          </cell>
          <cell r="C138">
            <v>95</v>
          </cell>
          <cell r="D138" t="str">
            <v>United Kingdom</v>
          </cell>
          <cell r="E138" t="str">
            <v>GBR</v>
          </cell>
        </row>
        <row r="139">
          <cell r="A139" t="str">
            <v>Northern Ireland|GBR_433</v>
          </cell>
          <cell r="B139" t="str">
            <v>admin1</v>
          </cell>
          <cell r="C139">
            <v>433</v>
          </cell>
          <cell r="D139" t="str">
            <v>Northern Ireland</v>
          </cell>
          <cell r="E139" t="str">
            <v>GBR_433</v>
          </cell>
        </row>
        <row r="140">
          <cell r="A140" t="str">
            <v>Scotland|GBR_434</v>
          </cell>
          <cell r="B140" t="str">
            <v>admin1</v>
          </cell>
          <cell r="C140">
            <v>434</v>
          </cell>
          <cell r="D140" t="str">
            <v>Scotland</v>
          </cell>
          <cell r="E140" t="str">
            <v>GBR_434</v>
          </cell>
        </row>
        <row r="141">
          <cell r="A141" t="str">
            <v>Darlington|GBR_44643</v>
          </cell>
          <cell r="B141" t="str">
            <v>health_districts</v>
          </cell>
          <cell r="C141">
            <v>44643</v>
          </cell>
          <cell r="D141" t="str">
            <v>Darlington</v>
          </cell>
          <cell r="E141" t="str">
            <v>GBR_44643</v>
          </cell>
        </row>
        <row r="142">
          <cell r="A142" t="str">
            <v>Northumberland|GBR_44644</v>
          </cell>
          <cell r="B142" t="str">
            <v>health_districts</v>
          </cell>
          <cell r="C142">
            <v>44644</v>
          </cell>
          <cell r="D142" t="str">
            <v>Northumberland</v>
          </cell>
          <cell r="E142" t="str">
            <v>GBR_44644</v>
          </cell>
        </row>
        <row r="143">
          <cell r="A143" t="str">
            <v>Stockton-on-Tees|GBR_44645</v>
          </cell>
          <cell r="B143" t="str">
            <v>health_districts</v>
          </cell>
          <cell r="C143">
            <v>44645</v>
          </cell>
          <cell r="D143" t="str">
            <v>Stockton-on-Tees</v>
          </cell>
          <cell r="E143" t="str">
            <v>GBR_44645</v>
          </cell>
        </row>
        <row r="144">
          <cell r="A144" t="str">
            <v>Newcastle upon Tyne|GBR_44646</v>
          </cell>
          <cell r="B144" t="str">
            <v>health_districts</v>
          </cell>
          <cell r="C144">
            <v>44646</v>
          </cell>
          <cell r="D144" t="str">
            <v>Newcastle upon Tyne</v>
          </cell>
          <cell r="E144" t="str">
            <v>GBR_44646</v>
          </cell>
        </row>
        <row r="145">
          <cell r="A145" t="str">
            <v>North Tyneside|GBR_44647</v>
          </cell>
          <cell r="B145" t="str">
            <v>health_districts</v>
          </cell>
          <cell r="C145">
            <v>44647</v>
          </cell>
          <cell r="D145" t="str">
            <v>North Tyneside</v>
          </cell>
          <cell r="E145" t="str">
            <v>GBR_44647</v>
          </cell>
        </row>
        <row r="146">
          <cell r="A146" t="str">
            <v>Redcar and Cleveland|GBR_44648</v>
          </cell>
          <cell r="B146" t="str">
            <v>health_districts</v>
          </cell>
          <cell r="C146">
            <v>44648</v>
          </cell>
          <cell r="D146" t="str">
            <v>Redcar and Cleveland</v>
          </cell>
          <cell r="E146" t="str">
            <v>GBR_44648</v>
          </cell>
        </row>
        <row r="147">
          <cell r="A147" t="str">
            <v>County Durham|GBR_44649</v>
          </cell>
          <cell r="B147" t="str">
            <v>health_districts</v>
          </cell>
          <cell r="C147">
            <v>44649</v>
          </cell>
          <cell r="D147" t="str">
            <v>County Durham</v>
          </cell>
          <cell r="E147" t="str">
            <v>GBR_44649</v>
          </cell>
        </row>
        <row r="148">
          <cell r="A148" t="str">
            <v>Gateshead|GBR_44650</v>
          </cell>
          <cell r="B148" t="str">
            <v>health_districts</v>
          </cell>
          <cell r="C148">
            <v>44650</v>
          </cell>
          <cell r="D148" t="str">
            <v>Gateshead</v>
          </cell>
          <cell r="E148" t="str">
            <v>GBR_44650</v>
          </cell>
        </row>
        <row r="149">
          <cell r="A149" t="str">
            <v>Middlesbrough|GBR_44651</v>
          </cell>
          <cell r="B149" t="str">
            <v>health_districts</v>
          </cell>
          <cell r="C149">
            <v>44651</v>
          </cell>
          <cell r="D149" t="str">
            <v>Middlesbrough</v>
          </cell>
          <cell r="E149" t="str">
            <v>GBR_44651</v>
          </cell>
        </row>
        <row r="150">
          <cell r="A150" t="str">
            <v>South Tyneside|GBR_44652</v>
          </cell>
          <cell r="B150" t="str">
            <v>health_districts</v>
          </cell>
          <cell r="C150">
            <v>44652</v>
          </cell>
          <cell r="D150" t="str">
            <v>South Tyneside</v>
          </cell>
          <cell r="E150" t="str">
            <v>GBR_44652</v>
          </cell>
        </row>
        <row r="151">
          <cell r="A151" t="str">
            <v>Sunderland|GBR_44653</v>
          </cell>
          <cell r="B151" t="str">
            <v>health_districts</v>
          </cell>
          <cell r="C151">
            <v>44653</v>
          </cell>
          <cell r="D151" t="str">
            <v>Sunderland</v>
          </cell>
          <cell r="E151" t="str">
            <v>GBR_44653</v>
          </cell>
        </row>
        <row r="152">
          <cell r="A152" t="str">
            <v>Hartlepool|GBR_44654</v>
          </cell>
          <cell r="B152" t="str">
            <v>health_districts</v>
          </cell>
          <cell r="C152">
            <v>44654</v>
          </cell>
          <cell r="D152" t="str">
            <v>Hartlepool</v>
          </cell>
          <cell r="E152" t="str">
            <v>GBR_44654</v>
          </cell>
        </row>
        <row r="153">
          <cell r="A153" t="str">
            <v>Cheshire East|GBR_44655</v>
          </cell>
          <cell r="B153" t="str">
            <v>health_districts</v>
          </cell>
          <cell r="C153">
            <v>44655</v>
          </cell>
          <cell r="D153" t="str">
            <v>Cheshire East</v>
          </cell>
          <cell r="E153" t="str">
            <v>GBR_44655</v>
          </cell>
        </row>
        <row r="154">
          <cell r="A154" t="str">
            <v>Stockport|GBR_44656</v>
          </cell>
          <cell r="B154" t="str">
            <v>health_districts</v>
          </cell>
          <cell r="C154">
            <v>44656</v>
          </cell>
          <cell r="D154" t="str">
            <v>Stockport</v>
          </cell>
          <cell r="E154" t="str">
            <v>GBR_44656</v>
          </cell>
        </row>
        <row r="155">
          <cell r="A155" t="str">
            <v>Trafford|GBR_44657</v>
          </cell>
          <cell r="B155" t="str">
            <v>health_districts</v>
          </cell>
          <cell r="C155">
            <v>44657</v>
          </cell>
          <cell r="D155" t="str">
            <v>Trafford</v>
          </cell>
          <cell r="E155" t="str">
            <v>GBR_44657</v>
          </cell>
        </row>
        <row r="156">
          <cell r="A156" t="str">
            <v>Cheshire West and Chester|GBR_44658</v>
          </cell>
          <cell r="B156" t="str">
            <v>health_districts</v>
          </cell>
          <cell r="C156">
            <v>44658</v>
          </cell>
          <cell r="D156" t="str">
            <v>Cheshire West and Chester</v>
          </cell>
          <cell r="E156" t="str">
            <v>GBR_44658</v>
          </cell>
        </row>
        <row r="157">
          <cell r="A157" t="str">
            <v>Sefton|GBR_44659</v>
          </cell>
          <cell r="B157" t="str">
            <v>health_districts</v>
          </cell>
          <cell r="C157">
            <v>44659</v>
          </cell>
          <cell r="D157" t="str">
            <v>Sefton</v>
          </cell>
          <cell r="E157" t="str">
            <v>GBR_44659</v>
          </cell>
        </row>
        <row r="158">
          <cell r="A158" t="str">
            <v>Lancashire|GBR_44660</v>
          </cell>
          <cell r="B158" t="str">
            <v>health_districts</v>
          </cell>
          <cell r="C158">
            <v>44660</v>
          </cell>
          <cell r="D158" t="str">
            <v>Lancashire</v>
          </cell>
          <cell r="E158" t="str">
            <v>GBR_44660</v>
          </cell>
        </row>
        <row r="159">
          <cell r="A159" t="str">
            <v>Cumbria|GBR_44661</v>
          </cell>
          <cell r="B159" t="str">
            <v>health_districts</v>
          </cell>
          <cell r="C159">
            <v>44661</v>
          </cell>
          <cell r="D159" t="str">
            <v>Cumbria</v>
          </cell>
          <cell r="E159" t="str">
            <v>GBR_44661</v>
          </cell>
        </row>
        <row r="160">
          <cell r="A160" t="str">
            <v>Bolton|GBR_44662</v>
          </cell>
          <cell r="B160" t="str">
            <v>health_districts</v>
          </cell>
          <cell r="C160">
            <v>44662</v>
          </cell>
          <cell r="D160" t="str">
            <v>Bolton</v>
          </cell>
          <cell r="E160" t="str">
            <v>GBR_44662</v>
          </cell>
        </row>
        <row r="161">
          <cell r="A161" t="str">
            <v>Wirral|GBR_44663</v>
          </cell>
          <cell r="B161" t="str">
            <v>health_districts</v>
          </cell>
          <cell r="C161">
            <v>44663</v>
          </cell>
          <cell r="D161" t="str">
            <v>Wirral</v>
          </cell>
          <cell r="E161" t="str">
            <v>GBR_44663</v>
          </cell>
        </row>
        <row r="162">
          <cell r="A162" t="str">
            <v>Bury|GBR_44664</v>
          </cell>
          <cell r="B162" t="str">
            <v>health_districts</v>
          </cell>
          <cell r="C162">
            <v>44664</v>
          </cell>
          <cell r="D162" t="str">
            <v>Bury</v>
          </cell>
          <cell r="E162" t="str">
            <v>GBR_44664</v>
          </cell>
        </row>
        <row r="163">
          <cell r="A163" t="str">
            <v>St Helens|GBR_44665</v>
          </cell>
          <cell r="B163" t="str">
            <v>health_districts</v>
          </cell>
          <cell r="C163">
            <v>44665</v>
          </cell>
          <cell r="D163" t="str">
            <v>St Helens</v>
          </cell>
          <cell r="E163" t="str">
            <v>GBR_44665</v>
          </cell>
        </row>
        <row r="164">
          <cell r="A164" t="str">
            <v>Warrington|GBR_44666</v>
          </cell>
          <cell r="B164" t="str">
            <v>health_districts</v>
          </cell>
          <cell r="C164">
            <v>44666</v>
          </cell>
          <cell r="D164" t="str">
            <v>Warrington</v>
          </cell>
          <cell r="E164" t="str">
            <v>GBR_44666</v>
          </cell>
        </row>
        <row r="165">
          <cell r="A165" t="str">
            <v>Oldham|GBR_44667</v>
          </cell>
          <cell r="B165" t="str">
            <v>health_districts</v>
          </cell>
          <cell r="C165">
            <v>44667</v>
          </cell>
          <cell r="D165" t="str">
            <v>Oldham</v>
          </cell>
          <cell r="E165" t="str">
            <v>GBR_44667</v>
          </cell>
        </row>
        <row r="166">
          <cell r="A166" t="str">
            <v>Rochdale|GBR_44668</v>
          </cell>
          <cell r="B166" t="str">
            <v>health_districts</v>
          </cell>
          <cell r="C166">
            <v>44668</v>
          </cell>
          <cell r="D166" t="str">
            <v>Rochdale</v>
          </cell>
          <cell r="E166" t="str">
            <v>GBR_44668</v>
          </cell>
        </row>
        <row r="167">
          <cell r="A167" t="str">
            <v>Wigan|GBR_44669</v>
          </cell>
          <cell r="B167" t="str">
            <v>health_districts</v>
          </cell>
          <cell r="C167">
            <v>44669</v>
          </cell>
          <cell r="D167" t="str">
            <v>Wigan</v>
          </cell>
          <cell r="E167" t="str">
            <v>GBR_44669</v>
          </cell>
        </row>
        <row r="168">
          <cell r="A168" t="str">
            <v>Halton|GBR_44670</v>
          </cell>
          <cell r="B168" t="str">
            <v>health_districts</v>
          </cell>
          <cell r="C168">
            <v>44670</v>
          </cell>
          <cell r="D168" t="str">
            <v>Halton</v>
          </cell>
          <cell r="E168" t="str">
            <v>GBR_44670</v>
          </cell>
        </row>
        <row r="169">
          <cell r="A169" t="str">
            <v>Liverpool|GBR_44671</v>
          </cell>
          <cell r="B169" t="str">
            <v>health_districts</v>
          </cell>
          <cell r="C169">
            <v>44671</v>
          </cell>
          <cell r="D169" t="str">
            <v>Liverpool</v>
          </cell>
          <cell r="E169" t="str">
            <v>GBR_44671</v>
          </cell>
        </row>
        <row r="170">
          <cell r="A170" t="str">
            <v>Tameside|GBR_44672</v>
          </cell>
          <cell r="B170" t="str">
            <v>health_districts</v>
          </cell>
          <cell r="C170">
            <v>44672</v>
          </cell>
          <cell r="D170" t="str">
            <v>Tameside</v>
          </cell>
          <cell r="E170" t="str">
            <v>GBR_44672</v>
          </cell>
        </row>
        <row r="171">
          <cell r="A171" t="str">
            <v>Salford|GBR_44673</v>
          </cell>
          <cell r="B171" t="str">
            <v>health_districts</v>
          </cell>
          <cell r="C171">
            <v>44673</v>
          </cell>
          <cell r="D171" t="str">
            <v>Salford</v>
          </cell>
          <cell r="E171" t="str">
            <v>GBR_44673</v>
          </cell>
        </row>
        <row r="172">
          <cell r="A172" t="str">
            <v>Blackburn with Darwen|GBR_44674</v>
          </cell>
          <cell r="B172" t="str">
            <v>health_districts</v>
          </cell>
          <cell r="C172">
            <v>44674</v>
          </cell>
          <cell r="D172" t="str">
            <v>Blackburn with Darwen</v>
          </cell>
          <cell r="E172" t="str">
            <v>GBR_44674</v>
          </cell>
        </row>
        <row r="173">
          <cell r="A173" t="str">
            <v>Knowsley|GBR_44675</v>
          </cell>
          <cell r="B173" t="str">
            <v>health_districts</v>
          </cell>
          <cell r="C173">
            <v>44675</v>
          </cell>
          <cell r="D173" t="str">
            <v>Knowsley</v>
          </cell>
          <cell r="E173" t="str">
            <v>GBR_44675</v>
          </cell>
        </row>
        <row r="174">
          <cell r="A174" t="str">
            <v>Blackpool|GBR_44676</v>
          </cell>
          <cell r="B174" t="str">
            <v>health_districts</v>
          </cell>
          <cell r="C174">
            <v>44676</v>
          </cell>
          <cell r="D174" t="str">
            <v>Blackpool</v>
          </cell>
          <cell r="E174" t="str">
            <v>GBR_44676</v>
          </cell>
        </row>
        <row r="175">
          <cell r="A175" t="str">
            <v>Manchester|GBR_44677</v>
          </cell>
          <cell r="B175" t="str">
            <v>health_districts</v>
          </cell>
          <cell r="C175">
            <v>44677</v>
          </cell>
          <cell r="D175" t="str">
            <v>Manchester</v>
          </cell>
          <cell r="E175" t="str">
            <v>GBR_44677</v>
          </cell>
        </row>
        <row r="176">
          <cell r="A176" t="str">
            <v>North Yorkshire|GBR_44678</v>
          </cell>
          <cell r="B176" t="str">
            <v>health_districts</v>
          </cell>
          <cell r="C176">
            <v>44678</v>
          </cell>
          <cell r="D176" t="str">
            <v>North Yorkshire</v>
          </cell>
          <cell r="E176" t="str">
            <v>GBR_44678</v>
          </cell>
        </row>
        <row r="177">
          <cell r="A177" t="str">
            <v>East Riding of Yorkshire|GBR_44679</v>
          </cell>
          <cell r="B177" t="str">
            <v>health_districts</v>
          </cell>
          <cell r="C177">
            <v>44679</v>
          </cell>
          <cell r="D177" t="str">
            <v>East Riding of Yorkshire</v>
          </cell>
          <cell r="E177" t="str">
            <v>GBR_44679</v>
          </cell>
        </row>
        <row r="178">
          <cell r="A178" t="str">
            <v>York|GBR_44680</v>
          </cell>
          <cell r="B178" t="str">
            <v>health_districts</v>
          </cell>
          <cell r="C178">
            <v>44680</v>
          </cell>
          <cell r="D178" t="str">
            <v>York</v>
          </cell>
          <cell r="E178" t="str">
            <v>GBR_44680</v>
          </cell>
        </row>
        <row r="179">
          <cell r="A179" t="str">
            <v>North East Lincolnshire|GBR_44681</v>
          </cell>
          <cell r="B179" t="str">
            <v>health_districts</v>
          </cell>
          <cell r="C179">
            <v>44681</v>
          </cell>
          <cell r="D179" t="str">
            <v>North East Lincolnshire</v>
          </cell>
          <cell r="E179" t="str">
            <v>GBR_44681</v>
          </cell>
        </row>
        <row r="180">
          <cell r="A180" t="str">
            <v>Calderdale|GBR_44682</v>
          </cell>
          <cell r="B180" t="str">
            <v>health_districts</v>
          </cell>
          <cell r="C180">
            <v>44682</v>
          </cell>
          <cell r="D180" t="str">
            <v>Calderdale</v>
          </cell>
          <cell r="E180" t="str">
            <v>GBR_44682</v>
          </cell>
        </row>
        <row r="181">
          <cell r="A181" t="str">
            <v>North Lincolnshire|GBR_44683</v>
          </cell>
          <cell r="B181" t="str">
            <v>health_districts</v>
          </cell>
          <cell r="C181">
            <v>44683</v>
          </cell>
          <cell r="D181" t="str">
            <v>North Lincolnshire</v>
          </cell>
          <cell r="E181" t="str">
            <v>GBR_44683</v>
          </cell>
        </row>
        <row r="182">
          <cell r="A182" t="str">
            <v>Bradford|GBR_44684</v>
          </cell>
          <cell r="B182" t="str">
            <v>health_districts</v>
          </cell>
          <cell r="C182">
            <v>44684</v>
          </cell>
          <cell r="D182" t="str">
            <v>Bradford</v>
          </cell>
          <cell r="E182" t="str">
            <v>GBR_44684</v>
          </cell>
        </row>
        <row r="183">
          <cell r="A183" t="str">
            <v>Kirklees|GBR_44685</v>
          </cell>
          <cell r="B183" t="str">
            <v>health_districts</v>
          </cell>
          <cell r="C183">
            <v>44685</v>
          </cell>
          <cell r="D183" t="str">
            <v>Kirklees</v>
          </cell>
          <cell r="E183" t="str">
            <v>GBR_44685</v>
          </cell>
        </row>
        <row r="184">
          <cell r="A184" t="str">
            <v>Leeds|GBR_44686</v>
          </cell>
          <cell r="B184" t="str">
            <v>health_districts</v>
          </cell>
          <cell r="C184">
            <v>44686</v>
          </cell>
          <cell r="D184" t="str">
            <v>Leeds</v>
          </cell>
          <cell r="E184" t="str">
            <v>GBR_44686</v>
          </cell>
        </row>
        <row r="185">
          <cell r="A185" t="str">
            <v>Sheffield|GBR_44687</v>
          </cell>
          <cell r="B185" t="str">
            <v>health_districts</v>
          </cell>
          <cell r="C185">
            <v>44687</v>
          </cell>
          <cell r="D185" t="str">
            <v>Sheffield</v>
          </cell>
          <cell r="E185" t="str">
            <v>GBR_44687</v>
          </cell>
        </row>
        <row r="186">
          <cell r="A186" t="str">
            <v>Wakefield|GBR_44688</v>
          </cell>
          <cell r="B186" t="str">
            <v>health_districts</v>
          </cell>
          <cell r="C186">
            <v>44688</v>
          </cell>
          <cell r="D186" t="str">
            <v>Wakefield</v>
          </cell>
          <cell r="E186" t="str">
            <v>GBR_44688</v>
          </cell>
        </row>
        <row r="187">
          <cell r="A187" t="str">
            <v>Rotherham|GBR_44689</v>
          </cell>
          <cell r="B187" t="str">
            <v>health_districts</v>
          </cell>
          <cell r="C187">
            <v>44689</v>
          </cell>
          <cell r="D187" t="str">
            <v>Rotherham</v>
          </cell>
          <cell r="E187" t="str">
            <v>GBR_44689</v>
          </cell>
        </row>
        <row r="188">
          <cell r="A188" t="str">
            <v>Doncaster|GBR_44690</v>
          </cell>
          <cell r="B188" t="str">
            <v>health_districts</v>
          </cell>
          <cell r="C188">
            <v>44690</v>
          </cell>
          <cell r="D188" t="str">
            <v>Doncaster</v>
          </cell>
          <cell r="E188" t="str">
            <v>GBR_44690</v>
          </cell>
        </row>
        <row r="189">
          <cell r="A189" t="str">
            <v>Kingston upon Hull, City of|GBR_44691</v>
          </cell>
          <cell r="B189" t="str">
            <v>health_districts</v>
          </cell>
          <cell r="C189">
            <v>44691</v>
          </cell>
          <cell r="D189" t="str">
            <v>Kingston upon Hull, City of</v>
          </cell>
          <cell r="E189" t="str">
            <v>GBR_44691</v>
          </cell>
        </row>
        <row r="190">
          <cell r="A190" t="str">
            <v>Barnsley|GBR_44692</v>
          </cell>
          <cell r="B190" t="str">
            <v>health_districts</v>
          </cell>
          <cell r="C190">
            <v>44692</v>
          </cell>
          <cell r="D190" t="str">
            <v>Barnsley</v>
          </cell>
          <cell r="E190" t="str">
            <v>GBR_44692</v>
          </cell>
        </row>
        <row r="191">
          <cell r="A191" t="str">
            <v>Northamptonshire|GBR_44693</v>
          </cell>
          <cell r="B191" t="str">
            <v>health_districts</v>
          </cell>
          <cell r="C191">
            <v>44693</v>
          </cell>
          <cell r="D191" t="str">
            <v>Northamptonshire</v>
          </cell>
          <cell r="E191" t="str">
            <v>GBR_44693</v>
          </cell>
        </row>
        <row r="192">
          <cell r="A192" t="str">
            <v>Leicestershire|GBR_44694</v>
          </cell>
          <cell r="B192" t="str">
            <v>health_districts</v>
          </cell>
          <cell r="C192">
            <v>44694</v>
          </cell>
          <cell r="D192" t="str">
            <v>Leicestershire</v>
          </cell>
          <cell r="E192" t="str">
            <v>GBR_44694</v>
          </cell>
        </row>
        <row r="193">
          <cell r="A193" t="str">
            <v>Lincolnshire|GBR_44695</v>
          </cell>
          <cell r="B193" t="str">
            <v>health_districts</v>
          </cell>
          <cell r="C193">
            <v>44695</v>
          </cell>
          <cell r="D193" t="str">
            <v>Lincolnshire</v>
          </cell>
          <cell r="E193" t="str">
            <v>GBR_44695</v>
          </cell>
        </row>
        <row r="194">
          <cell r="A194" t="str">
            <v>Rutland|GBR_44696</v>
          </cell>
          <cell r="B194" t="str">
            <v>health_districts</v>
          </cell>
          <cell r="C194">
            <v>44696</v>
          </cell>
          <cell r="D194" t="str">
            <v>Rutland</v>
          </cell>
          <cell r="E194" t="str">
            <v>GBR_44696</v>
          </cell>
        </row>
        <row r="195">
          <cell r="A195" t="str">
            <v>Derby|GBR_44697</v>
          </cell>
          <cell r="B195" t="str">
            <v>health_districts</v>
          </cell>
          <cell r="C195">
            <v>44697</v>
          </cell>
          <cell r="D195" t="str">
            <v>Derby</v>
          </cell>
          <cell r="E195" t="str">
            <v>GBR_44697</v>
          </cell>
        </row>
        <row r="196">
          <cell r="A196" t="str">
            <v>Derbyshire|GBR_44698</v>
          </cell>
          <cell r="B196" t="str">
            <v>health_districts</v>
          </cell>
          <cell r="C196">
            <v>44698</v>
          </cell>
          <cell r="D196" t="str">
            <v>Derbyshire</v>
          </cell>
          <cell r="E196" t="str">
            <v>GBR_44698</v>
          </cell>
        </row>
        <row r="197">
          <cell r="A197" t="str">
            <v>Nottinghamshire|GBR_44699</v>
          </cell>
          <cell r="B197" t="str">
            <v>health_districts</v>
          </cell>
          <cell r="C197">
            <v>44699</v>
          </cell>
          <cell r="D197" t="str">
            <v>Nottinghamshire</v>
          </cell>
          <cell r="E197" t="str">
            <v>GBR_44699</v>
          </cell>
        </row>
        <row r="198">
          <cell r="A198" t="str">
            <v>Nottingham|GBR_44700</v>
          </cell>
          <cell r="B198" t="str">
            <v>health_districts</v>
          </cell>
          <cell r="C198">
            <v>44700</v>
          </cell>
          <cell r="D198" t="str">
            <v>Nottingham</v>
          </cell>
          <cell r="E198" t="str">
            <v>GBR_44700</v>
          </cell>
        </row>
        <row r="199">
          <cell r="A199" t="str">
            <v>Leicester|GBR_44701</v>
          </cell>
          <cell r="B199" t="str">
            <v>health_districts</v>
          </cell>
          <cell r="C199">
            <v>44701</v>
          </cell>
          <cell r="D199" t="str">
            <v>Leicester</v>
          </cell>
          <cell r="E199" t="str">
            <v>GBR_44701</v>
          </cell>
        </row>
        <row r="200">
          <cell r="A200" t="str">
            <v>Warwickshire|GBR_44702</v>
          </cell>
          <cell r="B200" t="str">
            <v>health_districts</v>
          </cell>
          <cell r="C200">
            <v>44702</v>
          </cell>
          <cell r="D200" t="str">
            <v>Warwickshire</v>
          </cell>
          <cell r="E200" t="str">
            <v>GBR_44702</v>
          </cell>
        </row>
        <row r="201">
          <cell r="A201" t="str">
            <v>Herefordshire, County of|GBR_44703</v>
          </cell>
          <cell r="B201" t="str">
            <v>health_districts</v>
          </cell>
          <cell r="C201">
            <v>44703</v>
          </cell>
          <cell r="D201" t="str">
            <v>Herefordshire, County of</v>
          </cell>
          <cell r="E201" t="str">
            <v>GBR_44703</v>
          </cell>
        </row>
        <row r="202">
          <cell r="A202" t="str">
            <v>Solihull|GBR_44704</v>
          </cell>
          <cell r="B202" t="str">
            <v>health_districts</v>
          </cell>
          <cell r="C202">
            <v>44704</v>
          </cell>
          <cell r="D202" t="str">
            <v>Solihull</v>
          </cell>
          <cell r="E202" t="str">
            <v>GBR_44704</v>
          </cell>
        </row>
        <row r="203">
          <cell r="A203" t="str">
            <v>Shropshire|GBR_44705</v>
          </cell>
          <cell r="B203" t="str">
            <v>health_districts</v>
          </cell>
          <cell r="C203">
            <v>44705</v>
          </cell>
          <cell r="D203" t="str">
            <v>Shropshire</v>
          </cell>
          <cell r="E203" t="str">
            <v>GBR_44705</v>
          </cell>
        </row>
        <row r="204">
          <cell r="A204" t="str">
            <v>Worcestershire|GBR_44706</v>
          </cell>
          <cell r="B204" t="str">
            <v>health_districts</v>
          </cell>
          <cell r="C204">
            <v>44706</v>
          </cell>
          <cell r="D204" t="str">
            <v>Worcestershire</v>
          </cell>
          <cell r="E204" t="str">
            <v>GBR_44706</v>
          </cell>
        </row>
        <row r="205">
          <cell r="A205" t="str">
            <v>Staffordshire|GBR_44707</v>
          </cell>
          <cell r="B205" t="str">
            <v>health_districts</v>
          </cell>
          <cell r="C205">
            <v>44707</v>
          </cell>
          <cell r="D205" t="str">
            <v>Staffordshire</v>
          </cell>
          <cell r="E205" t="str">
            <v>GBR_44707</v>
          </cell>
        </row>
        <row r="206">
          <cell r="A206" t="str">
            <v>Dudley|GBR_44708</v>
          </cell>
          <cell r="B206" t="str">
            <v>health_districts</v>
          </cell>
          <cell r="C206">
            <v>44708</v>
          </cell>
          <cell r="D206" t="str">
            <v>Dudley</v>
          </cell>
          <cell r="E206" t="str">
            <v>GBR_44708</v>
          </cell>
        </row>
        <row r="207">
          <cell r="A207" t="str">
            <v>Coventry|GBR_44709</v>
          </cell>
          <cell r="B207" t="str">
            <v>health_districts</v>
          </cell>
          <cell r="C207">
            <v>44709</v>
          </cell>
          <cell r="D207" t="str">
            <v>Coventry</v>
          </cell>
          <cell r="E207" t="str">
            <v>GBR_44709</v>
          </cell>
        </row>
        <row r="208">
          <cell r="A208" t="str">
            <v>Telford and Wrekin|GBR_44710</v>
          </cell>
          <cell r="B208" t="str">
            <v>health_districts</v>
          </cell>
          <cell r="C208">
            <v>44710</v>
          </cell>
          <cell r="D208" t="str">
            <v>Telford and Wrekin</v>
          </cell>
          <cell r="E208" t="str">
            <v>GBR_44710</v>
          </cell>
        </row>
        <row r="209">
          <cell r="A209" t="str">
            <v>Stoke-on-Trent|GBR_44711</v>
          </cell>
          <cell r="B209" t="str">
            <v>health_districts</v>
          </cell>
          <cell r="C209">
            <v>44711</v>
          </cell>
          <cell r="D209" t="str">
            <v>Stoke-on-Trent</v>
          </cell>
          <cell r="E209" t="str">
            <v>GBR_44711</v>
          </cell>
        </row>
        <row r="210">
          <cell r="A210" t="str">
            <v>Walsall|GBR_44712</v>
          </cell>
          <cell r="B210" t="str">
            <v>health_districts</v>
          </cell>
          <cell r="C210">
            <v>44712</v>
          </cell>
          <cell r="D210" t="str">
            <v>Walsall</v>
          </cell>
          <cell r="E210" t="str">
            <v>GBR_44712</v>
          </cell>
        </row>
        <row r="211">
          <cell r="A211" t="str">
            <v>Wolverhampton|GBR_44713</v>
          </cell>
          <cell r="B211" t="str">
            <v>health_districts</v>
          </cell>
          <cell r="C211">
            <v>44713</v>
          </cell>
          <cell r="D211" t="str">
            <v>Wolverhampton</v>
          </cell>
          <cell r="E211" t="str">
            <v>GBR_44713</v>
          </cell>
        </row>
        <row r="212">
          <cell r="A212" t="str">
            <v>Birmingham|GBR_44714</v>
          </cell>
          <cell r="B212" t="str">
            <v>health_districts</v>
          </cell>
          <cell r="C212">
            <v>44714</v>
          </cell>
          <cell r="D212" t="str">
            <v>Birmingham</v>
          </cell>
          <cell r="E212" t="str">
            <v>GBR_44714</v>
          </cell>
        </row>
        <row r="213">
          <cell r="A213" t="str">
            <v>Sandwell|GBR_44715</v>
          </cell>
          <cell r="B213" t="str">
            <v>health_districts</v>
          </cell>
          <cell r="C213">
            <v>44715</v>
          </cell>
          <cell r="D213" t="str">
            <v>Sandwell</v>
          </cell>
          <cell r="E213" t="str">
            <v>GBR_44715</v>
          </cell>
        </row>
        <row r="214">
          <cell r="A214" t="str">
            <v>Bedford|GBR_44716</v>
          </cell>
          <cell r="B214" t="str">
            <v>health_districts</v>
          </cell>
          <cell r="C214">
            <v>44716</v>
          </cell>
          <cell r="D214" t="str">
            <v>Bedford</v>
          </cell>
          <cell r="E214" t="str">
            <v>GBR_44716</v>
          </cell>
        </row>
        <row r="215">
          <cell r="A215" t="str">
            <v>Central Bedfordshire|GBR_44717</v>
          </cell>
          <cell r="B215" t="str">
            <v>health_districts</v>
          </cell>
          <cell r="C215">
            <v>44717</v>
          </cell>
          <cell r="D215" t="str">
            <v>Central Bedfordshire</v>
          </cell>
          <cell r="E215" t="str">
            <v>GBR_44717</v>
          </cell>
        </row>
        <row r="216">
          <cell r="A216" t="str">
            <v>Suffolk|GBR_44718</v>
          </cell>
          <cell r="B216" t="str">
            <v>health_districts</v>
          </cell>
          <cell r="C216">
            <v>44718</v>
          </cell>
          <cell r="D216" t="str">
            <v>Suffolk</v>
          </cell>
          <cell r="E216" t="str">
            <v>GBR_44718</v>
          </cell>
        </row>
        <row r="217">
          <cell r="A217" t="str">
            <v>Hertfordshire|GBR_44719</v>
          </cell>
          <cell r="B217" t="str">
            <v>health_districts</v>
          </cell>
          <cell r="C217">
            <v>44719</v>
          </cell>
          <cell r="D217" t="str">
            <v>Hertfordshire</v>
          </cell>
          <cell r="E217" t="str">
            <v>GBR_44719</v>
          </cell>
        </row>
        <row r="218">
          <cell r="A218" t="str">
            <v>Essex|GBR_44720</v>
          </cell>
          <cell r="B218" t="str">
            <v>health_districts</v>
          </cell>
          <cell r="C218">
            <v>44720</v>
          </cell>
          <cell r="D218" t="str">
            <v>Essex</v>
          </cell>
          <cell r="E218" t="str">
            <v>GBR_44720</v>
          </cell>
        </row>
        <row r="219">
          <cell r="A219" t="str">
            <v>Cambridgeshire|GBR_44721</v>
          </cell>
          <cell r="B219" t="str">
            <v>health_districts</v>
          </cell>
          <cell r="C219">
            <v>44721</v>
          </cell>
          <cell r="D219" t="str">
            <v>Cambridgeshire</v>
          </cell>
          <cell r="E219" t="str">
            <v>GBR_44721</v>
          </cell>
        </row>
        <row r="220">
          <cell r="A220" t="str">
            <v>Thurrock|GBR_44722</v>
          </cell>
          <cell r="B220" t="str">
            <v>health_districts</v>
          </cell>
          <cell r="C220">
            <v>44722</v>
          </cell>
          <cell r="D220" t="str">
            <v>Thurrock</v>
          </cell>
          <cell r="E220" t="str">
            <v>GBR_44722</v>
          </cell>
        </row>
        <row r="221">
          <cell r="A221" t="str">
            <v>Norfolk|GBR_44723</v>
          </cell>
          <cell r="B221" t="str">
            <v>health_districts</v>
          </cell>
          <cell r="C221">
            <v>44723</v>
          </cell>
          <cell r="D221" t="str">
            <v>Norfolk</v>
          </cell>
          <cell r="E221" t="str">
            <v>GBR_44723</v>
          </cell>
        </row>
        <row r="222">
          <cell r="A222" t="str">
            <v>Southend-on-Sea|GBR_44724</v>
          </cell>
          <cell r="B222" t="str">
            <v>health_districts</v>
          </cell>
          <cell r="C222">
            <v>44724</v>
          </cell>
          <cell r="D222" t="str">
            <v>Southend-on-Sea</v>
          </cell>
          <cell r="E222" t="str">
            <v>GBR_44724</v>
          </cell>
        </row>
        <row r="223">
          <cell r="A223" t="str">
            <v>Peterborough|GBR_44725</v>
          </cell>
          <cell r="B223" t="str">
            <v>health_districts</v>
          </cell>
          <cell r="C223">
            <v>44725</v>
          </cell>
          <cell r="D223" t="str">
            <v>Peterborough</v>
          </cell>
          <cell r="E223" t="str">
            <v>GBR_44725</v>
          </cell>
        </row>
        <row r="224">
          <cell r="A224" t="str">
            <v>Luton|GBR_44726</v>
          </cell>
          <cell r="B224" t="str">
            <v>health_districts</v>
          </cell>
          <cell r="C224">
            <v>44726</v>
          </cell>
          <cell r="D224" t="str">
            <v>Luton</v>
          </cell>
          <cell r="E224" t="str">
            <v>GBR_44726</v>
          </cell>
        </row>
        <row r="225">
          <cell r="A225" t="str">
            <v>Richmond upon Thames|GBR_44727</v>
          </cell>
          <cell r="B225" t="str">
            <v>health_districts</v>
          </cell>
          <cell r="C225">
            <v>44727</v>
          </cell>
          <cell r="D225" t="str">
            <v>Richmond upon Thames</v>
          </cell>
          <cell r="E225" t="str">
            <v>GBR_44727</v>
          </cell>
        </row>
        <row r="226">
          <cell r="A226" t="str">
            <v>Kensington and Chelsea|GBR_44728</v>
          </cell>
          <cell r="B226" t="str">
            <v>health_districts</v>
          </cell>
          <cell r="C226">
            <v>44728</v>
          </cell>
          <cell r="D226" t="str">
            <v>Kensington and Chelsea</v>
          </cell>
          <cell r="E226" t="str">
            <v>GBR_44728</v>
          </cell>
        </row>
        <row r="227">
          <cell r="A227" t="str">
            <v>Barnet|GBR_44729</v>
          </cell>
          <cell r="B227" t="str">
            <v>health_districts</v>
          </cell>
          <cell r="C227">
            <v>44729</v>
          </cell>
          <cell r="D227" t="str">
            <v>Barnet</v>
          </cell>
          <cell r="E227" t="str">
            <v>GBR_44729</v>
          </cell>
        </row>
        <row r="228">
          <cell r="A228" t="str">
            <v>Westminster|GBR_44730</v>
          </cell>
          <cell r="B228" t="str">
            <v>health_districts</v>
          </cell>
          <cell r="C228">
            <v>44730</v>
          </cell>
          <cell r="D228" t="str">
            <v>Westminster</v>
          </cell>
          <cell r="E228" t="str">
            <v>GBR_44730</v>
          </cell>
        </row>
        <row r="229">
          <cell r="A229" t="str">
            <v>Bromley|GBR_44731</v>
          </cell>
          <cell r="B229" t="str">
            <v>health_districts</v>
          </cell>
          <cell r="C229">
            <v>44731</v>
          </cell>
          <cell r="D229" t="str">
            <v>Bromley</v>
          </cell>
          <cell r="E229" t="str">
            <v>GBR_44731</v>
          </cell>
        </row>
        <row r="230">
          <cell r="A230" t="str">
            <v>Bexley|GBR_44732</v>
          </cell>
          <cell r="B230" t="str">
            <v>health_districts</v>
          </cell>
          <cell r="C230">
            <v>44732</v>
          </cell>
          <cell r="D230" t="str">
            <v>Bexley</v>
          </cell>
          <cell r="E230" t="str">
            <v>GBR_44732</v>
          </cell>
        </row>
        <row r="231">
          <cell r="A231" t="str">
            <v>Redbridge|GBR_44733</v>
          </cell>
          <cell r="B231" t="str">
            <v>health_districts</v>
          </cell>
          <cell r="C231">
            <v>44733</v>
          </cell>
          <cell r="D231" t="str">
            <v>Redbridge</v>
          </cell>
          <cell r="E231" t="str">
            <v>GBR_44733</v>
          </cell>
        </row>
        <row r="232">
          <cell r="A232" t="str">
            <v>Merton|GBR_44734</v>
          </cell>
          <cell r="B232" t="str">
            <v>health_districts</v>
          </cell>
          <cell r="C232">
            <v>44734</v>
          </cell>
          <cell r="D232" t="str">
            <v>Merton</v>
          </cell>
          <cell r="E232" t="str">
            <v>GBR_44734</v>
          </cell>
        </row>
        <row r="233">
          <cell r="A233" t="str">
            <v>Brent|GBR_44735</v>
          </cell>
          <cell r="B233" t="str">
            <v>health_districts</v>
          </cell>
          <cell r="C233">
            <v>44735</v>
          </cell>
          <cell r="D233" t="str">
            <v>Brent</v>
          </cell>
          <cell r="E233" t="str">
            <v>GBR_44735</v>
          </cell>
        </row>
        <row r="234">
          <cell r="A234" t="str">
            <v>Hillingdon|GBR_44736</v>
          </cell>
          <cell r="B234" t="str">
            <v>health_districts</v>
          </cell>
          <cell r="C234">
            <v>44736</v>
          </cell>
          <cell r="D234" t="str">
            <v>Hillingdon</v>
          </cell>
          <cell r="E234" t="str">
            <v>GBR_44736</v>
          </cell>
        </row>
        <row r="235">
          <cell r="A235" t="str">
            <v>Havering|GBR_44737</v>
          </cell>
          <cell r="B235" t="str">
            <v>health_districts</v>
          </cell>
          <cell r="C235">
            <v>44737</v>
          </cell>
          <cell r="D235" t="str">
            <v>Havering</v>
          </cell>
          <cell r="E235" t="str">
            <v>GBR_44737</v>
          </cell>
        </row>
        <row r="236">
          <cell r="A236" t="str">
            <v>Kingston upon Thames|GBR_44738</v>
          </cell>
          <cell r="B236" t="str">
            <v>health_districts</v>
          </cell>
          <cell r="C236">
            <v>44738</v>
          </cell>
          <cell r="D236" t="str">
            <v>Kingston upon Thames</v>
          </cell>
          <cell r="E236" t="str">
            <v>GBR_44738</v>
          </cell>
        </row>
        <row r="237">
          <cell r="A237" t="str">
            <v>Sutton|GBR_44739</v>
          </cell>
          <cell r="B237" t="str">
            <v>health_districts</v>
          </cell>
          <cell r="C237">
            <v>44739</v>
          </cell>
          <cell r="D237" t="str">
            <v>Sutton</v>
          </cell>
          <cell r="E237" t="str">
            <v>GBR_44739</v>
          </cell>
        </row>
        <row r="238">
          <cell r="A238" t="str">
            <v>Harrow|GBR_44740</v>
          </cell>
          <cell r="B238" t="str">
            <v>health_districts</v>
          </cell>
          <cell r="C238">
            <v>44740</v>
          </cell>
          <cell r="D238" t="str">
            <v>Harrow</v>
          </cell>
          <cell r="E238" t="str">
            <v>GBR_44740</v>
          </cell>
        </row>
        <row r="239">
          <cell r="A239" t="str">
            <v>Enfield|GBR_44741</v>
          </cell>
          <cell r="B239" t="str">
            <v>health_districts</v>
          </cell>
          <cell r="C239">
            <v>44741</v>
          </cell>
          <cell r="D239" t="str">
            <v>Enfield</v>
          </cell>
          <cell r="E239" t="str">
            <v>GBR_44741</v>
          </cell>
        </row>
        <row r="240">
          <cell r="A240" t="str">
            <v>Croydon|GBR_44742</v>
          </cell>
          <cell r="B240" t="str">
            <v>health_districts</v>
          </cell>
          <cell r="C240">
            <v>44742</v>
          </cell>
          <cell r="D240" t="str">
            <v>Croydon</v>
          </cell>
          <cell r="E240" t="str">
            <v>GBR_44742</v>
          </cell>
        </row>
        <row r="241">
          <cell r="A241" t="str">
            <v>Hammersmith and Fulham|GBR_44743</v>
          </cell>
          <cell r="B241" t="str">
            <v>health_districts</v>
          </cell>
          <cell r="C241">
            <v>44743</v>
          </cell>
          <cell r="D241" t="str">
            <v>Hammersmith and Fulham</v>
          </cell>
          <cell r="E241" t="str">
            <v>GBR_44743</v>
          </cell>
        </row>
        <row r="242">
          <cell r="A242" t="str">
            <v>Ealing|GBR_44744</v>
          </cell>
          <cell r="B242" t="str">
            <v>health_districts</v>
          </cell>
          <cell r="C242">
            <v>44744</v>
          </cell>
          <cell r="D242" t="str">
            <v>Ealing</v>
          </cell>
          <cell r="E242" t="str">
            <v>GBR_44744</v>
          </cell>
        </row>
        <row r="243">
          <cell r="A243" t="str">
            <v>Greenwich|GBR_44745</v>
          </cell>
          <cell r="B243" t="str">
            <v>health_districts</v>
          </cell>
          <cell r="C243">
            <v>44745</v>
          </cell>
          <cell r="D243" t="str">
            <v>Greenwich</v>
          </cell>
          <cell r="E243" t="str">
            <v>GBR_44745</v>
          </cell>
        </row>
        <row r="244">
          <cell r="A244" t="str">
            <v>Wandsworth|GBR_44746</v>
          </cell>
          <cell r="B244" t="str">
            <v>health_districts</v>
          </cell>
          <cell r="C244">
            <v>44746</v>
          </cell>
          <cell r="D244" t="str">
            <v>Wandsworth</v>
          </cell>
          <cell r="E244" t="str">
            <v>GBR_44746</v>
          </cell>
        </row>
        <row r="245">
          <cell r="A245" t="str">
            <v>Waltham Forest|GBR_44747</v>
          </cell>
          <cell r="B245" t="str">
            <v>health_districts</v>
          </cell>
          <cell r="C245">
            <v>44747</v>
          </cell>
          <cell r="D245" t="str">
            <v>Waltham Forest</v>
          </cell>
          <cell r="E245" t="str">
            <v>GBR_44747</v>
          </cell>
        </row>
        <row r="246">
          <cell r="A246" t="str">
            <v>Camden|GBR_44748</v>
          </cell>
          <cell r="B246" t="str">
            <v>health_districts</v>
          </cell>
          <cell r="C246">
            <v>44748</v>
          </cell>
          <cell r="D246" t="str">
            <v>Camden</v>
          </cell>
          <cell r="E246" t="str">
            <v>GBR_44748</v>
          </cell>
        </row>
        <row r="247">
          <cell r="A247" t="str">
            <v>Lambeth|GBR_44749</v>
          </cell>
          <cell r="B247" t="str">
            <v>health_districts</v>
          </cell>
          <cell r="C247">
            <v>44749</v>
          </cell>
          <cell r="D247" t="str">
            <v>Lambeth</v>
          </cell>
          <cell r="E247" t="str">
            <v>GBR_44749</v>
          </cell>
        </row>
        <row r="248">
          <cell r="A248" t="str">
            <v>Lewisham|GBR_44750</v>
          </cell>
          <cell r="B248" t="str">
            <v>health_districts</v>
          </cell>
          <cell r="C248">
            <v>44750</v>
          </cell>
          <cell r="D248" t="str">
            <v>Lewisham</v>
          </cell>
          <cell r="E248" t="str">
            <v>GBR_44750</v>
          </cell>
        </row>
        <row r="249">
          <cell r="A249" t="str">
            <v>Hounslow|GBR_44751</v>
          </cell>
          <cell r="B249" t="str">
            <v>health_districts</v>
          </cell>
          <cell r="C249">
            <v>44751</v>
          </cell>
          <cell r="D249" t="str">
            <v>Hounslow</v>
          </cell>
          <cell r="E249" t="str">
            <v>GBR_44751</v>
          </cell>
        </row>
        <row r="250">
          <cell r="A250" t="str">
            <v>Southwark|GBR_44752</v>
          </cell>
          <cell r="B250" t="str">
            <v>health_districts</v>
          </cell>
          <cell r="C250">
            <v>44752</v>
          </cell>
          <cell r="D250" t="str">
            <v>Southwark</v>
          </cell>
          <cell r="E250" t="str">
            <v>GBR_44752</v>
          </cell>
        </row>
        <row r="251">
          <cell r="A251" t="str">
            <v>Newham|GBR_44753</v>
          </cell>
          <cell r="B251" t="str">
            <v>health_districts</v>
          </cell>
          <cell r="C251">
            <v>44753</v>
          </cell>
          <cell r="D251" t="str">
            <v>Newham</v>
          </cell>
          <cell r="E251" t="str">
            <v>GBR_44753</v>
          </cell>
        </row>
        <row r="252">
          <cell r="A252" t="str">
            <v>Barking and Dagenham|GBR_44754</v>
          </cell>
          <cell r="B252" t="str">
            <v>health_districts</v>
          </cell>
          <cell r="C252">
            <v>44754</v>
          </cell>
          <cell r="D252" t="str">
            <v>Barking and Dagenham</v>
          </cell>
          <cell r="E252" t="str">
            <v>GBR_44754</v>
          </cell>
        </row>
        <row r="253">
          <cell r="A253" t="str">
            <v>Haringey|GBR_44755</v>
          </cell>
          <cell r="B253" t="str">
            <v>health_districts</v>
          </cell>
          <cell r="C253">
            <v>44755</v>
          </cell>
          <cell r="D253" t="str">
            <v>Haringey</v>
          </cell>
          <cell r="E253" t="str">
            <v>GBR_44755</v>
          </cell>
        </row>
        <row r="254">
          <cell r="A254" t="str">
            <v>Hackney|GBR_44756</v>
          </cell>
          <cell r="B254" t="str">
            <v>health_districts</v>
          </cell>
          <cell r="C254">
            <v>44756</v>
          </cell>
          <cell r="D254" t="str">
            <v>Hackney</v>
          </cell>
          <cell r="E254" t="str">
            <v>GBR_44756</v>
          </cell>
        </row>
        <row r="255">
          <cell r="A255" t="str">
            <v>Islington|GBR_44757</v>
          </cell>
          <cell r="B255" t="str">
            <v>health_districts</v>
          </cell>
          <cell r="C255">
            <v>44757</v>
          </cell>
          <cell r="D255" t="str">
            <v>Islington</v>
          </cell>
          <cell r="E255" t="str">
            <v>GBR_44757</v>
          </cell>
        </row>
        <row r="256">
          <cell r="A256" t="str">
            <v>Tower Hamlets|GBR_44758</v>
          </cell>
          <cell r="B256" t="str">
            <v>health_districts</v>
          </cell>
          <cell r="C256">
            <v>44758</v>
          </cell>
          <cell r="D256" t="str">
            <v>Tower Hamlets</v>
          </cell>
          <cell r="E256" t="str">
            <v>GBR_44758</v>
          </cell>
        </row>
        <row r="257">
          <cell r="A257" t="str">
            <v>Wokingham|GBR_44759</v>
          </cell>
          <cell r="B257" t="str">
            <v>health_districts</v>
          </cell>
          <cell r="C257">
            <v>44759</v>
          </cell>
          <cell r="D257" t="str">
            <v>Wokingham</v>
          </cell>
          <cell r="E257" t="str">
            <v>GBR_44759</v>
          </cell>
        </row>
        <row r="258">
          <cell r="A258" t="str">
            <v>Buckinghamshire|GBR_44760</v>
          </cell>
          <cell r="B258" t="str">
            <v>health_districts</v>
          </cell>
          <cell r="C258">
            <v>44760</v>
          </cell>
          <cell r="D258" t="str">
            <v>Buckinghamshire</v>
          </cell>
          <cell r="E258" t="str">
            <v>GBR_44760</v>
          </cell>
        </row>
        <row r="259">
          <cell r="A259" t="str">
            <v>Surrey|GBR_44761</v>
          </cell>
          <cell r="B259" t="str">
            <v>health_districts</v>
          </cell>
          <cell r="C259">
            <v>44761</v>
          </cell>
          <cell r="D259" t="str">
            <v>Surrey</v>
          </cell>
          <cell r="E259" t="str">
            <v>GBR_44761</v>
          </cell>
        </row>
        <row r="260">
          <cell r="A260" t="str">
            <v>Windsor and Maidenhead|GBR_44762</v>
          </cell>
          <cell r="B260" t="str">
            <v>health_districts</v>
          </cell>
          <cell r="C260">
            <v>44762</v>
          </cell>
          <cell r="D260" t="str">
            <v>Windsor and Maidenhead</v>
          </cell>
          <cell r="E260" t="str">
            <v>GBR_44762</v>
          </cell>
        </row>
        <row r="261">
          <cell r="A261" t="str">
            <v>West Berkshire|GBR_44763</v>
          </cell>
          <cell r="B261" t="str">
            <v>health_districts</v>
          </cell>
          <cell r="C261">
            <v>44763</v>
          </cell>
          <cell r="D261" t="str">
            <v>West Berkshire</v>
          </cell>
          <cell r="E261" t="str">
            <v>GBR_44763</v>
          </cell>
        </row>
        <row r="262">
          <cell r="A262" t="str">
            <v>Hampshire|GBR_44764</v>
          </cell>
          <cell r="B262" t="str">
            <v>health_districts</v>
          </cell>
          <cell r="C262">
            <v>44764</v>
          </cell>
          <cell r="D262" t="str">
            <v>Hampshire</v>
          </cell>
          <cell r="E262" t="str">
            <v>GBR_44764</v>
          </cell>
        </row>
        <row r="263">
          <cell r="A263" t="str">
            <v>Bracknell Forest|GBR_44765</v>
          </cell>
          <cell r="B263" t="str">
            <v>health_districts</v>
          </cell>
          <cell r="C263">
            <v>44765</v>
          </cell>
          <cell r="D263" t="str">
            <v>Bracknell Forest</v>
          </cell>
          <cell r="E263" t="str">
            <v>GBR_44765</v>
          </cell>
        </row>
        <row r="264">
          <cell r="A264" t="str">
            <v>West Sussex|GBR_44766</v>
          </cell>
          <cell r="B264" t="str">
            <v>health_districts</v>
          </cell>
          <cell r="C264">
            <v>44766</v>
          </cell>
          <cell r="D264" t="str">
            <v>West Sussex</v>
          </cell>
          <cell r="E264" t="str">
            <v>GBR_44766</v>
          </cell>
        </row>
        <row r="265">
          <cell r="A265" t="str">
            <v>Oxfordshire|GBR_44767</v>
          </cell>
          <cell r="B265" t="str">
            <v>health_districts</v>
          </cell>
          <cell r="C265">
            <v>44767</v>
          </cell>
          <cell r="D265" t="str">
            <v>Oxfordshire</v>
          </cell>
          <cell r="E265" t="str">
            <v>GBR_44767</v>
          </cell>
        </row>
        <row r="266">
          <cell r="A266" t="str">
            <v>Reading|GBR_44768</v>
          </cell>
          <cell r="B266" t="str">
            <v>health_districts</v>
          </cell>
          <cell r="C266">
            <v>44768</v>
          </cell>
          <cell r="D266" t="str">
            <v>Reading</v>
          </cell>
          <cell r="E266" t="str">
            <v>GBR_44768</v>
          </cell>
        </row>
        <row r="267">
          <cell r="A267" t="str">
            <v>Kent|GBR_44769</v>
          </cell>
          <cell r="B267" t="str">
            <v>health_districts</v>
          </cell>
          <cell r="C267">
            <v>44769</v>
          </cell>
          <cell r="D267" t="str">
            <v>Kent</v>
          </cell>
          <cell r="E267" t="str">
            <v>GBR_44769</v>
          </cell>
        </row>
        <row r="268">
          <cell r="A268" t="str">
            <v>Brighton and Hove|GBR_44770</v>
          </cell>
          <cell r="B268" t="str">
            <v>health_districts</v>
          </cell>
          <cell r="C268">
            <v>44770</v>
          </cell>
          <cell r="D268" t="str">
            <v>Brighton and Hove</v>
          </cell>
          <cell r="E268" t="str">
            <v>GBR_44770</v>
          </cell>
        </row>
        <row r="269">
          <cell r="A269" t="str">
            <v>Medway|GBR_44771</v>
          </cell>
          <cell r="B269" t="str">
            <v>health_districts</v>
          </cell>
          <cell r="C269">
            <v>44771</v>
          </cell>
          <cell r="D269" t="str">
            <v>Medway</v>
          </cell>
          <cell r="E269" t="str">
            <v>GBR_44771</v>
          </cell>
        </row>
        <row r="270">
          <cell r="A270" t="str">
            <v>East Sussex|GBR_44772</v>
          </cell>
          <cell r="B270" t="str">
            <v>health_districts</v>
          </cell>
          <cell r="C270">
            <v>44772</v>
          </cell>
          <cell r="D270" t="str">
            <v>East Sussex</v>
          </cell>
          <cell r="E270" t="str">
            <v>GBR_44772</v>
          </cell>
        </row>
        <row r="271">
          <cell r="A271" t="str">
            <v>Portsmouth|GBR_44773</v>
          </cell>
          <cell r="B271" t="str">
            <v>health_districts</v>
          </cell>
          <cell r="C271">
            <v>44773</v>
          </cell>
          <cell r="D271" t="str">
            <v>Portsmouth</v>
          </cell>
          <cell r="E271" t="str">
            <v>GBR_44773</v>
          </cell>
        </row>
        <row r="272">
          <cell r="A272" t="str">
            <v>Isle of Wight|GBR_44774</v>
          </cell>
          <cell r="B272" t="str">
            <v>health_districts</v>
          </cell>
          <cell r="C272">
            <v>44774</v>
          </cell>
          <cell r="D272" t="str">
            <v>Isle of Wight</v>
          </cell>
          <cell r="E272" t="str">
            <v>GBR_44774</v>
          </cell>
        </row>
        <row r="273">
          <cell r="A273" t="str">
            <v>Milton Keynes|GBR_44775</v>
          </cell>
          <cell r="B273" t="str">
            <v>health_districts</v>
          </cell>
          <cell r="C273">
            <v>44775</v>
          </cell>
          <cell r="D273" t="str">
            <v>Milton Keynes</v>
          </cell>
          <cell r="E273" t="str">
            <v>GBR_44775</v>
          </cell>
        </row>
        <row r="274">
          <cell r="A274" t="str">
            <v>Southampton|GBR_44776</v>
          </cell>
          <cell r="B274" t="str">
            <v>health_districts</v>
          </cell>
          <cell r="C274">
            <v>44776</v>
          </cell>
          <cell r="D274" t="str">
            <v>Southampton</v>
          </cell>
          <cell r="E274" t="str">
            <v>GBR_44776</v>
          </cell>
        </row>
        <row r="275">
          <cell r="A275" t="str">
            <v>Slough|GBR_44777</v>
          </cell>
          <cell r="B275" t="str">
            <v>health_districts</v>
          </cell>
          <cell r="C275">
            <v>44777</v>
          </cell>
          <cell r="D275" t="str">
            <v>Slough</v>
          </cell>
          <cell r="E275" t="str">
            <v>GBR_44777</v>
          </cell>
        </row>
        <row r="276">
          <cell r="A276" t="str">
            <v>South Gloucestershire|GBR_44778</v>
          </cell>
          <cell r="B276" t="str">
            <v>health_districts</v>
          </cell>
          <cell r="C276">
            <v>44778</v>
          </cell>
          <cell r="D276" t="str">
            <v>South Gloucestershire</v>
          </cell>
          <cell r="E276" t="str">
            <v>GBR_44778</v>
          </cell>
        </row>
        <row r="277">
          <cell r="A277" t="str">
            <v>Dorset|GBR_44779</v>
          </cell>
          <cell r="B277" t="str">
            <v>health_districts</v>
          </cell>
          <cell r="C277">
            <v>44779</v>
          </cell>
          <cell r="D277" t="str">
            <v>Dorset</v>
          </cell>
          <cell r="E277" t="str">
            <v>GBR_44779</v>
          </cell>
        </row>
        <row r="278">
          <cell r="A278" t="str">
            <v>Wiltshire|GBR_44780</v>
          </cell>
          <cell r="B278" t="str">
            <v>health_districts</v>
          </cell>
          <cell r="C278">
            <v>44780</v>
          </cell>
          <cell r="D278" t="str">
            <v>Wiltshire</v>
          </cell>
          <cell r="E278" t="str">
            <v>GBR_44780</v>
          </cell>
        </row>
        <row r="279">
          <cell r="A279" t="str">
            <v>North Somerset|GBR_44781</v>
          </cell>
          <cell r="B279" t="str">
            <v>health_districts</v>
          </cell>
          <cell r="C279">
            <v>44781</v>
          </cell>
          <cell r="D279" t="str">
            <v>North Somerset</v>
          </cell>
          <cell r="E279" t="str">
            <v>GBR_44781</v>
          </cell>
        </row>
        <row r="280">
          <cell r="A280" t="str">
            <v>Devon|GBR_44782</v>
          </cell>
          <cell r="B280" t="str">
            <v>health_districts</v>
          </cell>
          <cell r="C280">
            <v>44782</v>
          </cell>
          <cell r="D280" t="str">
            <v>Devon</v>
          </cell>
          <cell r="E280" t="str">
            <v>GBR_44782</v>
          </cell>
        </row>
        <row r="281">
          <cell r="A281" t="str">
            <v>Poole|GBR_44783</v>
          </cell>
          <cell r="B281" t="str">
            <v>health_districts</v>
          </cell>
          <cell r="C281">
            <v>44783</v>
          </cell>
          <cell r="D281" t="str">
            <v>Poole</v>
          </cell>
          <cell r="E281" t="str">
            <v>GBR_44783</v>
          </cell>
        </row>
        <row r="282">
          <cell r="A282" t="str">
            <v>Bath and North East Somerset|GBR_44784</v>
          </cell>
          <cell r="B282" t="str">
            <v>health_districts</v>
          </cell>
          <cell r="C282">
            <v>44784</v>
          </cell>
          <cell r="D282" t="str">
            <v>Bath and North East Somerset</v>
          </cell>
          <cell r="E282" t="str">
            <v>GBR_44784</v>
          </cell>
        </row>
        <row r="283">
          <cell r="A283" t="str">
            <v>Gloucestershire|GBR_44785</v>
          </cell>
          <cell r="B283" t="str">
            <v>health_districts</v>
          </cell>
          <cell r="C283">
            <v>44785</v>
          </cell>
          <cell r="D283" t="str">
            <v>Gloucestershire</v>
          </cell>
          <cell r="E283" t="str">
            <v>GBR_44785</v>
          </cell>
        </row>
        <row r="284">
          <cell r="A284" t="str">
            <v>Somerset|GBR_44786</v>
          </cell>
          <cell r="B284" t="str">
            <v>health_districts</v>
          </cell>
          <cell r="C284">
            <v>44786</v>
          </cell>
          <cell r="D284" t="str">
            <v>Somerset</v>
          </cell>
          <cell r="E284" t="str">
            <v>GBR_44786</v>
          </cell>
        </row>
        <row r="285">
          <cell r="A285" t="str">
            <v>Swindon|GBR_44787</v>
          </cell>
          <cell r="B285" t="str">
            <v>health_districts</v>
          </cell>
          <cell r="C285">
            <v>44787</v>
          </cell>
          <cell r="D285" t="str">
            <v>Swindon</v>
          </cell>
          <cell r="E285" t="str">
            <v>GBR_44787</v>
          </cell>
        </row>
        <row r="286">
          <cell r="A286" t="str">
            <v>Torbay|GBR_44788</v>
          </cell>
          <cell r="B286" t="str">
            <v>health_districts</v>
          </cell>
          <cell r="C286">
            <v>44788</v>
          </cell>
          <cell r="D286" t="str">
            <v>Torbay</v>
          </cell>
          <cell r="E286" t="str">
            <v>GBR_44788</v>
          </cell>
        </row>
        <row r="287">
          <cell r="A287" t="str">
            <v>Bristol, City of|GBR_44789</v>
          </cell>
          <cell r="B287" t="str">
            <v>health_districts</v>
          </cell>
          <cell r="C287">
            <v>44789</v>
          </cell>
          <cell r="D287" t="str">
            <v>Bristol, City of</v>
          </cell>
          <cell r="E287" t="str">
            <v>GBR_44789</v>
          </cell>
        </row>
        <row r="288">
          <cell r="A288" t="str">
            <v>Bournemouth|GBR_44790</v>
          </cell>
          <cell r="B288" t="str">
            <v>health_districts</v>
          </cell>
          <cell r="C288">
            <v>44790</v>
          </cell>
          <cell r="D288" t="str">
            <v>Bournemouth</v>
          </cell>
          <cell r="E288" t="str">
            <v>GBR_44790</v>
          </cell>
        </row>
        <row r="289">
          <cell r="A289" t="str">
            <v>Cornwall|GBR_44791</v>
          </cell>
          <cell r="B289" t="str">
            <v>health_districts</v>
          </cell>
          <cell r="C289">
            <v>44791</v>
          </cell>
          <cell r="D289" t="str">
            <v>Cornwall</v>
          </cell>
          <cell r="E289" t="str">
            <v>GBR_44791</v>
          </cell>
        </row>
        <row r="290">
          <cell r="A290" t="str">
            <v>Plymouth|GBR_44792</v>
          </cell>
          <cell r="B290" t="str">
            <v>health_districts</v>
          </cell>
          <cell r="C290">
            <v>44792</v>
          </cell>
          <cell r="D290" t="str">
            <v>Plymouth</v>
          </cell>
          <cell r="E290" t="str">
            <v>GBR_44792</v>
          </cell>
        </row>
        <row r="291">
          <cell r="A291" t="str">
            <v>North East England|GBR_4618</v>
          </cell>
          <cell r="B291" t="str">
            <v>admin1</v>
          </cell>
          <cell r="C291">
            <v>4618</v>
          </cell>
          <cell r="D291" t="str">
            <v>North East England</v>
          </cell>
          <cell r="E291" t="str">
            <v>GBR_4618</v>
          </cell>
        </row>
        <row r="292">
          <cell r="A292" t="str">
            <v>North West England|GBR_4619</v>
          </cell>
          <cell r="B292" t="str">
            <v>admin1</v>
          </cell>
          <cell r="C292">
            <v>4619</v>
          </cell>
          <cell r="D292" t="str">
            <v>North West England</v>
          </cell>
          <cell r="E292" t="str">
            <v>GBR_4619</v>
          </cell>
        </row>
        <row r="293">
          <cell r="A293" t="str">
            <v>Yorkshire and the Humber|GBR_4620</v>
          </cell>
          <cell r="B293" t="str">
            <v>admin1</v>
          </cell>
          <cell r="C293">
            <v>4620</v>
          </cell>
          <cell r="D293" t="str">
            <v>Yorkshire and the Humber</v>
          </cell>
          <cell r="E293" t="str">
            <v>GBR_4620</v>
          </cell>
        </row>
        <row r="294">
          <cell r="A294" t="str">
            <v>East Midlands|GBR_4621</v>
          </cell>
          <cell r="B294" t="str">
            <v>admin1</v>
          </cell>
          <cell r="C294">
            <v>4621</v>
          </cell>
          <cell r="D294" t="str">
            <v>East Midlands</v>
          </cell>
          <cell r="E294" t="str">
            <v>GBR_4621</v>
          </cell>
        </row>
        <row r="295">
          <cell r="A295" t="str">
            <v>West Midlands|GBR_4622</v>
          </cell>
          <cell r="B295" t="str">
            <v>admin1</v>
          </cell>
          <cell r="C295">
            <v>4622</v>
          </cell>
          <cell r="D295" t="str">
            <v>West Midlands</v>
          </cell>
          <cell r="E295" t="str">
            <v>GBR_4622</v>
          </cell>
        </row>
        <row r="296">
          <cell r="A296" t="str">
            <v>East of England|GBR_4623</v>
          </cell>
          <cell r="B296" t="str">
            <v>admin1</v>
          </cell>
          <cell r="C296">
            <v>4623</v>
          </cell>
          <cell r="D296" t="str">
            <v>East of England</v>
          </cell>
          <cell r="E296" t="str">
            <v>GBR_4623</v>
          </cell>
        </row>
        <row r="297">
          <cell r="A297" t="str">
            <v>Greater London|GBR_4624</v>
          </cell>
          <cell r="B297" t="str">
            <v>admin1</v>
          </cell>
          <cell r="C297">
            <v>4624</v>
          </cell>
          <cell r="D297" t="str">
            <v>Greater London</v>
          </cell>
          <cell r="E297" t="str">
            <v>GBR_4624</v>
          </cell>
        </row>
        <row r="298">
          <cell r="A298" t="str">
            <v>South East England|GBR_4625</v>
          </cell>
          <cell r="B298" t="str">
            <v>admin1</v>
          </cell>
          <cell r="C298">
            <v>4625</v>
          </cell>
          <cell r="D298" t="str">
            <v>South East England</v>
          </cell>
          <cell r="E298" t="str">
            <v>GBR_4625</v>
          </cell>
        </row>
        <row r="299">
          <cell r="A299" t="str">
            <v>South West England|GBR_4626</v>
          </cell>
          <cell r="B299" t="str">
            <v>admin1</v>
          </cell>
          <cell r="C299">
            <v>4626</v>
          </cell>
          <cell r="D299" t="str">
            <v>South West England</v>
          </cell>
          <cell r="E299" t="str">
            <v>GBR_4626</v>
          </cell>
        </row>
        <row r="300">
          <cell r="A300" t="str">
            <v>Wales|GBR_4636</v>
          </cell>
          <cell r="B300" t="str">
            <v>admin1</v>
          </cell>
          <cell r="C300">
            <v>4636</v>
          </cell>
          <cell r="D300" t="str">
            <v>Wales</v>
          </cell>
          <cell r="E300" t="str">
            <v>GBR_4636</v>
          </cell>
        </row>
        <row r="301">
          <cell r="A301" t="str">
            <v>England|GBR_4749</v>
          </cell>
          <cell r="B301" t="str">
            <v>admin1</v>
          </cell>
          <cell r="C301">
            <v>4749</v>
          </cell>
          <cell r="D301" t="str">
            <v>England</v>
          </cell>
          <cell r="E301" t="str">
            <v>GBR_4749</v>
          </cell>
        </row>
        <row r="302">
          <cell r="A302" t="str">
            <v>Georgia|GEO</v>
          </cell>
          <cell r="B302" t="str">
            <v>admin0</v>
          </cell>
          <cell r="C302">
            <v>35</v>
          </cell>
          <cell r="D302" t="str">
            <v>Georgia</v>
          </cell>
          <cell r="E302" t="str">
            <v>GEO</v>
          </cell>
        </row>
        <row r="303">
          <cell r="A303" t="str">
            <v>Ghana|GHA</v>
          </cell>
          <cell r="B303" t="str">
            <v>admin0</v>
          </cell>
          <cell r="C303">
            <v>207</v>
          </cell>
          <cell r="D303" t="str">
            <v>Ghana</v>
          </cell>
          <cell r="E303" t="str">
            <v>GHA</v>
          </cell>
        </row>
        <row r="304">
          <cell r="A304" t="str">
            <v>Guinea|GIN</v>
          </cell>
          <cell r="B304" t="str">
            <v>admin0</v>
          </cell>
          <cell r="C304">
            <v>208</v>
          </cell>
          <cell r="D304" t="str">
            <v>Guinea</v>
          </cell>
          <cell r="E304" t="str">
            <v>GIN</v>
          </cell>
        </row>
        <row r="305">
          <cell r="A305" t="str">
            <v>The Gambia|GMB</v>
          </cell>
          <cell r="B305" t="str">
            <v>admin0</v>
          </cell>
          <cell r="C305">
            <v>206</v>
          </cell>
          <cell r="D305" t="str">
            <v>The Gambia</v>
          </cell>
          <cell r="E305" t="str">
            <v>GMB</v>
          </cell>
        </row>
        <row r="306">
          <cell r="A306" t="str">
            <v>Guinea-Bissau|GNB</v>
          </cell>
          <cell r="B306" t="str">
            <v>admin0</v>
          </cell>
          <cell r="C306">
            <v>209</v>
          </cell>
          <cell r="D306" t="str">
            <v>Guinea-Bissau</v>
          </cell>
          <cell r="E306" t="str">
            <v>GNB</v>
          </cell>
        </row>
        <row r="307">
          <cell r="A307" t="str">
            <v>Equatorial Guinea|GNQ</v>
          </cell>
          <cell r="B307" t="str">
            <v>admin0</v>
          </cell>
          <cell r="C307">
            <v>172</v>
          </cell>
          <cell r="D307" t="str">
            <v>Equatorial Guinea</v>
          </cell>
          <cell r="E307" t="str">
            <v>GNQ</v>
          </cell>
        </row>
        <row r="308">
          <cell r="A308" t="str">
            <v>Greece|GRC</v>
          </cell>
          <cell r="B308" t="str">
            <v>admin0</v>
          </cell>
          <cell r="C308">
            <v>82</v>
          </cell>
          <cell r="D308" t="str">
            <v>Greece</v>
          </cell>
          <cell r="E308" t="str">
            <v>GRC</v>
          </cell>
        </row>
        <row r="309">
          <cell r="A309" t="str">
            <v>Grenada|GRD</v>
          </cell>
          <cell r="B309" t="str">
            <v>admin0</v>
          </cell>
          <cell r="C309">
            <v>112</v>
          </cell>
          <cell r="D309" t="str">
            <v>Grenada</v>
          </cell>
          <cell r="E309" t="str">
            <v>GRD</v>
          </cell>
        </row>
        <row r="310">
          <cell r="A310" t="str">
            <v>Greenland|GRL</v>
          </cell>
          <cell r="B310" t="str">
            <v>nonsovereign</v>
          </cell>
          <cell r="C310">
            <v>349</v>
          </cell>
          <cell r="D310" t="str">
            <v>Greenland</v>
          </cell>
          <cell r="E310" t="str">
            <v>GRL</v>
          </cell>
        </row>
        <row r="311">
          <cell r="A311" t="str">
            <v>Guatemala|GTM</v>
          </cell>
          <cell r="B311" t="str">
            <v>admin0</v>
          </cell>
          <cell r="C311">
            <v>128</v>
          </cell>
          <cell r="D311" t="str">
            <v>Guatemala</v>
          </cell>
          <cell r="E311" t="str">
            <v>GTM</v>
          </cell>
        </row>
        <row r="312">
          <cell r="A312" t="str">
            <v>Guam|GUM</v>
          </cell>
          <cell r="B312" t="str">
            <v>nonsovereign</v>
          </cell>
          <cell r="C312">
            <v>351</v>
          </cell>
          <cell r="D312" t="str">
            <v>Guam</v>
          </cell>
          <cell r="E312" t="str">
            <v>GUM</v>
          </cell>
        </row>
        <row r="313">
          <cell r="A313" t="str">
            <v>Guyana|GUY</v>
          </cell>
          <cell r="B313" t="str">
            <v>admin0</v>
          </cell>
          <cell r="C313">
            <v>113</v>
          </cell>
          <cell r="D313" t="str">
            <v>Guyana</v>
          </cell>
          <cell r="E313" t="str">
            <v>GUY</v>
          </cell>
        </row>
        <row r="314">
          <cell r="A314" t="str">
            <v>Honduras|HND</v>
          </cell>
          <cell r="B314" t="str">
            <v>admin0</v>
          </cell>
          <cell r="C314">
            <v>129</v>
          </cell>
          <cell r="D314" t="str">
            <v>Honduras</v>
          </cell>
          <cell r="E314" t="str">
            <v>HND</v>
          </cell>
        </row>
        <row r="315">
          <cell r="A315" t="str">
            <v>Croatia|HRV</v>
          </cell>
          <cell r="B315" t="str">
            <v>admin0</v>
          </cell>
          <cell r="C315">
            <v>46</v>
          </cell>
          <cell r="D315" t="str">
            <v>Croatia</v>
          </cell>
          <cell r="E315" t="str">
            <v>HRV</v>
          </cell>
        </row>
        <row r="316">
          <cell r="A316" t="str">
            <v>Haiti|HTI</v>
          </cell>
          <cell r="B316" t="str">
            <v>admin0</v>
          </cell>
          <cell r="C316">
            <v>114</v>
          </cell>
          <cell r="D316" t="str">
            <v>Haiti</v>
          </cell>
          <cell r="E316" t="str">
            <v>HTI</v>
          </cell>
        </row>
        <row r="317">
          <cell r="A317" t="str">
            <v>Hungary|HUN</v>
          </cell>
          <cell r="B317" t="str">
            <v>admin0</v>
          </cell>
          <cell r="C317">
            <v>48</v>
          </cell>
          <cell r="D317" t="str">
            <v>Hungary</v>
          </cell>
          <cell r="E317" t="str">
            <v>HUN</v>
          </cell>
        </row>
        <row r="318">
          <cell r="A318" t="str">
            <v>Indonesia|IDN</v>
          </cell>
          <cell r="B318" t="str">
            <v>admin0</v>
          </cell>
          <cell r="C318">
            <v>11</v>
          </cell>
          <cell r="D318" t="str">
            <v>Indonesia</v>
          </cell>
          <cell r="E318" t="str">
            <v>IDN</v>
          </cell>
        </row>
        <row r="319">
          <cell r="A319" t="str">
            <v>Aceh|IDN_4709</v>
          </cell>
          <cell r="B319" t="str">
            <v>admin1</v>
          </cell>
          <cell r="C319">
            <v>4709</v>
          </cell>
          <cell r="D319" t="str">
            <v>Aceh</v>
          </cell>
          <cell r="E319" t="str">
            <v>IDN_4709</v>
          </cell>
        </row>
        <row r="320">
          <cell r="A320" t="str">
            <v>North Sumatra|IDN_4710</v>
          </cell>
          <cell r="B320" t="str">
            <v>admin1</v>
          </cell>
          <cell r="C320">
            <v>4710</v>
          </cell>
          <cell r="D320" t="str">
            <v>North Sumatra</v>
          </cell>
          <cell r="E320" t="str">
            <v>IDN_4710</v>
          </cell>
        </row>
        <row r="321">
          <cell r="A321" t="str">
            <v>West Sumatra|IDN_4711</v>
          </cell>
          <cell r="B321" t="str">
            <v>admin1</v>
          </cell>
          <cell r="C321">
            <v>4711</v>
          </cell>
          <cell r="D321" t="str">
            <v>West Sumatra</v>
          </cell>
          <cell r="E321" t="str">
            <v>IDN_4711</v>
          </cell>
        </row>
        <row r="322">
          <cell r="A322" t="str">
            <v>Riau|IDN_4712</v>
          </cell>
          <cell r="B322" t="str">
            <v>admin1</v>
          </cell>
          <cell r="C322">
            <v>4712</v>
          </cell>
          <cell r="D322" t="str">
            <v>Riau</v>
          </cell>
          <cell r="E322" t="str">
            <v>IDN_4712</v>
          </cell>
        </row>
        <row r="323">
          <cell r="A323" t="str">
            <v>Jambi|IDN_4713</v>
          </cell>
          <cell r="B323" t="str">
            <v>admin1</v>
          </cell>
          <cell r="C323">
            <v>4713</v>
          </cell>
          <cell r="D323" t="str">
            <v>Jambi</v>
          </cell>
          <cell r="E323" t="str">
            <v>IDN_4713</v>
          </cell>
        </row>
        <row r="324">
          <cell r="A324" t="str">
            <v>South Sumatra|IDN_4714</v>
          </cell>
          <cell r="B324" t="str">
            <v>admin1</v>
          </cell>
          <cell r="C324">
            <v>4714</v>
          </cell>
          <cell r="D324" t="str">
            <v>South Sumatra</v>
          </cell>
          <cell r="E324" t="str">
            <v>IDN_4714</v>
          </cell>
        </row>
        <row r="325">
          <cell r="A325" t="str">
            <v>Bengkulu|IDN_4715</v>
          </cell>
          <cell r="B325" t="str">
            <v>admin1</v>
          </cell>
          <cell r="C325">
            <v>4715</v>
          </cell>
          <cell r="D325" t="str">
            <v>Bengkulu</v>
          </cell>
          <cell r="E325" t="str">
            <v>IDN_4715</v>
          </cell>
        </row>
        <row r="326">
          <cell r="A326" t="str">
            <v>Lampung|IDN_4716</v>
          </cell>
          <cell r="B326" t="str">
            <v>admin1</v>
          </cell>
          <cell r="C326">
            <v>4716</v>
          </cell>
          <cell r="D326" t="str">
            <v>Lampung</v>
          </cell>
          <cell r="E326" t="str">
            <v>IDN_4716</v>
          </cell>
        </row>
        <row r="327">
          <cell r="A327" t="str">
            <v>Bangka-Belitung Islands|IDN_4717</v>
          </cell>
          <cell r="B327" t="str">
            <v>admin1</v>
          </cell>
          <cell r="C327">
            <v>4717</v>
          </cell>
          <cell r="D327" t="str">
            <v>Bangka-Belitung Islands</v>
          </cell>
          <cell r="E327" t="str">
            <v>IDN_4717</v>
          </cell>
        </row>
        <row r="328">
          <cell r="A328" t="str">
            <v>Riau Islands|IDN_4718</v>
          </cell>
          <cell r="B328" t="str">
            <v>admin1</v>
          </cell>
          <cell r="C328">
            <v>4718</v>
          </cell>
          <cell r="D328" t="str">
            <v>Riau Islands</v>
          </cell>
          <cell r="E328" t="str">
            <v>IDN_4718</v>
          </cell>
        </row>
        <row r="329">
          <cell r="A329" t="str">
            <v>North Kalimantan|IDN_4719</v>
          </cell>
          <cell r="B329" t="str">
            <v>admin1</v>
          </cell>
          <cell r="C329">
            <v>4719</v>
          </cell>
          <cell r="D329" t="str">
            <v>North Kalimantan</v>
          </cell>
          <cell r="E329" t="str">
            <v>IDN_4719</v>
          </cell>
        </row>
        <row r="330">
          <cell r="A330" t="str">
            <v>Jakarta|IDN_4720</v>
          </cell>
          <cell r="B330" t="str">
            <v>admin1</v>
          </cell>
          <cell r="C330">
            <v>4720</v>
          </cell>
          <cell r="D330" t="str">
            <v>Jakarta</v>
          </cell>
          <cell r="E330" t="str">
            <v>IDN_4720</v>
          </cell>
        </row>
        <row r="331">
          <cell r="A331" t="str">
            <v>West Java|IDN_4721</v>
          </cell>
          <cell r="B331" t="str">
            <v>admin1</v>
          </cell>
          <cell r="C331">
            <v>4721</v>
          </cell>
          <cell r="D331" t="str">
            <v>West Java</v>
          </cell>
          <cell r="E331" t="str">
            <v>IDN_4721</v>
          </cell>
        </row>
        <row r="332">
          <cell r="A332" t="str">
            <v>Central Java|IDN_4722</v>
          </cell>
          <cell r="B332" t="str">
            <v>admin1</v>
          </cell>
          <cell r="C332">
            <v>4722</v>
          </cell>
          <cell r="D332" t="str">
            <v>Central Java</v>
          </cell>
          <cell r="E332" t="str">
            <v>IDN_4722</v>
          </cell>
        </row>
        <row r="333">
          <cell r="A333" t="str">
            <v>Yogyakarta|IDN_4723</v>
          </cell>
          <cell r="B333" t="str">
            <v>admin1</v>
          </cell>
          <cell r="C333">
            <v>4723</v>
          </cell>
          <cell r="D333" t="str">
            <v>Yogyakarta</v>
          </cell>
          <cell r="E333" t="str">
            <v>IDN_4723</v>
          </cell>
        </row>
        <row r="334">
          <cell r="A334" t="str">
            <v>East Java|IDN_4724</v>
          </cell>
          <cell r="B334" t="str">
            <v>admin1</v>
          </cell>
          <cell r="C334">
            <v>4724</v>
          </cell>
          <cell r="D334" t="str">
            <v>East Java</v>
          </cell>
          <cell r="E334" t="str">
            <v>IDN_4724</v>
          </cell>
        </row>
        <row r="335">
          <cell r="A335" t="str">
            <v>Banten|IDN_4725</v>
          </cell>
          <cell r="B335" t="str">
            <v>admin1</v>
          </cell>
          <cell r="C335">
            <v>4725</v>
          </cell>
          <cell r="D335" t="str">
            <v>Banten</v>
          </cell>
          <cell r="E335" t="str">
            <v>IDN_4725</v>
          </cell>
        </row>
        <row r="336">
          <cell r="A336" t="str">
            <v>Bali|IDN_4726</v>
          </cell>
          <cell r="B336" t="str">
            <v>admin1</v>
          </cell>
          <cell r="C336">
            <v>4726</v>
          </cell>
          <cell r="D336" t="str">
            <v>Bali</v>
          </cell>
          <cell r="E336" t="str">
            <v>IDN_4726</v>
          </cell>
        </row>
        <row r="337">
          <cell r="A337" t="str">
            <v>West Nusa Tenggara|IDN_4727</v>
          </cell>
          <cell r="B337" t="str">
            <v>admin1</v>
          </cell>
          <cell r="C337">
            <v>4727</v>
          </cell>
          <cell r="D337" t="str">
            <v>West Nusa Tenggara</v>
          </cell>
          <cell r="E337" t="str">
            <v>IDN_4727</v>
          </cell>
        </row>
        <row r="338">
          <cell r="A338" t="str">
            <v>East Nusa Tenggara|IDN_4728</v>
          </cell>
          <cell r="B338" t="str">
            <v>admin1</v>
          </cell>
          <cell r="C338">
            <v>4728</v>
          </cell>
          <cell r="D338" t="str">
            <v>East Nusa Tenggara</v>
          </cell>
          <cell r="E338" t="str">
            <v>IDN_4728</v>
          </cell>
        </row>
        <row r="339">
          <cell r="A339" t="str">
            <v>West Kalimantan|IDN_4729</v>
          </cell>
          <cell r="B339" t="str">
            <v>admin1</v>
          </cell>
          <cell r="C339">
            <v>4729</v>
          </cell>
          <cell r="D339" t="str">
            <v>West Kalimantan</v>
          </cell>
          <cell r="E339" t="str">
            <v>IDN_4729</v>
          </cell>
        </row>
        <row r="340">
          <cell r="A340" t="str">
            <v>Central Kalimantan|IDN_4730</v>
          </cell>
          <cell r="B340" t="str">
            <v>admin1</v>
          </cell>
          <cell r="C340">
            <v>4730</v>
          </cell>
          <cell r="D340" t="str">
            <v>Central Kalimantan</v>
          </cell>
          <cell r="E340" t="str">
            <v>IDN_4730</v>
          </cell>
        </row>
        <row r="341">
          <cell r="A341" t="str">
            <v>South Kalimantan|IDN_4731</v>
          </cell>
          <cell r="B341" t="str">
            <v>admin1</v>
          </cell>
          <cell r="C341">
            <v>4731</v>
          </cell>
          <cell r="D341" t="str">
            <v>South Kalimantan</v>
          </cell>
          <cell r="E341" t="str">
            <v>IDN_4731</v>
          </cell>
        </row>
        <row r="342">
          <cell r="A342" t="str">
            <v>East Kalimantan|IDN_4732</v>
          </cell>
          <cell r="B342" t="str">
            <v>admin1</v>
          </cell>
          <cell r="C342">
            <v>4732</v>
          </cell>
          <cell r="D342" t="str">
            <v>East Kalimantan</v>
          </cell>
          <cell r="E342" t="str">
            <v>IDN_4732</v>
          </cell>
        </row>
        <row r="343">
          <cell r="A343" t="str">
            <v>North Sulawesi|IDN_4733</v>
          </cell>
          <cell r="B343" t="str">
            <v>admin1</v>
          </cell>
          <cell r="C343">
            <v>4733</v>
          </cell>
          <cell r="D343" t="str">
            <v>North Sulawesi</v>
          </cell>
          <cell r="E343" t="str">
            <v>IDN_4733</v>
          </cell>
        </row>
        <row r="344">
          <cell r="A344" t="str">
            <v>Central Sulawesi|IDN_4734</v>
          </cell>
          <cell r="B344" t="str">
            <v>admin1</v>
          </cell>
          <cell r="C344">
            <v>4734</v>
          </cell>
          <cell r="D344" t="str">
            <v>Central Sulawesi</v>
          </cell>
          <cell r="E344" t="str">
            <v>IDN_4734</v>
          </cell>
        </row>
        <row r="345">
          <cell r="A345" t="str">
            <v>South Sulawesi|IDN_4735</v>
          </cell>
          <cell r="B345" t="str">
            <v>admin1</v>
          </cell>
          <cell r="C345">
            <v>4735</v>
          </cell>
          <cell r="D345" t="str">
            <v>South Sulawesi</v>
          </cell>
          <cell r="E345" t="str">
            <v>IDN_4735</v>
          </cell>
        </row>
        <row r="346">
          <cell r="A346" t="str">
            <v>Southeast Sulawesi|IDN_4736</v>
          </cell>
          <cell r="B346" t="str">
            <v>admin1</v>
          </cell>
          <cell r="C346">
            <v>4736</v>
          </cell>
          <cell r="D346" t="str">
            <v>Southeast Sulawesi</v>
          </cell>
          <cell r="E346" t="str">
            <v>IDN_4736</v>
          </cell>
        </row>
        <row r="347">
          <cell r="A347" t="str">
            <v>Gorontalo|IDN_4737</v>
          </cell>
          <cell r="B347" t="str">
            <v>admin1</v>
          </cell>
          <cell r="C347">
            <v>4737</v>
          </cell>
          <cell r="D347" t="str">
            <v>Gorontalo</v>
          </cell>
          <cell r="E347" t="str">
            <v>IDN_4737</v>
          </cell>
        </row>
        <row r="348">
          <cell r="A348" t="str">
            <v>West Sulawesi|IDN_4738</v>
          </cell>
          <cell r="B348" t="str">
            <v>admin1</v>
          </cell>
          <cell r="C348">
            <v>4738</v>
          </cell>
          <cell r="D348" t="str">
            <v>West Sulawesi</v>
          </cell>
          <cell r="E348" t="str">
            <v>IDN_4738</v>
          </cell>
        </row>
        <row r="349">
          <cell r="A349" t="str">
            <v>Maluku|IDN_4739</v>
          </cell>
          <cell r="B349" t="str">
            <v>admin1</v>
          </cell>
          <cell r="C349">
            <v>4739</v>
          </cell>
          <cell r="D349" t="str">
            <v>Maluku</v>
          </cell>
          <cell r="E349" t="str">
            <v>IDN_4739</v>
          </cell>
        </row>
        <row r="350">
          <cell r="A350" t="str">
            <v>North Maluku|IDN_4740</v>
          </cell>
          <cell r="B350" t="str">
            <v>admin1</v>
          </cell>
          <cell r="C350">
            <v>4740</v>
          </cell>
          <cell r="D350" t="str">
            <v>North Maluku</v>
          </cell>
          <cell r="E350" t="str">
            <v>IDN_4740</v>
          </cell>
        </row>
        <row r="351">
          <cell r="A351" t="str">
            <v>West Papua|IDN_4741</v>
          </cell>
          <cell r="B351" t="str">
            <v>admin1</v>
          </cell>
          <cell r="C351">
            <v>4741</v>
          </cell>
          <cell r="D351" t="str">
            <v>West Papua</v>
          </cell>
          <cell r="E351" t="str">
            <v>IDN_4741</v>
          </cell>
        </row>
        <row r="352">
          <cell r="A352" t="str">
            <v>Papua|IDN_4742</v>
          </cell>
          <cell r="B352" t="str">
            <v>admin1</v>
          </cell>
          <cell r="C352">
            <v>4742</v>
          </cell>
          <cell r="D352" t="str">
            <v>Papua</v>
          </cell>
          <cell r="E352" t="str">
            <v>IDN_4742</v>
          </cell>
        </row>
        <row r="353">
          <cell r="A353" t="str">
            <v>India|IND</v>
          </cell>
          <cell r="B353" t="str">
            <v>admin0</v>
          </cell>
          <cell r="C353">
            <v>163</v>
          </cell>
          <cell r="D353" t="str">
            <v>India</v>
          </cell>
          <cell r="E353" t="str">
            <v>IND</v>
          </cell>
        </row>
        <row r="354">
          <cell r="A354" t="str">
            <v>Andhra Pradesh, Urban|IND_43872</v>
          </cell>
          <cell r="B354" t="str">
            <v>admin2</v>
          </cell>
          <cell r="C354">
            <v>43872</v>
          </cell>
          <cell r="D354" t="str">
            <v>Andhra Pradesh, Urban</v>
          </cell>
          <cell r="E354" t="str">
            <v>IND_43872</v>
          </cell>
        </row>
        <row r="355">
          <cell r="A355" t="str">
            <v>Arunachal Pradesh, Urban|IND_43873</v>
          </cell>
          <cell r="B355" t="str">
            <v>admin2</v>
          </cell>
          <cell r="C355">
            <v>43873</v>
          </cell>
          <cell r="D355" t="str">
            <v>Arunachal Pradesh, Urban</v>
          </cell>
          <cell r="E355" t="str">
            <v>IND_43873</v>
          </cell>
        </row>
        <row r="356">
          <cell r="A356" t="str">
            <v>Assam, Urban|IND_43874</v>
          </cell>
          <cell r="B356" t="str">
            <v>admin2</v>
          </cell>
          <cell r="C356">
            <v>43874</v>
          </cell>
          <cell r="D356" t="str">
            <v>Assam, Urban</v>
          </cell>
          <cell r="E356" t="str">
            <v>IND_43874</v>
          </cell>
        </row>
        <row r="357">
          <cell r="A357" t="str">
            <v>Bihar, Urban|IND_43875</v>
          </cell>
          <cell r="B357" t="str">
            <v>admin2</v>
          </cell>
          <cell r="C357">
            <v>43875</v>
          </cell>
          <cell r="D357" t="str">
            <v>Bihar, Urban</v>
          </cell>
          <cell r="E357" t="str">
            <v>IND_43875</v>
          </cell>
        </row>
        <row r="358">
          <cell r="A358" t="str">
            <v>Chhattisgarh, Urban|IND_43877</v>
          </cell>
          <cell r="B358" t="str">
            <v>admin2</v>
          </cell>
          <cell r="C358">
            <v>43877</v>
          </cell>
          <cell r="D358" t="str">
            <v>Chhattisgarh, Urban</v>
          </cell>
          <cell r="E358" t="str">
            <v>IND_43877</v>
          </cell>
        </row>
        <row r="359">
          <cell r="A359" t="str">
            <v>Delhi, Urban|IND_43880</v>
          </cell>
          <cell r="B359" t="str">
            <v>admin2</v>
          </cell>
          <cell r="C359">
            <v>43880</v>
          </cell>
          <cell r="D359" t="str">
            <v>Delhi, Urban</v>
          </cell>
          <cell r="E359" t="str">
            <v>IND_43880</v>
          </cell>
        </row>
        <row r="360">
          <cell r="A360" t="str">
            <v>Goa, Urban|IND_43881</v>
          </cell>
          <cell r="B360" t="str">
            <v>admin2</v>
          </cell>
          <cell r="C360">
            <v>43881</v>
          </cell>
          <cell r="D360" t="str">
            <v>Goa, Urban</v>
          </cell>
          <cell r="E360" t="str">
            <v>IND_43881</v>
          </cell>
        </row>
        <row r="361">
          <cell r="A361" t="str">
            <v>Gujarat, Urban|IND_43882</v>
          </cell>
          <cell r="B361" t="str">
            <v>admin2</v>
          </cell>
          <cell r="C361">
            <v>43882</v>
          </cell>
          <cell r="D361" t="str">
            <v>Gujarat, Urban</v>
          </cell>
          <cell r="E361" t="str">
            <v>IND_43882</v>
          </cell>
        </row>
        <row r="362">
          <cell r="A362" t="str">
            <v>Haryana, Urban|IND_43883</v>
          </cell>
          <cell r="B362" t="str">
            <v>admin2</v>
          </cell>
          <cell r="C362">
            <v>43883</v>
          </cell>
          <cell r="D362" t="str">
            <v>Haryana, Urban</v>
          </cell>
          <cell r="E362" t="str">
            <v>IND_43883</v>
          </cell>
        </row>
        <row r="363">
          <cell r="A363" t="str">
            <v>Himachal Pradesh, Urban|IND_43884</v>
          </cell>
          <cell r="B363" t="str">
            <v>admin2</v>
          </cell>
          <cell r="C363">
            <v>43884</v>
          </cell>
          <cell r="D363" t="str">
            <v>Himachal Pradesh, Urban</v>
          </cell>
          <cell r="E363" t="str">
            <v>IND_43884</v>
          </cell>
        </row>
        <row r="364">
          <cell r="A364" t="str">
            <v>Jammu and Kashmir, Urban|IND_43885</v>
          </cell>
          <cell r="B364" t="str">
            <v>admin2</v>
          </cell>
          <cell r="C364">
            <v>43885</v>
          </cell>
          <cell r="D364" t="str">
            <v>Jammu and Kashmir, Urban</v>
          </cell>
          <cell r="E364" t="str">
            <v>IND_43885</v>
          </cell>
        </row>
        <row r="365">
          <cell r="A365" t="str">
            <v>Jharkhand, Urban|IND_43886</v>
          </cell>
          <cell r="B365" t="str">
            <v>admin2</v>
          </cell>
          <cell r="C365">
            <v>43886</v>
          </cell>
          <cell r="D365" t="str">
            <v>Jharkhand, Urban</v>
          </cell>
          <cell r="E365" t="str">
            <v>IND_43886</v>
          </cell>
        </row>
        <row r="366">
          <cell r="A366" t="str">
            <v>Karnataka, Urban|IND_43887</v>
          </cell>
          <cell r="B366" t="str">
            <v>admin2</v>
          </cell>
          <cell r="C366">
            <v>43887</v>
          </cell>
          <cell r="D366" t="str">
            <v>Karnataka, Urban</v>
          </cell>
          <cell r="E366" t="str">
            <v>IND_43887</v>
          </cell>
        </row>
        <row r="367">
          <cell r="A367" t="str">
            <v>Kerala, Urban|IND_43888</v>
          </cell>
          <cell r="B367" t="str">
            <v>admin2</v>
          </cell>
          <cell r="C367">
            <v>43888</v>
          </cell>
          <cell r="D367" t="str">
            <v>Kerala, Urban</v>
          </cell>
          <cell r="E367" t="str">
            <v>IND_43888</v>
          </cell>
        </row>
        <row r="368">
          <cell r="A368" t="str">
            <v>Madhya Pradesh, Urban|IND_43890</v>
          </cell>
          <cell r="B368" t="str">
            <v>admin2</v>
          </cell>
          <cell r="C368">
            <v>43890</v>
          </cell>
          <cell r="D368" t="str">
            <v>Madhya Pradesh, Urban</v>
          </cell>
          <cell r="E368" t="str">
            <v>IND_43890</v>
          </cell>
        </row>
        <row r="369">
          <cell r="A369" t="str">
            <v>Maharashtra, Urban|IND_43891</v>
          </cell>
          <cell r="B369" t="str">
            <v>admin2</v>
          </cell>
          <cell r="C369">
            <v>43891</v>
          </cell>
          <cell r="D369" t="str">
            <v>Maharashtra, Urban</v>
          </cell>
          <cell r="E369" t="str">
            <v>IND_43891</v>
          </cell>
        </row>
        <row r="370">
          <cell r="A370" t="str">
            <v>Manipur, Urban|IND_43892</v>
          </cell>
          <cell r="B370" t="str">
            <v>admin2</v>
          </cell>
          <cell r="C370">
            <v>43892</v>
          </cell>
          <cell r="D370" t="str">
            <v>Manipur, Urban</v>
          </cell>
          <cell r="E370" t="str">
            <v>IND_43892</v>
          </cell>
        </row>
        <row r="371">
          <cell r="A371" t="str">
            <v>Meghalaya, Urban|IND_43893</v>
          </cell>
          <cell r="B371" t="str">
            <v>admin2</v>
          </cell>
          <cell r="C371">
            <v>43893</v>
          </cell>
          <cell r="D371" t="str">
            <v>Meghalaya, Urban</v>
          </cell>
          <cell r="E371" t="str">
            <v>IND_43893</v>
          </cell>
        </row>
        <row r="372">
          <cell r="A372" t="str">
            <v>Mizoram, Urban|IND_43894</v>
          </cell>
          <cell r="B372" t="str">
            <v>admin2</v>
          </cell>
          <cell r="C372">
            <v>43894</v>
          </cell>
          <cell r="D372" t="str">
            <v>Mizoram, Urban</v>
          </cell>
          <cell r="E372" t="str">
            <v>IND_43894</v>
          </cell>
        </row>
        <row r="373">
          <cell r="A373" t="str">
            <v>Nagaland, Urban|IND_43895</v>
          </cell>
          <cell r="B373" t="str">
            <v>admin2</v>
          </cell>
          <cell r="C373">
            <v>43895</v>
          </cell>
          <cell r="D373" t="str">
            <v>Nagaland, Urban</v>
          </cell>
          <cell r="E373" t="str">
            <v>IND_43895</v>
          </cell>
        </row>
        <row r="374">
          <cell r="A374" t="str">
            <v>Odisha, Urban|IND_43896</v>
          </cell>
          <cell r="B374" t="str">
            <v>admin2</v>
          </cell>
          <cell r="C374">
            <v>43896</v>
          </cell>
          <cell r="D374" t="str">
            <v>Odisha, Urban</v>
          </cell>
          <cell r="E374" t="str">
            <v>IND_43896</v>
          </cell>
        </row>
        <row r="375">
          <cell r="A375" t="str">
            <v>Punjab, Urban|IND_43898</v>
          </cell>
          <cell r="B375" t="str">
            <v>admin2</v>
          </cell>
          <cell r="C375">
            <v>43898</v>
          </cell>
          <cell r="D375" t="str">
            <v>Punjab, Urban</v>
          </cell>
          <cell r="E375" t="str">
            <v>IND_43898</v>
          </cell>
        </row>
        <row r="376">
          <cell r="A376" t="str">
            <v>Rajasthan, Urban|IND_43899</v>
          </cell>
          <cell r="B376" t="str">
            <v>admin2</v>
          </cell>
          <cell r="C376">
            <v>43899</v>
          </cell>
          <cell r="D376" t="str">
            <v>Rajasthan, Urban</v>
          </cell>
          <cell r="E376" t="str">
            <v>IND_43899</v>
          </cell>
        </row>
        <row r="377">
          <cell r="A377" t="str">
            <v>Sikkim, Urban|IND_43900</v>
          </cell>
          <cell r="B377" t="str">
            <v>admin2</v>
          </cell>
          <cell r="C377">
            <v>43900</v>
          </cell>
          <cell r="D377" t="str">
            <v>Sikkim, Urban</v>
          </cell>
          <cell r="E377" t="str">
            <v>IND_43900</v>
          </cell>
        </row>
        <row r="378">
          <cell r="A378" t="str">
            <v>Tamil Nadu, Urban|IND_43901</v>
          </cell>
          <cell r="B378" t="str">
            <v>admin2</v>
          </cell>
          <cell r="C378">
            <v>43901</v>
          </cell>
          <cell r="D378" t="str">
            <v>Tamil Nadu, Urban</v>
          </cell>
          <cell r="E378" t="str">
            <v>IND_43901</v>
          </cell>
        </row>
        <row r="379">
          <cell r="A379" t="str">
            <v>Telangana, Urban|IND_43902</v>
          </cell>
          <cell r="B379" t="str">
            <v>admin2</v>
          </cell>
          <cell r="C379">
            <v>43902</v>
          </cell>
          <cell r="D379" t="str">
            <v>Telangana, Urban</v>
          </cell>
          <cell r="E379" t="str">
            <v>IND_43902</v>
          </cell>
        </row>
        <row r="380">
          <cell r="A380" t="str">
            <v>Tripura, Urban|IND_43903</v>
          </cell>
          <cell r="B380" t="str">
            <v>admin2</v>
          </cell>
          <cell r="C380">
            <v>43903</v>
          </cell>
          <cell r="D380" t="str">
            <v>Tripura, Urban</v>
          </cell>
          <cell r="E380" t="str">
            <v>IND_43903</v>
          </cell>
        </row>
        <row r="381">
          <cell r="A381" t="str">
            <v>Uttar Pradesh, Urban|IND_43904</v>
          </cell>
          <cell r="B381" t="str">
            <v>admin2</v>
          </cell>
          <cell r="C381">
            <v>43904</v>
          </cell>
          <cell r="D381" t="str">
            <v>Uttar Pradesh, Urban</v>
          </cell>
          <cell r="E381" t="str">
            <v>IND_43904</v>
          </cell>
        </row>
        <row r="382">
          <cell r="A382" t="str">
            <v>Uttarakhand, Urban|IND_43905</v>
          </cell>
          <cell r="B382" t="str">
            <v>admin2</v>
          </cell>
          <cell r="C382">
            <v>43905</v>
          </cell>
          <cell r="D382" t="str">
            <v>Uttarakhand, Urban</v>
          </cell>
          <cell r="E382" t="str">
            <v>IND_43905</v>
          </cell>
        </row>
        <row r="383">
          <cell r="A383" t="str">
            <v>West Bengal, Urban|IND_43906</v>
          </cell>
          <cell r="B383" t="str">
            <v>admin2</v>
          </cell>
          <cell r="C383">
            <v>43906</v>
          </cell>
          <cell r="D383" t="str">
            <v>West Bengal, Urban</v>
          </cell>
          <cell r="E383" t="str">
            <v>IND_43906</v>
          </cell>
        </row>
        <row r="384">
          <cell r="A384" t="str">
            <v>Andhra Pradesh, Rural|IND_43908</v>
          </cell>
          <cell r="B384" t="str">
            <v>admin2</v>
          </cell>
          <cell r="C384">
            <v>43908</v>
          </cell>
          <cell r="D384" t="str">
            <v>Andhra Pradesh, Rural</v>
          </cell>
          <cell r="E384" t="str">
            <v>IND_43908</v>
          </cell>
        </row>
        <row r="385">
          <cell r="A385" t="str">
            <v>Arunachal Pradesh, Rural|IND_43909</v>
          </cell>
          <cell r="B385" t="str">
            <v>admin2</v>
          </cell>
          <cell r="C385">
            <v>43909</v>
          </cell>
          <cell r="D385" t="str">
            <v>Arunachal Pradesh, Rural</v>
          </cell>
          <cell r="E385" t="str">
            <v>IND_43909</v>
          </cell>
        </row>
        <row r="386">
          <cell r="A386" t="str">
            <v>Assam, Rural|IND_43910</v>
          </cell>
          <cell r="B386" t="str">
            <v>admin2</v>
          </cell>
          <cell r="C386">
            <v>43910</v>
          </cell>
          <cell r="D386" t="str">
            <v>Assam, Rural</v>
          </cell>
          <cell r="E386" t="str">
            <v>IND_43910</v>
          </cell>
        </row>
        <row r="387">
          <cell r="A387" t="str">
            <v>Bihar, Rural|IND_43911</v>
          </cell>
          <cell r="B387" t="str">
            <v>admin2</v>
          </cell>
          <cell r="C387">
            <v>43911</v>
          </cell>
          <cell r="D387" t="str">
            <v>Bihar, Rural</v>
          </cell>
          <cell r="E387" t="str">
            <v>IND_43911</v>
          </cell>
        </row>
        <row r="388">
          <cell r="A388" t="str">
            <v>Chhattisgarh, Rural|IND_43913</v>
          </cell>
          <cell r="B388" t="str">
            <v>admin2</v>
          </cell>
          <cell r="C388">
            <v>43913</v>
          </cell>
          <cell r="D388" t="str">
            <v>Chhattisgarh, Rural</v>
          </cell>
          <cell r="E388" t="str">
            <v>IND_43913</v>
          </cell>
        </row>
        <row r="389">
          <cell r="A389" t="str">
            <v>Delhi, Rural|IND_43916</v>
          </cell>
          <cell r="B389" t="str">
            <v>admin2</v>
          </cell>
          <cell r="C389">
            <v>43916</v>
          </cell>
          <cell r="D389" t="str">
            <v>Delhi, Rural</v>
          </cell>
          <cell r="E389" t="str">
            <v>IND_43916</v>
          </cell>
        </row>
        <row r="390">
          <cell r="A390" t="str">
            <v>Goa, Rural|IND_43917</v>
          </cell>
          <cell r="B390" t="str">
            <v>admin2</v>
          </cell>
          <cell r="C390">
            <v>43917</v>
          </cell>
          <cell r="D390" t="str">
            <v>Goa, Rural</v>
          </cell>
          <cell r="E390" t="str">
            <v>IND_43917</v>
          </cell>
        </row>
        <row r="391">
          <cell r="A391" t="str">
            <v>Gujarat, Rural|IND_43918</v>
          </cell>
          <cell r="B391" t="str">
            <v>admin2</v>
          </cell>
          <cell r="C391">
            <v>43918</v>
          </cell>
          <cell r="D391" t="str">
            <v>Gujarat, Rural</v>
          </cell>
          <cell r="E391" t="str">
            <v>IND_43918</v>
          </cell>
        </row>
        <row r="392">
          <cell r="A392" t="str">
            <v>Haryana, Rural|IND_43919</v>
          </cell>
          <cell r="B392" t="str">
            <v>admin2</v>
          </cell>
          <cell r="C392">
            <v>43919</v>
          </cell>
          <cell r="D392" t="str">
            <v>Haryana, Rural</v>
          </cell>
          <cell r="E392" t="str">
            <v>IND_43919</v>
          </cell>
        </row>
        <row r="393">
          <cell r="A393" t="str">
            <v>Himachal Pradesh, Rural|IND_43920</v>
          </cell>
          <cell r="B393" t="str">
            <v>admin2</v>
          </cell>
          <cell r="C393">
            <v>43920</v>
          </cell>
          <cell r="D393" t="str">
            <v>Himachal Pradesh, Rural</v>
          </cell>
          <cell r="E393" t="str">
            <v>IND_43920</v>
          </cell>
        </row>
        <row r="394">
          <cell r="A394" t="str">
            <v>Jammu and Kashmir, Rural|IND_43921</v>
          </cell>
          <cell r="B394" t="str">
            <v>admin2</v>
          </cell>
          <cell r="C394">
            <v>43921</v>
          </cell>
          <cell r="D394" t="str">
            <v>Jammu and Kashmir, Rural</v>
          </cell>
          <cell r="E394" t="str">
            <v>IND_43921</v>
          </cell>
        </row>
        <row r="395">
          <cell r="A395" t="str">
            <v>Jharkhand, Rural|IND_43922</v>
          </cell>
          <cell r="B395" t="str">
            <v>admin2</v>
          </cell>
          <cell r="C395">
            <v>43922</v>
          </cell>
          <cell r="D395" t="str">
            <v>Jharkhand, Rural</v>
          </cell>
          <cell r="E395" t="str">
            <v>IND_43922</v>
          </cell>
        </row>
        <row r="396">
          <cell r="A396" t="str">
            <v>Karnataka, Rural|IND_43923</v>
          </cell>
          <cell r="B396" t="str">
            <v>admin2</v>
          </cell>
          <cell r="C396">
            <v>43923</v>
          </cell>
          <cell r="D396" t="str">
            <v>Karnataka, Rural</v>
          </cell>
          <cell r="E396" t="str">
            <v>IND_43923</v>
          </cell>
        </row>
        <row r="397">
          <cell r="A397" t="str">
            <v>Kerala, Rural|IND_43924</v>
          </cell>
          <cell r="B397" t="str">
            <v>admin2</v>
          </cell>
          <cell r="C397">
            <v>43924</v>
          </cell>
          <cell r="D397" t="str">
            <v>Kerala, Rural</v>
          </cell>
          <cell r="E397" t="str">
            <v>IND_43924</v>
          </cell>
        </row>
        <row r="398">
          <cell r="A398" t="str">
            <v>Madhya Pradesh, Rural|IND_43926</v>
          </cell>
          <cell r="B398" t="str">
            <v>admin2</v>
          </cell>
          <cell r="C398">
            <v>43926</v>
          </cell>
          <cell r="D398" t="str">
            <v>Madhya Pradesh, Rural</v>
          </cell>
          <cell r="E398" t="str">
            <v>IND_43926</v>
          </cell>
        </row>
        <row r="399">
          <cell r="A399" t="str">
            <v>Maharashtra, Rural|IND_43927</v>
          </cell>
          <cell r="B399" t="str">
            <v>admin2</v>
          </cell>
          <cell r="C399">
            <v>43927</v>
          </cell>
          <cell r="D399" t="str">
            <v>Maharashtra, Rural</v>
          </cell>
          <cell r="E399" t="str">
            <v>IND_43927</v>
          </cell>
        </row>
        <row r="400">
          <cell r="A400" t="str">
            <v>Manipur, Rural|IND_43928</v>
          </cell>
          <cell r="B400" t="str">
            <v>admin2</v>
          </cell>
          <cell r="C400">
            <v>43928</v>
          </cell>
          <cell r="D400" t="str">
            <v>Manipur, Rural</v>
          </cell>
          <cell r="E400" t="str">
            <v>IND_43928</v>
          </cell>
        </row>
        <row r="401">
          <cell r="A401" t="str">
            <v>Meghalaya, Rural|IND_43929</v>
          </cell>
          <cell r="B401" t="str">
            <v>admin2</v>
          </cell>
          <cell r="C401">
            <v>43929</v>
          </cell>
          <cell r="D401" t="str">
            <v>Meghalaya, Rural</v>
          </cell>
          <cell r="E401" t="str">
            <v>IND_43929</v>
          </cell>
        </row>
        <row r="402">
          <cell r="A402" t="str">
            <v>Mizoram, Rural|IND_43930</v>
          </cell>
          <cell r="B402" t="str">
            <v>admin2</v>
          </cell>
          <cell r="C402">
            <v>43930</v>
          </cell>
          <cell r="D402" t="str">
            <v>Mizoram, Rural</v>
          </cell>
          <cell r="E402" t="str">
            <v>IND_43930</v>
          </cell>
        </row>
        <row r="403">
          <cell r="A403" t="str">
            <v>Nagaland, Rural|IND_43931</v>
          </cell>
          <cell r="B403" t="str">
            <v>admin2</v>
          </cell>
          <cell r="C403">
            <v>43931</v>
          </cell>
          <cell r="D403" t="str">
            <v>Nagaland, Rural</v>
          </cell>
          <cell r="E403" t="str">
            <v>IND_43931</v>
          </cell>
        </row>
        <row r="404">
          <cell r="A404" t="str">
            <v>Odisha, Rural|IND_43932</v>
          </cell>
          <cell r="B404" t="str">
            <v>admin2</v>
          </cell>
          <cell r="C404">
            <v>43932</v>
          </cell>
          <cell r="D404" t="str">
            <v>Odisha, Rural</v>
          </cell>
          <cell r="E404" t="str">
            <v>IND_43932</v>
          </cell>
        </row>
        <row r="405">
          <cell r="A405" t="str">
            <v>Punjab, Rural|IND_43934</v>
          </cell>
          <cell r="B405" t="str">
            <v>admin2</v>
          </cell>
          <cell r="C405">
            <v>43934</v>
          </cell>
          <cell r="D405" t="str">
            <v>Punjab, Rural</v>
          </cell>
          <cell r="E405" t="str">
            <v>IND_43934</v>
          </cell>
        </row>
        <row r="406">
          <cell r="A406" t="str">
            <v>Rajasthan, Rural|IND_43935</v>
          </cell>
          <cell r="B406" t="str">
            <v>admin2</v>
          </cell>
          <cell r="C406">
            <v>43935</v>
          </cell>
          <cell r="D406" t="str">
            <v>Rajasthan, Rural</v>
          </cell>
          <cell r="E406" t="str">
            <v>IND_43935</v>
          </cell>
        </row>
        <row r="407">
          <cell r="A407" t="str">
            <v>Sikkim, Rural|IND_43936</v>
          </cell>
          <cell r="B407" t="str">
            <v>admin2</v>
          </cell>
          <cell r="C407">
            <v>43936</v>
          </cell>
          <cell r="D407" t="str">
            <v>Sikkim, Rural</v>
          </cell>
          <cell r="E407" t="str">
            <v>IND_43936</v>
          </cell>
        </row>
        <row r="408">
          <cell r="A408" t="str">
            <v>Tamil Nadu, Rural|IND_43937</v>
          </cell>
          <cell r="B408" t="str">
            <v>admin2</v>
          </cell>
          <cell r="C408">
            <v>43937</v>
          </cell>
          <cell r="D408" t="str">
            <v>Tamil Nadu, Rural</v>
          </cell>
          <cell r="E408" t="str">
            <v>IND_43937</v>
          </cell>
        </row>
        <row r="409">
          <cell r="A409" t="str">
            <v>Telangana, Rural|IND_43938</v>
          </cell>
          <cell r="B409" t="str">
            <v>admin2</v>
          </cell>
          <cell r="C409">
            <v>43938</v>
          </cell>
          <cell r="D409" t="str">
            <v>Telangana, Rural</v>
          </cell>
          <cell r="E409" t="str">
            <v>IND_43938</v>
          </cell>
        </row>
        <row r="410">
          <cell r="A410" t="str">
            <v>Tripura, Rural|IND_43939</v>
          </cell>
          <cell r="B410" t="str">
            <v>admin2</v>
          </cell>
          <cell r="C410">
            <v>43939</v>
          </cell>
          <cell r="D410" t="str">
            <v>Tripura, Rural</v>
          </cell>
          <cell r="E410" t="str">
            <v>IND_43939</v>
          </cell>
        </row>
        <row r="411">
          <cell r="A411" t="str">
            <v>Uttar Pradesh, Rural|IND_43940</v>
          </cell>
          <cell r="B411" t="str">
            <v>admin2</v>
          </cell>
          <cell r="C411">
            <v>43940</v>
          </cell>
          <cell r="D411" t="str">
            <v>Uttar Pradesh, Rural</v>
          </cell>
          <cell r="E411" t="str">
            <v>IND_43940</v>
          </cell>
        </row>
        <row r="412">
          <cell r="A412" t="str">
            <v>Uttarakhand, Rural|IND_43941</v>
          </cell>
          <cell r="B412" t="str">
            <v>admin2</v>
          </cell>
          <cell r="C412">
            <v>43941</v>
          </cell>
          <cell r="D412" t="str">
            <v>Uttarakhand, Rural</v>
          </cell>
          <cell r="E412" t="str">
            <v>IND_43941</v>
          </cell>
        </row>
        <row r="413">
          <cell r="A413" t="str">
            <v>West Bengal, Rural|IND_43942</v>
          </cell>
          <cell r="B413" t="str">
            <v>admin2</v>
          </cell>
          <cell r="C413">
            <v>43942</v>
          </cell>
          <cell r="D413" t="str">
            <v>West Bengal, Rural</v>
          </cell>
          <cell r="E413" t="str">
            <v>IND_43942</v>
          </cell>
        </row>
        <row r="414">
          <cell r="A414" t="str">
            <v>Union Territories other than Delhi|IND_44538</v>
          </cell>
          <cell r="B414" t="str">
            <v>subnational</v>
          </cell>
          <cell r="C414">
            <v>44538</v>
          </cell>
          <cell r="D414" t="str">
            <v>Union Territories other than Delhi</v>
          </cell>
          <cell r="E414" t="str">
            <v>IND_44538</v>
          </cell>
        </row>
        <row r="415">
          <cell r="A415" t="str">
            <v>Union Territories other than Delhi, Rural|IND_44539</v>
          </cell>
          <cell r="B415" t="str">
            <v>urbanicity</v>
          </cell>
          <cell r="C415">
            <v>44539</v>
          </cell>
          <cell r="D415" t="str">
            <v>Union Territories other than Delhi, Rural</v>
          </cell>
          <cell r="E415" t="str">
            <v>IND_44539</v>
          </cell>
        </row>
        <row r="416">
          <cell r="A416" t="str">
            <v>Union Territories other than Delhi, Urban|IND_44540</v>
          </cell>
          <cell r="B416" t="str">
            <v>urbanicity</v>
          </cell>
          <cell r="C416">
            <v>44540</v>
          </cell>
          <cell r="D416" t="str">
            <v>Union Territories other than Delhi, Urban</v>
          </cell>
          <cell r="E416" t="str">
            <v>IND_44540</v>
          </cell>
        </row>
        <row r="417">
          <cell r="A417" t="str">
            <v>Andhra Pradesh|IND_4841</v>
          </cell>
          <cell r="B417" t="str">
            <v>admin1</v>
          </cell>
          <cell r="C417">
            <v>4841</v>
          </cell>
          <cell r="D417" t="str">
            <v>Andhra Pradesh</v>
          </cell>
          <cell r="E417" t="str">
            <v>IND_4841</v>
          </cell>
        </row>
        <row r="418">
          <cell r="A418" t="str">
            <v>Arunachal Pradesh|IND_4842</v>
          </cell>
          <cell r="B418" t="str">
            <v>admin1</v>
          </cell>
          <cell r="C418">
            <v>4842</v>
          </cell>
          <cell r="D418" t="str">
            <v>Arunachal Pradesh</v>
          </cell>
          <cell r="E418" t="str">
            <v>IND_4842</v>
          </cell>
        </row>
        <row r="419">
          <cell r="A419" t="str">
            <v>Assam|IND_4843</v>
          </cell>
          <cell r="B419" t="str">
            <v>admin1</v>
          </cell>
          <cell r="C419">
            <v>4843</v>
          </cell>
          <cell r="D419" t="str">
            <v>Assam</v>
          </cell>
          <cell r="E419" t="str">
            <v>IND_4843</v>
          </cell>
        </row>
        <row r="420">
          <cell r="A420" t="str">
            <v>Bihar|IND_4844</v>
          </cell>
          <cell r="B420" t="str">
            <v>admin1</v>
          </cell>
          <cell r="C420">
            <v>4844</v>
          </cell>
          <cell r="D420" t="str">
            <v>Bihar</v>
          </cell>
          <cell r="E420" t="str">
            <v>IND_4844</v>
          </cell>
        </row>
        <row r="421">
          <cell r="A421" t="str">
            <v>Chhattisgarh|IND_4846</v>
          </cell>
          <cell r="B421" t="str">
            <v>admin1</v>
          </cell>
          <cell r="C421">
            <v>4846</v>
          </cell>
          <cell r="D421" t="str">
            <v>Chhattisgarh</v>
          </cell>
          <cell r="E421" t="str">
            <v>IND_4846</v>
          </cell>
        </row>
        <row r="422">
          <cell r="A422" t="str">
            <v>Delhi|IND_4849</v>
          </cell>
          <cell r="B422" t="str">
            <v>admin1</v>
          </cell>
          <cell r="C422">
            <v>4849</v>
          </cell>
          <cell r="D422" t="str">
            <v>Delhi</v>
          </cell>
          <cell r="E422" t="str">
            <v>IND_4849</v>
          </cell>
        </row>
        <row r="423">
          <cell r="A423" t="str">
            <v>Goa|IND_4850</v>
          </cell>
          <cell r="B423" t="str">
            <v>admin1</v>
          </cell>
          <cell r="C423">
            <v>4850</v>
          </cell>
          <cell r="D423" t="str">
            <v>Goa</v>
          </cell>
          <cell r="E423" t="str">
            <v>IND_4850</v>
          </cell>
        </row>
        <row r="424">
          <cell r="A424" t="str">
            <v>Gujarat|IND_4851</v>
          </cell>
          <cell r="B424" t="str">
            <v>admin1</v>
          </cell>
          <cell r="C424">
            <v>4851</v>
          </cell>
          <cell r="D424" t="str">
            <v>Gujarat</v>
          </cell>
          <cell r="E424" t="str">
            <v>IND_4851</v>
          </cell>
        </row>
        <row r="425">
          <cell r="A425" t="str">
            <v>Haryana|IND_4852</v>
          </cell>
          <cell r="B425" t="str">
            <v>admin1</v>
          </cell>
          <cell r="C425">
            <v>4852</v>
          </cell>
          <cell r="D425" t="str">
            <v>Haryana</v>
          </cell>
          <cell r="E425" t="str">
            <v>IND_4852</v>
          </cell>
        </row>
        <row r="426">
          <cell r="A426" t="str">
            <v>Himachal Pradesh|IND_4853</v>
          </cell>
          <cell r="B426" t="str">
            <v>admin1</v>
          </cell>
          <cell r="C426">
            <v>4853</v>
          </cell>
          <cell r="D426" t="str">
            <v>Himachal Pradesh</v>
          </cell>
          <cell r="E426" t="str">
            <v>IND_4853</v>
          </cell>
        </row>
        <row r="427">
          <cell r="A427" t="str">
            <v>Jammu and Kashmir|IND_4854</v>
          </cell>
          <cell r="B427" t="str">
            <v>admin1</v>
          </cell>
          <cell r="C427">
            <v>4854</v>
          </cell>
          <cell r="D427" t="str">
            <v>Jammu and Kashmir</v>
          </cell>
          <cell r="E427" t="str">
            <v>IND_4854</v>
          </cell>
        </row>
        <row r="428">
          <cell r="A428" t="str">
            <v>Jharkhand|IND_4855</v>
          </cell>
          <cell r="B428" t="str">
            <v>admin1</v>
          </cell>
          <cell r="C428">
            <v>4855</v>
          </cell>
          <cell r="D428" t="str">
            <v>Jharkhand</v>
          </cell>
          <cell r="E428" t="str">
            <v>IND_4855</v>
          </cell>
        </row>
        <row r="429">
          <cell r="A429" t="str">
            <v>Karnataka|IND_4856</v>
          </cell>
          <cell r="B429" t="str">
            <v>admin1</v>
          </cell>
          <cell r="C429">
            <v>4856</v>
          </cell>
          <cell r="D429" t="str">
            <v>Karnataka</v>
          </cell>
          <cell r="E429" t="str">
            <v>IND_4856</v>
          </cell>
        </row>
        <row r="430">
          <cell r="A430" t="str">
            <v>Kerala|IND_4857</v>
          </cell>
          <cell r="B430" t="str">
            <v>admin1</v>
          </cell>
          <cell r="C430">
            <v>4857</v>
          </cell>
          <cell r="D430" t="str">
            <v>Kerala</v>
          </cell>
          <cell r="E430" t="str">
            <v>IND_4857</v>
          </cell>
        </row>
        <row r="431">
          <cell r="A431" t="str">
            <v>Madhya Pradesh|IND_4859</v>
          </cell>
          <cell r="B431" t="str">
            <v>admin1</v>
          </cell>
          <cell r="C431">
            <v>4859</v>
          </cell>
          <cell r="D431" t="str">
            <v>Madhya Pradesh</v>
          </cell>
          <cell r="E431" t="str">
            <v>IND_4859</v>
          </cell>
        </row>
        <row r="432">
          <cell r="A432" t="str">
            <v>Maharashtra|IND_4860</v>
          </cell>
          <cell r="B432" t="str">
            <v>admin1</v>
          </cell>
          <cell r="C432">
            <v>4860</v>
          </cell>
          <cell r="D432" t="str">
            <v>Maharashtra</v>
          </cell>
          <cell r="E432" t="str">
            <v>IND_4860</v>
          </cell>
        </row>
        <row r="433">
          <cell r="A433" t="str">
            <v>Manipur|IND_4861</v>
          </cell>
          <cell r="B433" t="str">
            <v>admin1</v>
          </cell>
          <cell r="C433">
            <v>4861</v>
          </cell>
          <cell r="D433" t="str">
            <v>Manipur</v>
          </cell>
          <cell r="E433" t="str">
            <v>IND_4861</v>
          </cell>
        </row>
        <row r="434">
          <cell r="A434" t="str">
            <v>Meghalaya|IND_4862</v>
          </cell>
          <cell r="B434" t="str">
            <v>admin1</v>
          </cell>
          <cell r="C434">
            <v>4862</v>
          </cell>
          <cell r="D434" t="str">
            <v>Meghalaya</v>
          </cell>
          <cell r="E434" t="str">
            <v>IND_4862</v>
          </cell>
        </row>
        <row r="435">
          <cell r="A435" t="str">
            <v>Mizoram|IND_4863</v>
          </cell>
          <cell r="B435" t="str">
            <v>admin1</v>
          </cell>
          <cell r="C435">
            <v>4863</v>
          </cell>
          <cell r="D435" t="str">
            <v>Mizoram</v>
          </cell>
          <cell r="E435" t="str">
            <v>IND_4863</v>
          </cell>
        </row>
        <row r="436">
          <cell r="A436" t="str">
            <v>Nagaland|IND_4864</v>
          </cell>
          <cell r="B436" t="str">
            <v>admin1</v>
          </cell>
          <cell r="C436">
            <v>4864</v>
          </cell>
          <cell r="D436" t="str">
            <v>Nagaland</v>
          </cell>
          <cell r="E436" t="str">
            <v>IND_4864</v>
          </cell>
        </row>
        <row r="437">
          <cell r="A437" t="str">
            <v>Odisha|IND_4865</v>
          </cell>
          <cell r="B437" t="str">
            <v>admin1</v>
          </cell>
          <cell r="C437">
            <v>4865</v>
          </cell>
          <cell r="D437" t="str">
            <v>Odisha</v>
          </cell>
          <cell r="E437" t="str">
            <v>IND_4865</v>
          </cell>
        </row>
        <row r="438">
          <cell r="A438" t="str">
            <v>Punjab|IND_4867</v>
          </cell>
          <cell r="B438" t="str">
            <v>admin1</v>
          </cell>
          <cell r="C438">
            <v>4867</v>
          </cell>
          <cell r="D438" t="str">
            <v>Punjab</v>
          </cell>
          <cell r="E438" t="str">
            <v>IND_4867</v>
          </cell>
        </row>
        <row r="439">
          <cell r="A439" t="str">
            <v>Rajasthan|IND_4868</v>
          </cell>
          <cell r="B439" t="str">
            <v>admin1</v>
          </cell>
          <cell r="C439">
            <v>4868</v>
          </cell>
          <cell r="D439" t="str">
            <v>Rajasthan</v>
          </cell>
          <cell r="E439" t="str">
            <v>IND_4868</v>
          </cell>
        </row>
        <row r="440">
          <cell r="A440" t="str">
            <v>Sikkim|IND_4869</v>
          </cell>
          <cell r="B440" t="str">
            <v>admin1</v>
          </cell>
          <cell r="C440">
            <v>4869</v>
          </cell>
          <cell r="D440" t="str">
            <v>Sikkim</v>
          </cell>
          <cell r="E440" t="str">
            <v>IND_4869</v>
          </cell>
        </row>
        <row r="441">
          <cell r="A441" t="str">
            <v>Tamil Nadu|IND_4870</v>
          </cell>
          <cell r="B441" t="str">
            <v>admin1</v>
          </cell>
          <cell r="C441">
            <v>4870</v>
          </cell>
          <cell r="D441" t="str">
            <v>Tamil Nadu</v>
          </cell>
          <cell r="E441" t="str">
            <v>IND_4870</v>
          </cell>
        </row>
        <row r="442">
          <cell r="A442" t="str">
            <v>Telangana|IND_4871</v>
          </cell>
          <cell r="B442" t="str">
            <v>admin1</v>
          </cell>
          <cell r="C442">
            <v>4871</v>
          </cell>
          <cell r="D442" t="str">
            <v>Telangana</v>
          </cell>
          <cell r="E442" t="str">
            <v>IND_4871</v>
          </cell>
        </row>
        <row r="443">
          <cell r="A443" t="str">
            <v>Tripura|IND_4872</v>
          </cell>
          <cell r="B443" t="str">
            <v>admin1</v>
          </cell>
          <cell r="C443">
            <v>4872</v>
          </cell>
          <cell r="D443" t="str">
            <v>Tripura</v>
          </cell>
          <cell r="E443" t="str">
            <v>IND_4872</v>
          </cell>
        </row>
        <row r="444">
          <cell r="A444" t="str">
            <v>Uttar Pradesh|IND_4873</v>
          </cell>
          <cell r="B444" t="str">
            <v>admin1</v>
          </cell>
          <cell r="C444">
            <v>4873</v>
          </cell>
          <cell r="D444" t="str">
            <v>Uttar Pradesh</v>
          </cell>
          <cell r="E444" t="str">
            <v>IND_4873</v>
          </cell>
        </row>
        <row r="445">
          <cell r="A445" t="str">
            <v>Uttarakhand|IND_4874</v>
          </cell>
          <cell r="B445" t="str">
            <v>admin1</v>
          </cell>
          <cell r="C445">
            <v>4874</v>
          </cell>
          <cell r="D445" t="str">
            <v>Uttarakhand</v>
          </cell>
          <cell r="E445" t="str">
            <v>IND_4874</v>
          </cell>
        </row>
        <row r="446">
          <cell r="A446" t="str">
            <v>West Bengal|IND_4875</v>
          </cell>
          <cell r="B446" t="str">
            <v>admin1</v>
          </cell>
          <cell r="C446">
            <v>4875</v>
          </cell>
          <cell r="D446" t="str">
            <v>West Bengal</v>
          </cell>
          <cell r="E446" t="str">
            <v>IND_4875</v>
          </cell>
        </row>
        <row r="447">
          <cell r="A447" t="str">
            <v>Ireland|IRL</v>
          </cell>
          <cell r="B447" t="str">
            <v>admin0</v>
          </cell>
          <cell r="C447">
            <v>84</v>
          </cell>
          <cell r="D447" t="str">
            <v>Ireland</v>
          </cell>
          <cell r="E447" t="str">
            <v>IRL</v>
          </cell>
        </row>
        <row r="448">
          <cell r="A448" t="str">
            <v>Iran|IRN</v>
          </cell>
          <cell r="B448" t="str">
            <v>admin0</v>
          </cell>
          <cell r="C448">
            <v>142</v>
          </cell>
          <cell r="D448" t="str">
            <v>Iran</v>
          </cell>
          <cell r="E448" t="str">
            <v>IRN</v>
          </cell>
        </row>
        <row r="449">
          <cell r="A449" t="str">
            <v>Alborz|IRN_44864</v>
          </cell>
          <cell r="B449" t="str">
            <v>admin1</v>
          </cell>
          <cell r="C449">
            <v>44864</v>
          </cell>
          <cell r="D449" t="str">
            <v>Alborz</v>
          </cell>
          <cell r="E449" t="str">
            <v>IRN_44864</v>
          </cell>
        </row>
        <row r="450">
          <cell r="A450" t="str">
            <v>Ardebil|IRN_44865</v>
          </cell>
          <cell r="B450" t="str">
            <v>admin1</v>
          </cell>
          <cell r="C450">
            <v>44865</v>
          </cell>
          <cell r="D450" t="str">
            <v>Ardebil</v>
          </cell>
          <cell r="E450" t="str">
            <v>IRN_44865</v>
          </cell>
        </row>
        <row r="451">
          <cell r="A451" t="str">
            <v>East Azarbayejan|IRN_44866</v>
          </cell>
          <cell r="B451" t="str">
            <v>admin1</v>
          </cell>
          <cell r="C451">
            <v>44866</v>
          </cell>
          <cell r="D451" t="str">
            <v>East Azarbayejan</v>
          </cell>
          <cell r="E451" t="str">
            <v>IRN_44866</v>
          </cell>
        </row>
        <row r="452">
          <cell r="A452" t="str">
            <v>West Azarbayejan|IRN_44867</v>
          </cell>
          <cell r="B452" t="str">
            <v>admin1</v>
          </cell>
          <cell r="C452">
            <v>44867</v>
          </cell>
          <cell r="D452" t="str">
            <v>West Azarbayejan</v>
          </cell>
          <cell r="E452" t="str">
            <v>IRN_44867</v>
          </cell>
        </row>
        <row r="453">
          <cell r="A453" t="str">
            <v>Bushehr|IRN_44868</v>
          </cell>
          <cell r="B453" t="str">
            <v>admin1</v>
          </cell>
          <cell r="C453">
            <v>44868</v>
          </cell>
          <cell r="D453" t="str">
            <v>Bushehr</v>
          </cell>
          <cell r="E453" t="str">
            <v>IRN_44868</v>
          </cell>
        </row>
        <row r="454">
          <cell r="A454" t="str">
            <v>Chahar Mahaal and Bakhtiari|IRN_44869</v>
          </cell>
          <cell r="B454" t="str">
            <v>admin1</v>
          </cell>
          <cell r="C454">
            <v>44869</v>
          </cell>
          <cell r="D454" t="str">
            <v>Chahar Mahaal and Bakhtiari</v>
          </cell>
          <cell r="E454" t="str">
            <v>IRN_44869</v>
          </cell>
        </row>
        <row r="455">
          <cell r="A455" t="str">
            <v>Fars|IRN_44870</v>
          </cell>
          <cell r="B455" t="str">
            <v>admin1</v>
          </cell>
          <cell r="C455">
            <v>44870</v>
          </cell>
          <cell r="D455" t="str">
            <v>Fars</v>
          </cell>
          <cell r="E455" t="str">
            <v>IRN_44870</v>
          </cell>
        </row>
        <row r="456">
          <cell r="A456" t="str">
            <v>Gilan|IRN_44871</v>
          </cell>
          <cell r="B456" t="str">
            <v>admin1</v>
          </cell>
          <cell r="C456">
            <v>44871</v>
          </cell>
          <cell r="D456" t="str">
            <v>Gilan</v>
          </cell>
          <cell r="E456" t="str">
            <v>IRN_44871</v>
          </cell>
        </row>
        <row r="457">
          <cell r="A457" t="str">
            <v>Golestan|IRN_44872</v>
          </cell>
          <cell r="B457" t="str">
            <v>admin1</v>
          </cell>
          <cell r="C457">
            <v>44872</v>
          </cell>
          <cell r="D457" t="str">
            <v>Golestan</v>
          </cell>
          <cell r="E457" t="str">
            <v>IRN_44872</v>
          </cell>
        </row>
        <row r="458">
          <cell r="A458" t="str">
            <v>Hamadan|IRN_44873</v>
          </cell>
          <cell r="B458" t="str">
            <v>admin1</v>
          </cell>
          <cell r="C458">
            <v>44873</v>
          </cell>
          <cell r="D458" t="str">
            <v>Hamadan</v>
          </cell>
          <cell r="E458" t="str">
            <v>IRN_44873</v>
          </cell>
        </row>
        <row r="459">
          <cell r="A459" t="str">
            <v>Hormozgan|IRN_44874</v>
          </cell>
          <cell r="B459" t="str">
            <v>admin1</v>
          </cell>
          <cell r="C459">
            <v>44874</v>
          </cell>
          <cell r="D459" t="str">
            <v>Hormozgan</v>
          </cell>
          <cell r="E459" t="str">
            <v>IRN_44874</v>
          </cell>
        </row>
        <row r="460">
          <cell r="A460" t="str">
            <v>Ilam|IRN_44875</v>
          </cell>
          <cell r="B460" t="str">
            <v>admin1</v>
          </cell>
          <cell r="C460">
            <v>44875</v>
          </cell>
          <cell r="D460" t="str">
            <v>Ilam</v>
          </cell>
          <cell r="E460" t="str">
            <v>IRN_44875</v>
          </cell>
        </row>
        <row r="461">
          <cell r="A461" t="str">
            <v>Isfahan|IRN_44876</v>
          </cell>
          <cell r="B461" t="str">
            <v>admin1</v>
          </cell>
          <cell r="C461">
            <v>44876</v>
          </cell>
          <cell r="D461" t="str">
            <v>Isfahan</v>
          </cell>
          <cell r="E461" t="str">
            <v>IRN_44876</v>
          </cell>
        </row>
        <row r="462">
          <cell r="A462" t="str">
            <v>Kerman|IRN_44877</v>
          </cell>
          <cell r="B462" t="str">
            <v>admin1</v>
          </cell>
          <cell r="C462">
            <v>44877</v>
          </cell>
          <cell r="D462" t="str">
            <v>Kerman</v>
          </cell>
          <cell r="E462" t="str">
            <v>IRN_44877</v>
          </cell>
        </row>
        <row r="463">
          <cell r="A463" t="str">
            <v>Kermanshah|IRN_44878</v>
          </cell>
          <cell r="B463" t="str">
            <v>admin1</v>
          </cell>
          <cell r="C463">
            <v>44878</v>
          </cell>
          <cell r="D463" t="str">
            <v>Kermanshah</v>
          </cell>
          <cell r="E463" t="str">
            <v>IRN_44878</v>
          </cell>
        </row>
        <row r="464">
          <cell r="A464" t="str">
            <v>North Khorasan|IRN_44879</v>
          </cell>
          <cell r="B464" t="str">
            <v>admin1</v>
          </cell>
          <cell r="C464">
            <v>44879</v>
          </cell>
          <cell r="D464" t="str">
            <v>North Khorasan</v>
          </cell>
          <cell r="E464" t="str">
            <v>IRN_44879</v>
          </cell>
        </row>
        <row r="465">
          <cell r="A465" t="str">
            <v>Khorasan-e-Razavi|IRN_44880</v>
          </cell>
          <cell r="B465" t="str">
            <v>admin1</v>
          </cell>
          <cell r="C465">
            <v>44880</v>
          </cell>
          <cell r="D465" t="str">
            <v>Khorasan-e-Razavi</v>
          </cell>
          <cell r="E465" t="str">
            <v>IRN_44880</v>
          </cell>
        </row>
        <row r="466">
          <cell r="A466" t="str">
            <v>South Khorasan|IRN_44881</v>
          </cell>
          <cell r="B466" t="str">
            <v>admin1</v>
          </cell>
          <cell r="C466">
            <v>44881</v>
          </cell>
          <cell r="D466" t="str">
            <v>South Khorasan</v>
          </cell>
          <cell r="E466" t="str">
            <v>IRN_44881</v>
          </cell>
        </row>
        <row r="467">
          <cell r="A467" t="str">
            <v>Khuzestan|IRN_44882</v>
          </cell>
          <cell r="B467" t="str">
            <v>admin1</v>
          </cell>
          <cell r="C467">
            <v>44882</v>
          </cell>
          <cell r="D467" t="str">
            <v>Khuzestan</v>
          </cell>
          <cell r="E467" t="str">
            <v>IRN_44882</v>
          </cell>
        </row>
        <row r="468">
          <cell r="A468" t="str">
            <v>Kohgiluyeh and Boyer-Ahmad|IRN_44883</v>
          </cell>
          <cell r="B468" t="str">
            <v>admin1</v>
          </cell>
          <cell r="C468">
            <v>44883</v>
          </cell>
          <cell r="D468" t="str">
            <v>Kohgiluyeh and Boyer-Ahmad</v>
          </cell>
          <cell r="E468" t="str">
            <v>IRN_44883</v>
          </cell>
        </row>
        <row r="469">
          <cell r="A469" t="str">
            <v>Kurdistan|IRN_44884</v>
          </cell>
          <cell r="B469" t="str">
            <v>admin1</v>
          </cell>
          <cell r="C469">
            <v>44884</v>
          </cell>
          <cell r="D469" t="str">
            <v>Kurdistan</v>
          </cell>
          <cell r="E469" t="str">
            <v>IRN_44884</v>
          </cell>
        </row>
        <row r="470">
          <cell r="A470" t="str">
            <v>Lorestan|IRN_44885</v>
          </cell>
          <cell r="B470" t="str">
            <v>admin1</v>
          </cell>
          <cell r="C470">
            <v>44885</v>
          </cell>
          <cell r="D470" t="str">
            <v>Lorestan</v>
          </cell>
          <cell r="E470" t="str">
            <v>IRN_44885</v>
          </cell>
        </row>
        <row r="471">
          <cell r="A471" t="str">
            <v>Markazi|IRN_44886</v>
          </cell>
          <cell r="B471" t="str">
            <v>admin1</v>
          </cell>
          <cell r="C471">
            <v>44886</v>
          </cell>
          <cell r="D471" t="str">
            <v>Markazi</v>
          </cell>
          <cell r="E471" t="str">
            <v>IRN_44886</v>
          </cell>
        </row>
        <row r="472">
          <cell r="A472" t="str">
            <v>Mazandaran|IRN_44887</v>
          </cell>
          <cell r="B472" t="str">
            <v>admin1</v>
          </cell>
          <cell r="C472">
            <v>44887</v>
          </cell>
          <cell r="D472" t="str">
            <v>Mazandaran</v>
          </cell>
          <cell r="E472" t="str">
            <v>IRN_44887</v>
          </cell>
        </row>
        <row r="473">
          <cell r="A473" t="str">
            <v>Qazvin|IRN_44888</v>
          </cell>
          <cell r="B473" t="str">
            <v>admin1</v>
          </cell>
          <cell r="C473">
            <v>44888</v>
          </cell>
          <cell r="D473" t="str">
            <v>Qazvin</v>
          </cell>
          <cell r="E473" t="str">
            <v>IRN_44888</v>
          </cell>
        </row>
        <row r="474">
          <cell r="A474" t="str">
            <v>Qom|IRN_44889</v>
          </cell>
          <cell r="B474" t="str">
            <v>admin1</v>
          </cell>
          <cell r="C474">
            <v>44889</v>
          </cell>
          <cell r="D474" t="str">
            <v>Qom</v>
          </cell>
          <cell r="E474" t="str">
            <v>IRN_44889</v>
          </cell>
        </row>
        <row r="475">
          <cell r="A475" t="str">
            <v>Semnan|IRN_44890</v>
          </cell>
          <cell r="B475" t="str">
            <v>admin1</v>
          </cell>
          <cell r="C475">
            <v>44890</v>
          </cell>
          <cell r="D475" t="str">
            <v>Semnan</v>
          </cell>
          <cell r="E475" t="str">
            <v>IRN_44890</v>
          </cell>
        </row>
        <row r="476">
          <cell r="A476" t="str">
            <v>Sistan and Baluchistan|IRN_44891</v>
          </cell>
          <cell r="B476" t="str">
            <v>admin1</v>
          </cell>
          <cell r="C476">
            <v>44891</v>
          </cell>
          <cell r="D476" t="str">
            <v>Sistan and Baluchistan</v>
          </cell>
          <cell r="E476" t="str">
            <v>IRN_44891</v>
          </cell>
        </row>
        <row r="477">
          <cell r="A477" t="str">
            <v>Tehran|IRN_44892</v>
          </cell>
          <cell r="B477" t="str">
            <v>admin1</v>
          </cell>
          <cell r="C477">
            <v>44892</v>
          </cell>
          <cell r="D477" t="str">
            <v>Tehran</v>
          </cell>
          <cell r="E477" t="str">
            <v>IRN_44892</v>
          </cell>
        </row>
        <row r="478">
          <cell r="A478" t="str">
            <v>Yazd|IRN_44893</v>
          </cell>
          <cell r="B478" t="str">
            <v>admin1</v>
          </cell>
          <cell r="C478">
            <v>44893</v>
          </cell>
          <cell r="D478" t="str">
            <v>Yazd</v>
          </cell>
          <cell r="E478" t="str">
            <v>IRN_44893</v>
          </cell>
        </row>
        <row r="479">
          <cell r="A479" t="str">
            <v>Zanjan|IRN_44894</v>
          </cell>
          <cell r="B479" t="str">
            <v>admin1</v>
          </cell>
          <cell r="C479">
            <v>44894</v>
          </cell>
          <cell r="D479" t="str">
            <v>Zanjan</v>
          </cell>
          <cell r="E479" t="str">
            <v>IRN_44894</v>
          </cell>
        </row>
        <row r="480">
          <cell r="A480" t="str">
            <v>Iraq|IRQ</v>
          </cell>
          <cell r="B480" t="str">
            <v>admin0</v>
          </cell>
          <cell r="C480">
            <v>143</v>
          </cell>
          <cell r="D480" t="str">
            <v>Iraq</v>
          </cell>
          <cell r="E480" t="str">
            <v>IRQ</v>
          </cell>
        </row>
        <row r="481">
          <cell r="A481" t="str">
            <v>Iceland|ISL</v>
          </cell>
          <cell r="B481" t="str">
            <v>admin0</v>
          </cell>
          <cell r="C481">
            <v>83</v>
          </cell>
          <cell r="D481" t="str">
            <v>Iceland</v>
          </cell>
          <cell r="E481" t="str">
            <v>ISL</v>
          </cell>
        </row>
        <row r="482">
          <cell r="A482" t="str">
            <v>Israel|ISR</v>
          </cell>
          <cell r="B482" t="str">
            <v>admin0</v>
          </cell>
          <cell r="C482">
            <v>85</v>
          </cell>
          <cell r="D482" t="str">
            <v>Israel</v>
          </cell>
          <cell r="E482" t="str">
            <v>ISR</v>
          </cell>
        </row>
        <row r="483">
          <cell r="A483" t="str">
            <v>Italy|ITA</v>
          </cell>
          <cell r="B483" t="str">
            <v>admin0</v>
          </cell>
          <cell r="C483">
            <v>86</v>
          </cell>
          <cell r="D483" t="str">
            <v>Italy</v>
          </cell>
          <cell r="E483" t="str">
            <v>ITA</v>
          </cell>
        </row>
        <row r="484">
          <cell r="A484" t="str">
            <v>Piemonte|ITA_35494</v>
          </cell>
          <cell r="B484" t="str">
            <v>admin1</v>
          </cell>
          <cell r="C484">
            <v>35494</v>
          </cell>
          <cell r="D484" t="str">
            <v>Piemonte</v>
          </cell>
          <cell r="E484" t="str">
            <v>ITA_35494</v>
          </cell>
        </row>
        <row r="485">
          <cell r="A485" t="str">
            <v>Valle d'Aosta|ITA_35495</v>
          </cell>
          <cell r="B485" t="str">
            <v>admin1</v>
          </cell>
          <cell r="C485">
            <v>35495</v>
          </cell>
          <cell r="D485" t="str">
            <v>Valle d'Aosta</v>
          </cell>
          <cell r="E485" t="str">
            <v>ITA_35495</v>
          </cell>
        </row>
        <row r="486">
          <cell r="A486" t="str">
            <v>Liguria|ITA_35496</v>
          </cell>
          <cell r="B486" t="str">
            <v>admin1</v>
          </cell>
          <cell r="C486">
            <v>35496</v>
          </cell>
          <cell r="D486" t="str">
            <v>Liguria</v>
          </cell>
          <cell r="E486" t="str">
            <v>ITA_35496</v>
          </cell>
        </row>
        <row r="487">
          <cell r="A487" t="str">
            <v>Lombardia|ITA_35497</v>
          </cell>
          <cell r="B487" t="str">
            <v>admin1</v>
          </cell>
          <cell r="C487">
            <v>35497</v>
          </cell>
          <cell r="D487" t="str">
            <v>Lombardia</v>
          </cell>
          <cell r="E487" t="str">
            <v>ITA_35497</v>
          </cell>
        </row>
        <row r="488">
          <cell r="A488" t="str">
            <v>Provincia autonoma di Bolzano|ITA_35498</v>
          </cell>
          <cell r="B488" t="str">
            <v>admin1</v>
          </cell>
          <cell r="C488">
            <v>35498</v>
          </cell>
          <cell r="D488" t="str">
            <v>Provincia autonoma di Bolzano</v>
          </cell>
          <cell r="E488" t="str">
            <v>ITA_35498</v>
          </cell>
        </row>
        <row r="489">
          <cell r="A489" t="str">
            <v>Provincia autonoma di Trento|ITA_35499</v>
          </cell>
          <cell r="B489" t="str">
            <v>admin1</v>
          </cell>
          <cell r="C489">
            <v>35499</v>
          </cell>
          <cell r="D489" t="str">
            <v>Provincia autonoma di Trento</v>
          </cell>
          <cell r="E489" t="str">
            <v>ITA_35499</v>
          </cell>
        </row>
        <row r="490">
          <cell r="A490" t="str">
            <v>Veneto|ITA_35500</v>
          </cell>
          <cell r="B490" t="str">
            <v>admin1</v>
          </cell>
          <cell r="C490">
            <v>35500</v>
          </cell>
          <cell r="D490" t="str">
            <v>Veneto</v>
          </cell>
          <cell r="E490" t="str">
            <v>ITA_35500</v>
          </cell>
        </row>
        <row r="491">
          <cell r="A491" t="str">
            <v>Friuli-Venezia Giulia|ITA_35501</v>
          </cell>
          <cell r="B491" t="str">
            <v>admin1</v>
          </cell>
          <cell r="C491">
            <v>35501</v>
          </cell>
          <cell r="D491" t="str">
            <v>Friuli-Venezia Giulia</v>
          </cell>
          <cell r="E491" t="str">
            <v>ITA_35501</v>
          </cell>
        </row>
        <row r="492">
          <cell r="A492" t="str">
            <v>Emilia-Romagna|ITA_35502</v>
          </cell>
          <cell r="B492" t="str">
            <v>admin1</v>
          </cell>
          <cell r="C492">
            <v>35502</v>
          </cell>
          <cell r="D492" t="str">
            <v>Emilia-Romagna</v>
          </cell>
          <cell r="E492" t="str">
            <v>ITA_35502</v>
          </cell>
        </row>
        <row r="493">
          <cell r="A493" t="str">
            <v>Toscana|ITA_35503</v>
          </cell>
          <cell r="B493" t="str">
            <v>admin1</v>
          </cell>
          <cell r="C493">
            <v>35503</v>
          </cell>
          <cell r="D493" t="str">
            <v>Toscana</v>
          </cell>
          <cell r="E493" t="str">
            <v>ITA_35503</v>
          </cell>
        </row>
        <row r="494">
          <cell r="A494" t="str">
            <v>Umbria|ITA_35504</v>
          </cell>
          <cell r="B494" t="str">
            <v>admin1</v>
          </cell>
          <cell r="C494">
            <v>35504</v>
          </cell>
          <cell r="D494" t="str">
            <v>Umbria</v>
          </cell>
          <cell r="E494" t="str">
            <v>ITA_35504</v>
          </cell>
        </row>
        <row r="495">
          <cell r="A495" t="str">
            <v>Marche|ITA_35505</v>
          </cell>
          <cell r="B495" t="str">
            <v>admin1</v>
          </cell>
          <cell r="C495">
            <v>35505</v>
          </cell>
          <cell r="D495" t="str">
            <v>Marche</v>
          </cell>
          <cell r="E495" t="str">
            <v>ITA_35505</v>
          </cell>
        </row>
        <row r="496">
          <cell r="A496" t="str">
            <v>Lazio|ITA_35506</v>
          </cell>
          <cell r="B496" t="str">
            <v>admin1</v>
          </cell>
          <cell r="C496">
            <v>35506</v>
          </cell>
          <cell r="D496" t="str">
            <v>Lazio</v>
          </cell>
          <cell r="E496" t="str">
            <v>ITA_35506</v>
          </cell>
        </row>
        <row r="497">
          <cell r="A497" t="str">
            <v>Abruzzo|ITA_35507</v>
          </cell>
          <cell r="B497" t="str">
            <v>admin1</v>
          </cell>
          <cell r="C497">
            <v>35507</v>
          </cell>
          <cell r="D497" t="str">
            <v>Abruzzo</v>
          </cell>
          <cell r="E497" t="str">
            <v>ITA_35507</v>
          </cell>
        </row>
        <row r="498">
          <cell r="A498" t="str">
            <v>Molise|ITA_35508</v>
          </cell>
          <cell r="B498" t="str">
            <v>admin1</v>
          </cell>
          <cell r="C498">
            <v>35508</v>
          </cell>
          <cell r="D498" t="str">
            <v>Molise</v>
          </cell>
          <cell r="E498" t="str">
            <v>ITA_35508</v>
          </cell>
        </row>
        <row r="499">
          <cell r="A499" t="str">
            <v>Campania|ITA_35509</v>
          </cell>
          <cell r="B499" t="str">
            <v>admin1</v>
          </cell>
          <cell r="C499">
            <v>35509</v>
          </cell>
          <cell r="D499" t="str">
            <v>Campania</v>
          </cell>
          <cell r="E499" t="str">
            <v>ITA_35509</v>
          </cell>
        </row>
        <row r="500">
          <cell r="A500" t="str">
            <v>Puglia|ITA_35510</v>
          </cell>
          <cell r="B500" t="str">
            <v>admin1</v>
          </cell>
          <cell r="C500">
            <v>35510</v>
          </cell>
          <cell r="D500" t="str">
            <v>Puglia</v>
          </cell>
          <cell r="E500" t="str">
            <v>ITA_35510</v>
          </cell>
        </row>
        <row r="501">
          <cell r="A501" t="str">
            <v>Basilicata|ITA_35511</v>
          </cell>
          <cell r="B501" t="str">
            <v>admin1</v>
          </cell>
          <cell r="C501">
            <v>35511</v>
          </cell>
          <cell r="D501" t="str">
            <v>Basilicata</v>
          </cell>
          <cell r="E501" t="str">
            <v>ITA_35511</v>
          </cell>
        </row>
        <row r="502">
          <cell r="A502" t="str">
            <v>Calabria|ITA_35512</v>
          </cell>
          <cell r="B502" t="str">
            <v>admin1</v>
          </cell>
          <cell r="C502">
            <v>35512</v>
          </cell>
          <cell r="D502" t="str">
            <v>Calabria</v>
          </cell>
          <cell r="E502" t="str">
            <v>ITA_35512</v>
          </cell>
        </row>
        <row r="503">
          <cell r="A503" t="str">
            <v>Sicilia|ITA_35513</v>
          </cell>
          <cell r="B503" t="str">
            <v>admin1</v>
          </cell>
          <cell r="C503">
            <v>35513</v>
          </cell>
          <cell r="D503" t="str">
            <v>Sicilia</v>
          </cell>
          <cell r="E503" t="str">
            <v>ITA_35513</v>
          </cell>
        </row>
        <row r="504">
          <cell r="A504" t="str">
            <v>Sardegna|ITA_35514</v>
          </cell>
          <cell r="B504" t="str">
            <v>admin1</v>
          </cell>
          <cell r="C504">
            <v>35514</v>
          </cell>
          <cell r="D504" t="str">
            <v>Sardegna</v>
          </cell>
          <cell r="E504" t="str">
            <v>ITA_35514</v>
          </cell>
        </row>
        <row r="505">
          <cell r="A505" t="str">
            <v>Jamaica|JAM</v>
          </cell>
          <cell r="B505" t="str">
            <v>admin0</v>
          </cell>
          <cell r="C505">
            <v>115</v>
          </cell>
          <cell r="D505" t="str">
            <v>Jamaica</v>
          </cell>
          <cell r="E505" t="str">
            <v>JAM</v>
          </cell>
        </row>
        <row r="506">
          <cell r="A506" t="str">
            <v>Jordan|JOR</v>
          </cell>
          <cell r="B506" t="str">
            <v>admin0</v>
          </cell>
          <cell r="C506">
            <v>144</v>
          </cell>
          <cell r="D506" t="str">
            <v>Jordan</v>
          </cell>
          <cell r="E506" t="str">
            <v>JOR</v>
          </cell>
        </row>
        <row r="507">
          <cell r="A507" t="str">
            <v>Japan|JPN</v>
          </cell>
          <cell r="B507" t="str">
            <v>admin0</v>
          </cell>
          <cell r="C507">
            <v>67</v>
          </cell>
          <cell r="D507" t="str">
            <v>Japan</v>
          </cell>
          <cell r="E507" t="str">
            <v>JPN</v>
          </cell>
        </row>
        <row r="508">
          <cell r="A508" t="str">
            <v>Hokkaidō|JPN_35424</v>
          </cell>
          <cell r="B508" t="str">
            <v>admin2</v>
          </cell>
          <cell r="C508">
            <v>35424</v>
          </cell>
          <cell r="D508" t="str">
            <v>Hokkaidō</v>
          </cell>
          <cell r="E508" t="str">
            <v>JPN_35424</v>
          </cell>
        </row>
        <row r="509">
          <cell r="A509" t="str">
            <v>Aomori|JPN_35425</v>
          </cell>
          <cell r="B509" t="str">
            <v>admin2</v>
          </cell>
          <cell r="C509">
            <v>35425</v>
          </cell>
          <cell r="D509" t="str">
            <v>Aomori</v>
          </cell>
          <cell r="E509" t="str">
            <v>JPN_35425</v>
          </cell>
        </row>
        <row r="510">
          <cell r="A510" t="str">
            <v>Iwate|JPN_35426</v>
          </cell>
          <cell r="B510" t="str">
            <v>admin2</v>
          </cell>
          <cell r="C510">
            <v>35426</v>
          </cell>
          <cell r="D510" t="str">
            <v>Iwate</v>
          </cell>
          <cell r="E510" t="str">
            <v>JPN_35426</v>
          </cell>
        </row>
        <row r="511">
          <cell r="A511" t="str">
            <v>Miyagi|JPN_35427</v>
          </cell>
          <cell r="B511" t="str">
            <v>admin2</v>
          </cell>
          <cell r="C511">
            <v>35427</v>
          </cell>
          <cell r="D511" t="str">
            <v>Miyagi</v>
          </cell>
          <cell r="E511" t="str">
            <v>JPN_35427</v>
          </cell>
        </row>
        <row r="512">
          <cell r="A512" t="str">
            <v>Akita|JPN_35428</v>
          </cell>
          <cell r="B512" t="str">
            <v>admin2</v>
          </cell>
          <cell r="C512">
            <v>35428</v>
          </cell>
          <cell r="D512" t="str">
            <v>Akita</v>
          </cell>
          <cell r="E512" t="str">
            <v>JPN_35428</v>
          </cell>
        </row>
        <row r="513">
          <cell r="A513" t="str">
            <v>Yamagata|JPN_35429</v>
          </cell>
          <cell r="B513" t="str">
            <v>admin2</v>
          </cell>
          <cell r="C513">
            <v>35429</v>
          </cell>
          <cell r="D513" t="str">
            <v>Yamagata</v>
          </cell>
          <cell r="E513" t="str">
            <v>JPN_35429</v>
          </cell>
        </row>
        <row r="514">
          <cell r="A514" t="str">
            <v>Fukushima|JPN_35430</v>
          </cell>
          <cell r="B514" t="str">
            <v>admin2</v>
          </cell>
          <cell r="C514">
            <v>35430</v>
          </cell>
          <cell r="D514" t="str">
            <v>Fukushima</v>
          </cell>
          <cell r="E514" t="str">
            <v>JPN_35430</v>
          </cell>
        </row>
        <row r="515">
          <cell r="A515" t="str">
            <v>Ibaraki|JPN_35431</v>
          </cell>
          <cell r="B515" t="str">
            <v>admin2</v>
          </cell>
          <cell r="C515">
            <v>35431</v>
          </cell>
          <cell r="D515" t="str">
            <v>Ibaraki</v>
          </cell>
          <cell r="E515" t="str">
            <v>JPN_35431</v>
          </cell>
        </row>
        <row r="516">
          <cell r="A516" t="str">
            <v>Tochigi|JPN_35432</v>
          </cell>
          <cell r="B516" t="str">
            <v>admin2</v>
          </cell>
          <cell r="C516">
            <v>35432</v>
          </cell>
          <cell r="D516" t="str">
            <v>Tochigi</v>
          </cell>
          <cell r="E516" t="str">
            <v>JPN_35432</v>
          </cell>
        </row>
        <row r="517">
          <cell r="A517" t="str">
            <v>Gunma|JPN_35433</v>
          </cell>
          <cell r="B517" t="str">
            <v>admin2</v>
          </cell>
          <cell r="C517">
            <v>35433</v>
          </cell>
          <cell r="D517" t="str">
            <v>Gunma</v>
          </cell>
          <cell r="E517" t="str">
            <v>JPN_35433</v>
          </cell>
        </row>
        <row r="518">
          <cell r="A518" t="str">
            <v>Saitama|JPN_35434</v>
          </cell>
          <cell r="B518" t="str">
            <v>admin2</v>
          </cell>
          <cell r="C518">
            <v>35434</v>
          </cell>
          <cell r="D518" t="str">
            <v>Saitama</v>
          </cell>
          <cell r="E518" t="str">
            <v>JPN_35434</v>
          </cell>
        </row>
        <row r="519">
          <cell r="A519" t="str">
            <v>Chiba|JPN_35435</v>
          </cell>
          <cell r="B519" t="str">
            <v>admin2</v>
          </cell>
          <cell r="C519">
            <v>35435</v>
          </cell>
          <cell r="D519" t="str">
            <v>Chiba</v>
          </cell>
          <cell r="E519" t="str">
            <v>JPN_35435</v>
          </cell>
        </row>
        <row r="520">
          <cell r="A520" t="str">
            <v>Tōkyō|JPN_35436</v>
          </cell>
          <cell r="B520" t="str">
            <v>admin2</v>
          </cell>
          <cell r="C520">
            <v>35436</v>
          </cell>
          <cell r="D520" t="str">
            <v>Tōkyō</v>
          </cell>
          <cell r="E520" t="str">
            <v>JPN_35436</v>
          </cell>
        </row>
        <row r="521">
          <cell r="A521" t="str">
            <v>Kanagawa|JPN_35437</v>
          </cell>
          <cell r="B521" t="str">
            <v>admin2</v>
          </cell>
          <cell r="C521">
            <v>35437</v>
          </cell>
          <cell r="D521" t="str">
            <v>Kanagawa</v>
          </cell>
          <cell r="E521" t="str">
            <v>JPN_35437</v>
          </cell>
        </row>
        <row r="522">
          <cell r="A522" t="str">
            <v>Niigata|JPN_35438</v>
          </cell>
          <cell r="B522" t="str">
            <v>admin2</v>
          </cell>
          <cell r="C522">
            <v>35438</v>
          </cell>
          <cell r="D522" t="str">
            <v>Niigata</v>
          </cell>
          <cell r="E522" t="str">
            <v>JPN_35438</v>
          </cell>
        </row>
        <row r="523">
          <cell r="A523" t="str">
            <v>Toyama|JPN_35439</v>
          </cell>
          <cell r="B523" t="str">
            <v>admin2</v>
          </cell>
          <cell r="C523">
            <v>35439</v>
          </cell>
          <cell r="D523" t="str">
            <v>Toyama</v>
          </cell>
          <cell r="E523" t="str">
            <v>JPN_35439</v>
          </cell>
        </row>
        <row r="524">
          <cell r="A524" t="str">
            <v>Ishikawa|JPN_35440</v>
          </cell>
          <cell r="B524" t="str">
            <v>admin2</v>
          </cell>
          <cell r="C524">
            <v>35440</v>
          </cell>
          <cell r="D524" t="str">
            <v>Ishikawa</v>
          </cell>
          <cell r="E524" t="str">
            <v>JPN_35440</v>
          </cell>
        </row>
        <row r="525">
          <cell r="A525" t="str">
            <v>Fukui|JPN_35441</v>
          </cell>
          <cell r="B525" t="str">
            <v>admin2</v>
          </cell>
          <cell r="C525">
            <v>35441</v>
          </cell>
          <cell r="D525" t="str">
            <v>Fukui</v>
          </cell>
          <cell r="E525" t="str">
            <v>JPN_35441</v>
          </cell>
        </row>
        <row r="526">
          <cell r="A526" t="str">
            <v>Yamanashi|JPN_35442</v>
          </cell>
          <cell r="B526" t="str">
            <v>admin2</v>
          </cell>
          <cell r="C526">
            <v>35442</v>
          </cell>
          <cell r="D526" t="str">
            <v>Yamanashi</v>
          </cell>
          <cell r="E526" t="str">
            <v>JPN_35442</v>
          </cell>
        </row>
        <row r="527">
          <cell r="A527" t="str">
            <v>Nagano|JPN_35443</v>
          </cell>
          <cell r="B527" t="str">
            <v>admin2</v>
          </cell>
          <cell r="C527">
            <v>35443</v>
          </cell>
          <cell r="D527" t="str">
            <v>Nagano</v>
          </cell>
          <cell r="E527" t="str">
            <v>JPN_35443</v>
          </cell>
        </row>
        <row r="528">
          <cell r="A528" t="str">
            <v>Gifu|JPN_35444</v>
          </cell>
          <cell r="B528" t="str">
            <v>admin2</v>
          </cell>
          <cell r="C528">
            <v>35444</v>
          </cell>
          <cell r="D528" t="str">
            <v>Gifu</v>
          </cell>
          <cell r="E528" t="str">
            <v>JPN_35444</v>
          </cell>
        </row>
        <row r="529">
          <cell r="A529" t="str">
            <v>Shizuoka|JPN_35445</v>
          </cell>
          <cell r="B529" t="str">
            <v>admin2</v>
          </cell>
          <cell r="C529">
            <v>35445</v>
          </cell>
          <cell r="D529" t="str">
            <v>Shizuoka</v>
          </cell>
          <cell r="E529" t="str">
            <v>JPN_35445</v>
          </cell>
        </row>
        <row r="530">
          <cell r="A530" t="str">
            <v>Aichi|JPN_35446</v>
          </cell>
          <cell r="B530" t="str">
            <v>admin2</v>
          </cell>
          <cell r="C530">
            <v>35446</v>
          </cell>
          <cell r="D530" t="str">
            <v>Aichi</v>
          </cell>
          <cell r="E530" t="str">
            <v>JPN_35446</v>
          </cell>
        </row>
        <row r="531">
          <cell r="A531" t="str">
            <v>Mie|JPN_35447</v>
          </cell>
          <cell r="B531" t="str">
            <v>admin2</v>
          </cell>
          <cell r="C531">
            <v>35447</v>
          </cell>
          <cell r="D531" t="str">
            <v>Mie</v>
          </cell>
          <cell r="E531" t="str">
            <v>JPN_35447</v>
          </cell>
        </row>
        <row r="532">
          <cell r="A532" t="str">
            <v>Shiga|JPN_35448</v>
          </cell>
          <cell r="B532" t="str">
            <v>admin2</v>
          </cell>
          <cell r="C532">
            <v>35448</v>
          </cell>
          <cell r="D532" t="str">
            <v>Shiga</v>
          </cell>
          <cell r="E532" t="str">
            <v>JPN_35448</v>
          </cell>
        </row>
        <row r="533">
          <cell r="A533" t="str">
            <v>Kyōto|JPN_35449</v>
          </cell>
          <cell r="B533" t="str">
            <v>admin2</v>
          </cell>
          <cell r="C533">
            <v>35449</v>
          </cell>
          <cell r="D533" t="str">
            <v>Kyōto</v>
          </cell>
          <cell r="E533" t="str">
            <v>JPN_35449</v>
          </cell>
        </row>
        <row r="534">
          <cell r="A534" t="str">
            <v>Ōsaka|JPN_35450</v>
          </cell>
          <cell r="B534" t="str">
            <v>admin2</v>
          </cell>
          <cell r="C534">
            <v>35450</v>
          </cell>
          <cell r="D534" t="str">
            <v>Ōsaka</v>
          </cell>
          <cell r="E534" t="str">
            <v>JPN_35450</v>
          </cell>
        </row>
        <row r="535">
          <cell r="A535" t="str">
            <v>Hyōgo|JPN_35451</v>
          </cell>
          <cell r="B535" t="str">
            <v>admin2</v>
          </cell>
          <cell r="C535">
            <v>35451</v>
          </cell>
          <cell r="D535" t="str">
            <v>Hyōgo</v>
          </cell>
          <cell r="E535" t="str">
            <v>JPN_35451</v>
          </cell>
        </row>
        <row r="536">
          <cell r="A536" t="str">
            <v>Nara|JPN_35452</v>
          </cell>
          <cell r="B536" t="str">
            <v>admin2</v>
          </cell>
          <cell r="C536">
            <v>35452</v>
          </cell>
          <cell r="D536" t="str">
            <v>Nara</v>
          </cell>
          <cell r="E536" t="str">
            <v>JPN_35452</v>
          </cell>
        </row>
        <row r="537">
          <cell r="A537" t="str">
            <v>Wakayama|JPN_35453</v>
          </cell>
          <cell r="B537" t="str">
            <v>admin2</v>
          </cell>
          <cell r="C537">
            <v>35453</v>
          </cell>
          <cell r="D537" t="str">
            <v>Wakayama</v>
          </cell>
          <cell r="E537" t="str">
            <v>JPN_35453</v>
          </cell>
        </row>
        <row r="538">
          <cell r="A538" t="str">
            <v>Tottori|JPN_35454</v>
          </cell>
          <cell r="B538" t="str">
            <v>admin2</v>
          </cell>
          <cell r="C538">
            <v>35454</v>
          </cell>
          <cell r="D538" t="str">
            <v>Tottori</v>
          </cell>
          <cell r="E538" t="str">
            <v>JPN_35454</v>
          </cell>
        </row>
        <row r="539">
          <cell r="A539" t="str">
            <v>Shimane|JPN_35455</v>
          </cell>
          <cell r="B539" t="str">
            <v>admin2</v>
          </cell>
          <cell r="C539">
            <v>35455</v>
          </cell>
          <cell r="D539" t="str">
            <v>Shimane</v>
          </cell>
          <cell r="E539" t="str">
            <v>JPN_35455</v>
          </cell>
        </row>
        <row r="540">
          <cell r="A540" t="str">
            <v>Okayama|JPN_35456</v>
          </cell>
          <cell r="B540" t="str">
            <v>admin2</v>
          </cell>
          <cell r="C540">
            <v>35456</v>
          </cell>
          <cell r="D540" t="str">
            <v>Okayama</v>
          </cell>
          <cell r="E540" t="str">
            <v>JPN_35456</v>
          </cell>
        </row>
        <row r="541">
          <cell r="A541" t="str">
            <v>Hiroshima|JPN_35457</v>
          </cell>
          <cell r="B541" t="str">
            <v>admin2</v>
          </cell>
          <cell r="C541">
            <v>35457</v>
          </cell>
          <cell r="D541" t="str">
            <v>Hiroshima</v>
          </cell>
          <cell r="E541" t="str">
            <v>JPN_35457</v>
          </cell>
        </row>
        <row r="542">
          <cell r="A542" t="str">
            <v>Yamaguchi|JPN_35458</v>
          </cell>
          <cell r="B542" t="str">
            <v>admin2</v>
          </cell>
          <cell r="C542">
            <v>35458</v>
          </cell>
          <cell r="D542" t="str">
            <v>Yamaguchi</v>
          </cell>
          <cell r="E542" t="str">
            <v>JPN_35458</v>
          </cell>
        </row>
        <row r="543">
          <cell r="A543" t="str">
            <v>Tokushima|JPN_35459</v>
          </cell>
          <cell r="B543" t="str">
            <v>admin2</v>
          </cell>
          <cell r="C543">
            <v>35459</v>
          </cell>
          <cell r="D543" t="str">
            <v>Tokushima</v>
          </cell>
          <cell r="E543" t="str">
            <v>JPN_35459</v>
          </cell>
        </row>
        <row r="544">
          <cell r="A544" t="str">
            <v>Kagawa|JPN_35460</v>
          </cell>
          <cell r="B544" t="str">
            <v>admin2</v>
          </cell>
          <cell r="C544">
            <v>35460</v>
          </cell>
          <cell r="D544" t="str">
            <v>Kagawa</v>
          </cell>
          <cell r="E544" t="str">
            <v>JPN_35460</v>
          </cell>
        </row>
        <row r="545">
          <cell r="A545" t="str">
            <v>Ehime|JPN_35461</v>
          </cell>
          <cell r="B545" t="str">
            <v>admin2</v>
          </cell>
          <cell r="C545">
            <v>35461</v>
          </cell>
          <cell r="D545" t="str">
            <v>Ehime</v>
          </cell>
          <cell r="E545" t="str">
            <v>JPN_35461</v>
          </cell>
        </row>
        <row r="546">
          <cell r="A546" t="str">
            <v>Kōchi|JPN_35462</v>
          </cell>
          <cell r="B546" t="str">
            <v>admin2</v>
          </cell>
          <cell r="C546">
            <v>35462</v>
          </cell>
          <cell r="D546" t="str">
            <v>Kōchi</v>
          </cell>
          <cell r="E546" t="str">
            <v>JPN_35462</v>
          </cell>
        </row>
        <row r="547">
          <cell r="A547" t="str">
            <v>Fukuoka|JPN_35463</v>
          </cell>
          <cell r="B547" t="str">
            <v>admin2</v>
          </cell>
          <cell r="C547">
            <v>35463</v>
          </cell>
          <cell r="D547" t="str">
            <v>Fukuoka</v>
          </cell>
          <cell r="E547" t="str">
            <v>JPN_35463</v>
          </cell>
        </row>
        <row r="548">
          <cell r="A548" t="str">
            <v>Saga|JPN_35464</v>
          </cell>
          <cell r="B548" t="str">
            <v>admin2</v>
          </cell>
          <cell r="C548">
            <v>35464</v>
          </cell>
          <cell r="D548" t="str">
            <v>Saga</v>
          </cell>
          <cell r="E548" t="str">
            <v>JPN_35464</v>
          </cell>
        </row>
        <row r="549">
          <cell r="A549" t="str">
            <v>Nagasaki|JPN_35465</v>
          </cell>
          <cell r="B549" t="str">
            <v>admin2</v>
          </cell>
          <cell r="C549">
            <v>35465</v>
          </cell>
          <cell r="D549" t="str">
            <v>Nagasaki</v>
          </cell>
          <cell r="E549" t="str">
            <v>JPN_35465</v>
          </cell>
        </row>
        <row r="550">
          <cell r="A550" t="str">
            <v>Kumamoto|JPN_35466</v>
          </cell>
          <cell r="B550" t="str">
            <v>admin2</v>
          </cell>
          <cell r="C550">
            <v>35466</v>
          </cell>
          <cell r="D550" t="str">
            <v>Kumamoto</v>
          </cell>
          <cell r="E550" t="str">
            <v>JPN_35466</v>
          </cell>
        </row>
        <row r="551">
          <cell r="A551" t="str">
            <v>Ōita|JPN_35467</v>
          </cell>
          <cell r="B551" t="str">
            <v>admin2</v>
          </cell>
          <cell r="C551">
            <v>35467</v>
          </cell>
          <cell r="D551" t="str">
            <v>Ōita</v>
          </cell>
          <cell r="E551" t="str">
            <v>JPN_35467</v>
          </cell>
        </row>
        <row r="552">
          <cell r="A552" t="str">
            <v>Miyazaki|JPN_35468</v>
          </cell>
          <cell r="B552" t="str">
            <v>admin2</v>
          </cell>
          <cell r="C552">
            <v>35468</v>
          </cell>
          <cell r="D552" t="str">
            <v>Miyazaki</v>
          </cell>
          <cell r="E552" t="str">
            <v>JPN_35468</v>
          </cell>
        </row>
        <row r="553">
          <cell r="A553" t="str">
            <v>Kagoshima|JPN_35469</v>
          </cell>
          <cell r="B553" t="str">
            <v>admin2</v>
          </cell>
          <cell r="C553">
            <v>35469</v>
          </cell>
          <cell r="D553" t="str">
            <v>Kagoshima</v>
          </cell>
          <cell r="E553" t="str">
            <v>JPN_35469</v>
          </cell>
        </row>
        <row r="554">
          <cell r="A554" t="str">
            <v>Okinawa|JPN_35470</v>
          </cell>
          <cell r="B554" t="str">
            <v>admin2</v>
          </cell>
          <cell r="C554">
            <v>35470</v>
          </cell>
          <cell r="D554" t="str">
            <v>Okinawa</v>
          </cell>
          <cell r="E554" t="str">
            <v>JPN_35470</v>
          </cell>
        </row>
        <row r="555">
          <cell r="A555" t="str">
            <v>Kazakhstan|KAZ</v>
          </cell>
          <cell r="B555" t="str">
            <v>admin0</v>
          </cell>
          <cell r="C555">
            <v>36</v>
          </cell>
          <cell r="D555" t="str">
            <v>Kazakhstan</v>
          </cell>
          <cell r="E555" t="str">
            <v>KAZ</v>
          </cell>
        </row>
        <row r="556">
          <cell r="A556" t="str">
            <v>Kenya|KEN</v>
          </cell>
          <cell r="B556" t="str">
            <v>admin0</v>
          </cell>
          <cell r="C556">
            <v>180</v>
          </cell>
          <cell r="D556" t="str">
            <v>Kenya</v>
          </cell>
          <cell r="E556" t="str">
            <v>KEN</v>
          </cell>
        </row>
        <row r="557">
          <cell r="A557" t="str">
            <v>Baringo|KEN_35617</v>
          </cell>
          <cell r="B557" t="str">
            <v>admin1</v>
          </cell>
          <cell r="C557">
            <v>35617</v>
          </cell>
          <cell r="D557" t="str">
            <v>Baringo</v>
          </cell>
          <cell r="E557" t="str">
            <v>KEN_35617</v>
          </cell>
        </row>
        <row r="558">
          <cell r="A558" t="str">
            <v>Bomet|KEN_35618</v>
          </cell>
          <cell r="B558" t="str">
            <v>admin1</v>
          </cell>
          <cell r="C558">
            <v>35618</v>
          </cell>
          <cell r="D558" t="str">
            <v>Bomet</v>
          </cell>
          <cell r="E558" t="str">
            <v>KEN_35618</v>
          </cell>
        </row>
        <row r="559">
          <cell r="A559" t="str">
            <v>Bungoma|KEN_35619</v>
          </cell>
          <cell r="B559" t="str">
            <v>admin1</v>
          </cell>
          <cell r="C559">
            <v>35619</v>
          </cell>
          <cell r="D559" t="str">
            <v>Bungoma</v>
          </cell>
          <cell r="E559" t="str">
            <v>KEN_35619</v>
          </cell>
        </row>
        <row r="560">
          <cell r="A560" t="str">
            <v>Busia|KEN_35620</v>
          </cell>
          <cell r="B560" t="str">
            <v>admin1</v>
          </cell>
          <cell r="C560">
            <v>35620</v>
          </cell>
          <cell r="D560" t="str">
            <v>Busia</v>
          </cell>
          <cell r="E560" t="str">
            <v>KEN_35620</v>
          </cell>
        </row>
        <row r="561">
          <cell r="A561" t="str">
            <v>Elgeyo-Marakwet|KEN_35621</v>
          </cell>
          <cell r="B561" t="str">
            <v>admin1</v>
          </cell>
          <cell r="C561">
            <v>35621</v>
          </cell>
          <cell r="D561" t="str">
            <v>Elgeyo-Marakwet</v>
          </cell>
          <cell r="E561" t="str">
            <v>KEN_35621</v>
          </cell>
        </row>
        <row r="562">
          <cell r="A562" t="str">
            <v>Embu|KEN_35622</v>
          </cell>
          <cell r="B562" t="str">
            <v>admin1</v>
          </cell>
          <cell r="C562">
            <v>35622</v>
          </cell>
          <cell r="D562" t="str">
            <v>Embu</v>
          </cell>
          <cell r="E562" t="str">
            <v>KEN_35622</v>
          </cell>
        </row>
        <row r="563">
          <cell r="A563" t="str">
            <v>Garissa|KEN_35623</v>
          </cell>
          <cell r="B563" t="str">
            <v>admin1</v>
          </cell>
          <cell r="C563">
            <v>35623</v>
          </cell>
          <cell r="D563" t="str">
            <v>Garissa</v>
          </cell>
          <cell r="E563" t="str">
            <v>KEN_35623</v>
          </cell>
        </row>
        <row r="564">
          <cell r="A564" t="str">
            <v>HomaBay|KEN_35624</v>
          </cell>
          <cell r="B564" t="str">
            <v>admin1</v>
          </cell>
          <cell r="C564">
            <v>35624</v>
          </cell>
          <cell r="D564" t="str">
            <v>HomaBay</v>
          </cell>
          <cell r="E564" t="str">
            <v>KEN_35624</v>
          </cell>
        </row>
        <row r="565">
          <cell r="A565" t="str">
            <v>Isiolo|KEN_35625</v>
          </cell>
          <cell r="B565" t="str">
            <v>admin1</v>
          </cell>
          <cell r="C565">
            <v>35625</v>
          </cell>
          <cell r="D565" t="str">
            <v>Isiolo</v>
          </cell>
          <cell r="E565" t="str">
            <v>KEN_35625</v>
          </cell>
        </row>
        <row r="566">
          <cell r="A566" t="str">
            <v>Kajiado|KEN_35626</v>
          </cell>
          <cell r="B566" t="str">
            <v>admin1</v>
          </cell>
          <cell r="C566">
            <v>35626</v>
          </cell>
          <cell r="D566" t="str">
            <v>Kajiado</v>
          </cell>
          <cell r="E566" t="str">
            <v>KEN_35626</v>
          </cell>
        </row>
        <row r="567">
          <cell r="A567" t="str">
            <v>Kakamega|KEN_35627</v>
          </cell>
          <cell r="B567" t="str">
            <v>admin1</v>
          </cell>
          <cell r="C567">
            <v>35627</v>
          </cell>
          <cell r="D567" t="str">
            <v>Kakamega</v>
          </cell>
          <cell r="E567" t="str">
            <v>KEN_35627</v>
          </cell>
        </row>
        <row r="568">
          <cell r="A568" t="str">
            <v>Kericho|KEN_35628</v>
          </cell>
          <cell r="B568" t="str">
            <v>admin1</v>
          </cell>
          <cell r="C568">
            <v>35628</v>
          </cell>
          <cell r="D568" t="str">
            <v>Kericho</v>
          </cell>
          <cell r="E568" t="str">
            <v>KEN_35628</v>
          </cell>
        </row>
        <row r="569">
          <cell r="A569" t="str">
            <v>Kiambu|KEN_35629</v>
          </cell>
          <cell r="B569" t="str">
            <v>admin1</v>
          </cell>
          <cell r="C569">
            <v>35629</v>
          </cell>
          <cell r="D569" t="str">
            <v>Kiambu</v>
          </cell>
          <cell r="E569" t="str">
            <v>KEN_35629</v>
          </cell>
        </row>
        <row r="570">
          <cell r="A570" t="str">
            <v>Kilifi|KEN_35630</v>
          </cell>
          <cell r="B570" t="str">
            <v>admin1</v>
          </cell>
          <cell r="C570">
            <v>35630</v>
          </cell>
          <cell r="D570" t="str">
            <v>Kilifi</v>
          </cell>
          <cell r="E570" t="str">
            <v>KEN_35630</v>
          </cell>
        </row>
        <row r="571">
          <cell r="A571" t="str">
            <v>Kirinyaga|KEN_35631</v>
          </cell>
          <cell r="B571" t="str">
            <v>admin1</v>
          </cell>
          <cell r="C571">
            <v>35631</v>
          </cell>
          <cell r="D571" t="str">
            <v>Kirinyaga</v>
          </cell>
          <cell r="E571" t="str">
            <v>KEN_35631</v>
          </cell>
        </row>
        <row r="572">
          <cell r="A572" t="str">
            <v>Kisii|KEN_35632</v>
          </cell>
          <cell r="B572" t="str">
            <v>admin1</v>
          </cell>
          <cell r="C572">
            <v>35632</v>
          </cell>
          <cell r="D572" t="str">
            <v>Kisii</v>
          </cell>
          <cell r="E572" t="str">
            <v>KEN_35632</v>
          </cell>
        </row>
        <row r="573">
          <cell r="A573" t="str">
            <v>Kisumu|KEN_35633</v>
          </cell>
          <cell r="B573" t="str">
            <v>admin1</v>
          </cell>
          <cell r="C573">
            <v>35633</v>
          </cell>
          <cell r="D573" t="str">
            <v>Kisumu</v>
          </cell>
          <cell r="E573" t="str">
            <v>KEN_35633</v>
          </cell>
        </row>
        <row r="574">
          <cell r="A574" t="str">
            <v>Kitui|KEN_35634</v>
          </cell>
          <cell r="B574" t="str">
            <v>admin1</v>
          </cell>
          <cell r="C574">
            <v>35634</v>
          </cell>
          <cell r="D574" t="str">
            <v>Kitui</v>
          </cell>
          <cell r="E574" t="str">
            <v>KEN_35634</v>
          </cell>
        </row>
        <row r="575">
          <cell r="A575" t="str">
            <v>Kwale|KEN_35635</v>
          </cell>
          <cell r="B575" t="str">
            <v>admin1</v>
          </cell>
          <cell r="C575">
            <v>35635</v>
          </cell>
          <cell r="D575" t="str">
            <v>Kwale</v>
          </cell>
          <cell r="E575" t="str">
            <v>KEN_35635</v>
          </cell>
        </row>
        <row r="576">
          <cell r="A576" t="str">
            <v>Laikipia|KEN_35636</v>
          </cell>
          <cell r="B576" t="str">
            <v>admin1</v>
          </cell>
          <cell r="C576">
            <v>35636</v>
          </cell>
          <cell r="D576" t="str">
            <v>Laikipia</v>
          </cell>
          <cell r="E576" t="str">
            <v>KEN_35636</v>
          </cell>
        </row>
        <row r="577">
          <cell r="A577" t="str">
            <v>Lamu|KEN_35637</v>
          </cell>
          <cell r="B577" t="str">
            <v>admin1</v>
          </cell>
          <cell r="C577">
            <v>35637</v>
          </cell>
          <cell r="D577" t="str">
            <v>Lamu</v>
          </cell>
          <cell r="E577" t="str">
            <v>KEN_35637</v>
          </cell>
        </row>
        <row r="578">
          <cell r="A578" t="str">
            <v>Machakos|KEN_35638</v>
          </cell>
          <cell r="B578" t="str">
            <v>admin1</v>
          </cell>
          <cell r="C578">
            <v>35638</v>
          </cell>
          <cell r="D578" t="str">
            <v>Machakos</v>
          </cell>
          <cell r="E578" t="str">
            <v>KEN_35638</v>
          </cell>
        </row>
        <row r="579">
          <cell r="A579" t="str">
            <v>Makueni|KEN_35639</v>
          </cell>
          <cell r="B579" t="str">
            <v>admin1</v>
          </cell>
          <cell r="C579">
            <v>35639</v>
          </cell>
          <cell r="D579" t="str">
            <v>Makueni</v>
          </cell>
          <cell r="E579" t="str">
            <v>KEN_35639</v>
          </cell>
        </row>
        <row r="580">
          <cell r="A580" t="str">
            <v>Mandera|KEN_35640</v>
          </cell>
          <cell r="B580" t="str">
            <v>admin1</v>
          </cell>
          <cell r="C580">
            <v>35640</v>
          </cell>
          <cell r="D580" t="str">
            <v>Mandera</v>
          </cell>
          <cell r="E580" t="str">
            <v>KEN_35640</v>
          </cell>
        </row>
        <row r="581">
          <cell r="A581" t="str">
            <v>Marsabit|KEN_35641</v>
          </cell>
          <cell r="B581" t="str">
            <v>admin1</v>
          </cell>
          <cell r="C581">
            <v>35641</v>
          </cell>
          <cell r="D581" t="str">
            <v>Marsabit</v>
          </cell>
          <cell r="E581" t="str">
            <v>KEN_35641</v>
          </cell>
        </row>
        <row r="582">
          <cell r="A582" t="str">
            <v>Meru|KEN_35642</v>
          </cell>
          <cell r="B582" t="str">
            <v>admin1</v>
          </cell>
          <cell r="C582">
            <v>35642</v>
          </cell>
          <cell r="D582" t="str">
            <v>Meru</v>
          </cell>
          <cell r="E582" t="str">
            <v>KEN_35642</v>
          </cell>
        </row>
        <row r="583">
          <cell r="A583" t="str">
            <v>Migori|KEN_35643</v>
          </cell>
          <cell r="B583" t="str">
            <v>admin1</v>
          </cell>
          <cell r="C583">
            <v>35643</v>
          </cell>
          <cell r="D583" t="str">
            <v>Migori</v>
          </cell>
          <cell r="E583" t="str">
            <v>KEN_35643</v>
          </cell>
        </row>
        <row r="584">
          <cell r="A584" t="str">
            <v>Mombasa|KEN_35644</v>
          </cell>
          <cell r="B584" t="str">
            <v>admin1</v>
          </cell>
          <cell r="C584">
            <v>35644</v>
          </cell>
          <cell r="D584" t="str">
            <v>Mombasa</v>
          </cell>
          <cell r="E584" t="str">
            <v>KEN_35644</v>
          </cell>
        </row>
        <row r="585">
          <cell r="A585" t="str">
            <v>Murang’a|KEN_35645</v>
          </cell>
          <cell r="B585" t="str">
            <v>admin1</v>
          </cell>
          <cell r="C585">
            <v>35645</v>
          </cell>
          <cell r="D585" t="str">
            <v>Murang’a</v>
          </cell>
          <cell r="E585" t="str">
            <v>KEN_35645</v>
          </cell>
        </row>
        <row r="586">
          <cell r="A586" t="str">
            <v>Nairobi|KEN_35646</v>
          </cell>
          <cell r="B586" t="str">
            <v>admin1</v>
          </cell>
          <cell r="C586">
            <v>35646</v>
          </cell>
          <cell r="D586" t="str">
            <v>Nairobi</v>
          </cell>
          <cell r="E586" t="str">
            <v>KEN_35646</v>
          </cell>
        </row>
        <row r="587">
          <cell r="A587" t="str">
            <v>Nakuru|KEN_35647</v>
          </cell>
          <cell r="B587" t="str">
            <v>admin1</v>
          </cell>
          <cell r="C587">
            <v>35647</v>
          </cell>
          <cell r="D587" t="str">
            <v>Nakuru</v>
          </cell>
          <cell r="E587" t="str">
            <v>KEN_35647</v>
          </cell>
        </row>
        <row r="588">
          <cell r="A588" t="str">
            <v>Nandi|KEN_35648</v>
          </cell>
          <cell r="B588" t="str">
            <v>admin1</v>
          </cell>
          <cell r="C588">
            <v>35648</v>
          </cell>
          <cell r="D588" t="str">
            <v>Nandi</v>
          </cell>
          <cell r="E588" t="str">
            <v>KEN_35648</v>
          </cell>
        </row>
        <row r="589">
          <cell r="A589" t="str">
            <v>Narok|KEN_35649</v>
          </cell>
          <cell r="B589" t="str">
            <v>admin1</v>
          </cell>
          <cell r="C589">
            <v>35649</v>
          </cell>
          <cell r="D589" t="str">
            <v>Narok</v>
          </cell>
          <cell r="E589" t="str">
            <v>KEN_35649</v>
          </cell>
        </row>
        <row r="590">
          <cell r="A590" t="str">
            <v>Nyamira|KEN_35650</v>
          </cell>
          <cell r="B590" t="str">
            <v>admin1</v>
          </cell>
          <cell r="C590">
            <v>35650</v>
          </cell>
          <cell r="D590" t="str">
            <v>Nyamira</v>
          </cell>
          <cell r="E590" t="str">
            <v>KEN_35650</v>
          </cell>
        </row>
        <row r="591">
          <cell r="A591" t="str">
            <v>Nyandarua|KEN_35651</v>
          </cell>
          <cell r="B591" t="str">
            <v>admin1</v>
          </cell>
          <cell r="C591">
            <v>35651</v>
          </cell>
          <cell r="D591" t="str">
            <v>Nyandarua</v>
          </cell>
          <cell r="E591" t="str">
            <v>KEN_35651</v>
          </cell>
        </row>
        <row r="592">
          <cell r="A592" t="str">
            <v>Nyeri|KEN_35652</v>
          </cell>
          <cell r="B592" t="str">
            <v>admin1</v>
          </cell>
          <cell r="C592">
            <v>35652</v>
          </cell>
          <cell r="D592" t="str">
            <v>Nyeri</v>
          </cell>
          <cell r="E592" t="str">
            <v>KEN_35652</v>
          </cell>
        </row>
        <row r="593">
          <cell r="A593" t="str">
            <v>Samburu|KEN_35653</v>
          </cell>
          <cell r="B593" t="str">
            <v>admin1</v>
          </cell>
          <cell r="C593">
            <v>35653</v>
          </cell>
          <cell r="D593" t="str">
            <v>Samburu</v>
          </cell>
          <cell r="E593" t="str">
            <v>KEN_35653</v>
          </cell>
        </row>
        <row r="594">
          <cell r="A594" t="str">
            <v>Siaya|KEN_35654</v>
          </cell>
          <cell r="B594" t="str">
            <v>admin1</v>
          </cell>
          <cell r="C594">
            <v>35654</v>
          </cell>
          <cell r="D594" t="str">
            <v>Siaya</v>
          </cell>
          <cell r="E594" t="str">
            <v>KEN_35654</v>
          </cell>
        </row>
        <row r="595">
          <cell r="A595" t="str">
            <v>TaitaTaveta|KEN_35655</v>
          </cell>
          <cell r="B595" t="str">
            <v>admin1</v>
          </cell>
          <cell r="C595">
            <v>35655</v>
          </cell>
          <cell r="D595" t="str">
            <v>TaitaTaveta</v>
          </cell>
          <cell r="E595" t="str">
            <v>KEN_35655</v>
          </cell>
        </row>
        <row r="596">
          <cell r="A596" t="str">
            <v>TanaRiver|KEN_35656</v>
          </cell>
          <cell r="B596" t="str">
            <v>admin1</v>
          </cell>
          <cell r="C596">
            <v>35656</v>
          </cell>
          <cell r="D596" t="str">
            <v>TanaRiver</v>
          </cell>
          <cell r="E596" t="str">
            <v>KEN_35656</v>
          </cell>
        </row>
        <row r="597">
          <cell r="A597" t="str">
            <v>TharakaNithi|KEN_35657</v>
          </cell>
          <cell r="B597" t="str">
            <v>admin1</v>
          </cell>
          <cell r="C597">
            <v>35657</v>
          </cell>
          <cell r="D597" t="str">
            <v>TharakaNithi</v>
          </cell>
          <cell r="E597" t="str">
            <v>KEN_35657</v>
          </cell>
        </row>
        <row r="598">
          <cell r="A598" t="str">
            <v>TransNzoia|KEN_35658</v>
          </cell>
          <cell r="B598" t="str">
            <v>admin1</v>
          </cell>
          <cell r="C598">
            <v>35658</v>
          </cell>
          <cell r="D598" t="str">
            <v>TransNzoia</v>
          </cell>
          <cell r="E598" t="str">
            <v>KEN_35658</v>
          </cell>
        </row>
        <row r="599">
          <cell r="A599" t="str">
            <v>Turkana|KEN_35659</v>
          </cell>
          <cell r="B599" t="str">
            <v>admin1</v>
          </cell>
          <cell r="C599">
            <v>35659</v>
          </cell>
          <cell r="D599" t="str">
            <v>Turkana</v>
          </cell>
          <cell r="E599" t="str">
            <v>KEN_35659</v>
          </cell>
        </row>
        <row r="600">
          <cell r="A600" t="str">
            <v>UasinGishu|KEN_35660</v>
          </cell>
          <cell r="B600" t="str">
            <v>admin1</v>
          </cell>
          <cell r="C600">
            <v>35660</v>
          </cell>
          <cell r="D600" t="str">
            <v>UasinGishu</v>
          </cell>
          <cell r="E600" t="str">
            <v>KEN_35660</v>
          </cell>
        </row>
        <row r="601">
          <cell r="A601" t="str">
            <v>Vihiga|KEN_35661</v>
          </cell>
          <cell r="B601" t="str">
            <v>admin1</v>
          </cell>
          <cell r="C601">
            <v>35661</v>
          </cell>
          <cell r="D601" t="str">
            <v>Vihiga</v>
          </cell>
          <cell r="E601" t="str">
            <v>KEN_35661</v>
          </cell>
        </row>
        <row r="602">
          <cell r="A602" t="str">
            <v>Wajir|KEN_35662</v>
          </cell>
          <cell r="B602" t="str">
            <v>admin1</v>
          </cell>
          <cell r="C602">
            <v>35662</v>
          </cell>
          <cell r="D602" t="str">
            <v>Wajir</v>
          </cell>
          <cell r="E602" t="str">
            <v>KEN_35662</v>
          </cell>
        </row>
        <row r="603">
          <cell r="A603" t="str">
            <v>WestPokot|KEN_35663</v>
          </cell>
          <cell r="B603" t="str">
            <v>admin1</v>
          </cell>
          <cell r="C603">
            <v>35663</v>
          </cell>
          <cell r="D603" t="str">
            <v>WestPokot</v>
          </cell>
          <cell r="E603" t="str">
            <v>KEN_35663</v>
          </cell>
        </row>
        <row r="604">
          <cell r="A604" t="str">
            <v>Kyrgyzstan|KGZ</v>
          </cell>
          <cell r="B604" t="str">
            <v>admin0</v>
          </cell>
          <cell r="C604">
            <v>37</v>
          </cell>
          <cell r="D604" t="str">
            <v>Kyrgyzstan</v>
          </cell>
          <cell r="E604" t="str">
            <v>KGZ</v>
          </cell>
        </row>
        <row r="605">
          <cell r="A605" t="str">
            <v>Cambodia|KHM</v>
          </cell>
          <cell r="B605" t="str">
            <v>admin0</v>
          </cell>
          <cell r="C605">
            <v>10</v>
          </cell>
          <cell r="D605" t="str">
            <v>Cambodia</v>
          </cell>
          <cell r="E605" t="str">
            <v>KHM</v>
          </cell>
        </row>
        <row r="606">
          <cell r="A606" t="str">
            <v>Kiribati|KIR</v>
          </cell>
          <cell r="B606" t="str">
            <v>admin0</v>
          </cell>
          <cell r="C606">
            <v>23</v>
          </cell>
          <cell r="D606" t="str">
            <v>Kiribati</v>
          </cell>
          <cell r="E606" t="str">
            <v>KIR</v>
          </cell>
        </row>
        <row r="607">
          <cell r="A607" t="str">
            <v>Saint Kitts and Nevis|KNA</v>
          </cell>
          <cell r="B607" t="str">
            <v>admin0</v>
          </cell>
          <cell r="C607">
            <v>393</v>
          </cell>
          <cell r="D607" t="str">
            <v>Saint Kitts and Nevis</v>
          </cell>
          <cell r="E607" t="str">
            <v>KNA</v>
          </cell>
        </row>
        <row r="608">
          <cell r="A608" t="str">
            <v>South Korea|KOR</v>
          </cell>
          <cell r="B608" t="str">
            <v>admin0</v>
          </cell>
          <cell r="C608">
            <v>68</v>
          </cell>
          <cell r="D608" t="str">
            <v>South Korea</v>
          </cell>
          <cell r="E608" t="str">
            <v>KOR</v>
          </cell>
        </row>
        <row r="609">
          <cell r="A609" t="str">
            <v>Kuwait|KWT</v>
          </cell>
          <cell r="B609" t="str">
            <v>admin0</v>
          </cell>
          <cell r="C609">
            <v>145</v>
          </cell>
          <cell r="D609" t="str">
            <v>Kuwait</v>
          </cell>
          <cell r="E609" t="str">
            <v>KWT</v>
          </cell>
        </row>
        <row r="610">
          <cell r="A610" t="str">
            <v>Laos|LAO</v>
          </cell>
          <cell r="B610" t="str">
            <v>admin0</v>
          </cell>
          <cell r="C610">
            <v>12</v>
          </cell>
          <cell r="D610" t="str">
            <v>Laos</v>
          </cell>
          <cell r="E610" t="str">
            <v>LAO</v>
          </cell>
        </row>
        <row r="611">
          <cell r="A611" t="str">
            <v>Lebanon|LBN</v>
          </cell>
          <cell r="B611" t="str">
            <v>admin0</v>
          </cell>
          <cell r="C611">
            <v>146</v>
          </cell>
          <cell r="D611" t="str">
            <v>Lebanon</v>
          </cell>
          <cell r="E611" t="str">
            <v>LBN</v>
          </cell>
        </row>
        <row r="612">
          <cell r="A612" t="str">
            <v>Liberia|LBR</v>
          </cell>
          <cell r="B612" t="str">
            <v>admin0</v>
          </cell>
          <cell r="C612">
            <v>210</v>
          </cell>
          <cell r="D612" t="str">
            <v>Liberia</v>
          </cell>
          <cell r="E612" t="str">
            <v>LBR</v>
          </cell>
        </row>
        <row r="613">
          <cell r="A613" t="str">
            <v>Libya|LBY</v>
          </cell>
          <cell r="B613" t="str">
            <v>admin0</v>
          </cell>
          <cell r="C613">
            <v>147</v>
          </cell>
          <cell r="D613" t="str">
            <v>Libya</v>
          </cell>
          <cell r="E613" t="str">
            <v>LBY</v>
          </cell>
        </row>
        <row r="614">
          <cell r="A614" t="str">
            <v>Saint Lucia|LCA</v>
          </cell>
          <cell r="B614" t="str">
            <v>admin0</v>
          </cell>
          <cell r="C614">
            <v>116</v>
          </cell>
          <cell r="D614" t="str">
            <v>Saint Lucia</v>
          </cell>
          <cell r="E614" t="str">
            <v>LCA</v>
          </cell>
        </row>
        <row r="615">
          <cell r="A615" t="str">
            <v>Sri Lanka|LKA</v>
          </cell>
          <cell r="B615" t="str">
            <v>admin0</v>
          </cell>
          <cell r="C615">
            <v>17</v>
          </cell>
          <cell r="D615" t="str">
            <v>Sri Lanka</v>
          </cell>
          <cell r="E615" t="str">
            <v>LKA</v>
          </cell>
        </row>
        <row r="616">
          <cell r="A616" t="str">
            <v>Lesotho|LSO</v>
          </cell>
          <cell r="B616" t="str">
            <v>admin0</v>
          </cell>
          <cell r="C616">
            <v>194</v>
          </cell>
          <cell r="D616" t="str">
            <v>Lesotho</v>
          </cell>
          <cell r="E616" t="str">
            <v>LSO</v>
          </cell>
        </row>
        <row r="617">
          <cell r="A617" t="str">
            <v>Lithuania|LTU</v>
          </cell>
          <cell r="B617" t="str">
            <v>admin0</v>
          </cell>
          <cell r="C617">
            <v>60</v>
          </cell>
          <cell r="D617" t="str">
            <v>Lithuania</v>
          </cell>
          <cell r="E617" t="str">
            <v>LTU</v>
          </cell>
        </row>
        <row r="618">
          <cell r="A618" t="str">
            <v>Luxembourg|LUX</v>
          </cell>
          <cell r="B618" t="str">
            <v>admin0</v>
          </cell>
          <cell r="C618">
            <v>87</v>
          </cell>
          <cell r="D618" t="str">
            <v>Luxembourg</v>
          </cell>
          <cell r="E618" t="str">
            <v>LUX</v>
          </cell>
        </row>
        <row r="619">
          <cell r="A619" t="str">
            <v>Latvia|LVA</v>
          </cell>
          <cell r="B619" t="str">
            <v>admin0</v>
          </cell>
          <cell r="C619">
            <v>59</v>
          </cell>
          <cell r="D619" t="str">
            <v>Latvia</v>
          </cell>
          <cell r="E619" t="str">
            <v>LVA</v>
          </cell>
        </row>
        <row r="620">
          <cell r="A620" t="str">
            <v>Morocco|MAR</v>
          </cell>
          <cell r="B620" t="str">
            <v>admin0</v>
          </cell>
          <cell r="C620">
            <v>148</v>
          </cell>
          <cell r="D620" t="str">
            <v>Morocco</v>
          </cell>
          <cell r="E620" t="str">
            <v>MAR</v>
          </cell>
        </row>
        <row r="621">
          <cell r="A621" t="str">
            <v>Monaco|MCO</v>
          </cell>
          <cell r="B621" t="str">
            <v>admin0</v>
          </cell>
          <cell r="C621">
            <v>367</v>
          </cell>
          <cell r="D621" t="str">
            <v>Monaco</v>
          </cell>
          <cell r="E621" t="str">
            <v>MCO</v>
          </cell>
        </row>
        <row r="622">
          <cell r="A622" t="str">
            <v>Moldova|MDA</v>
          </cell>
          <cell r="B622" t="str">
            <v>admin0</v>
          </cell>
          <cell r="C622">
            <v>61</v>
          </cell>
          <cell r="D622" t="str">
            <v>Moldova</v>
          </cell>
          <cell r="E622" t="str">
            <v>MDA</v>
          </cell>
        </row>
        <row r="623">
          <cell r="A623" t="str">
            <v>Madagascar|MDG</v>
          </cell>
          <cell r="B623" t="str">
            <v>admin0</v>
          </cell>
          <cell r="C623">
            <v>181</v>
          </cell>
          <cell r="D623" t="str">
            <v>Madagascar</v>
          </cell>
          <cell r="E623" t="str">
            <v>MDG</v>
          </cell>
        </row>
        <row r="624">
          <cell r="A624" t="str">
            <v>Maldives|MDV</v>
          </cell>
          <cell r="B624" t="str">
            <v>admin0</v>
          </cell>
          <cell r="C624">
            <v>14</v>
          </cell>
          <cell r="D624" t="str">
            <v>Maldives</v>
          </cell>
          <cell r="E624" t="str">
            <v>MDV</v>
          </cell>
        </row>
        <row r="625">
          <cell r="A625" t="str">
            <v>Mexico|MEX</v>
          </cell>
          <cell r="B625" t="str">
            <v>admin0</v>
          </cell>
          <cell r="C625">
            <v>130</v>
          </cell>
          <cell r="D625" t="str">
            <v>Mexico</v>
          </cell>
          <cell r="E625" t="str">
            <v>MEX</v>
          </cell>
        </row>
        <row r="626">
          <cell r="A626" t="str">
            <v>Aguascalientes|MEX_4643</v>
          </cell>
          <cell r="B626" t="str">
            <v>admin1</v>
          </cell>
          <cell r="C626">
            <v>4643</v>
          </cell>
          <cell r="D626" t="str">
            <v>Aguascalientes</v>
          </cell>
          <cell r="E626" t="str">
            <v>MEX_4643</v>
          </cell>
        </row>
        <row r="627">
          <cell r="A627" t="str">
            <v>Baja California|MEX_4644</v>
          </cell>
          <cell r="B627" t="str">
            <v>admin1</v>
          </cell>
          <cell r="C627">
            <v>4644</v>
          </cell>
          <cell r="D627" t="str">
            <v>Baja California</v>
          </cell>
          <cell r="E627" t="str">
            <v>MEX_4644</v>
          </cell>
        </row>
        <row r="628">
          <cell r="A628" t="str">
            <v>Baja California Sur|MEX_4645</v>
          </cell>
          <cell r="B628" t="str">
            <v>admin1</v>
          </cell>
          <cell r="C628">
            <v>4645</v>
          </cell>
          <cell r="D628" t="str">
            <v>Baja California Sur</v>
          </cell>
          <cell r="E628" t="str">
            <v>MEX_4645</v>
          </cell>
        </row>
        <row r="629">
          <cell r="A629" t="str">
            <v>Campeche|MEX_4646</v>
          </cell>
          <cell r="B629" t="str">
            <v>admin1</v>
          </cell>
          <cell r="C629">
            <v>4646</v>
          </cell>
          <cell r="D629" t="str">
            <v>Campeche</v>
          </cell>
          <cell r="E629" t="str">
            <v>MEX_4646</v>
          </cell>
        </row>
        <row r="630">
          <cell r="A630" t="str">
            <v>Coahuila|MEX_4647</v>
          </cell>
          <cell r="B630" t="str">
            <v>admin1</v>
          </cell>
          <cell r="C630">
            <v>4647</v>
          </cell>
          <cell r="D630" t="str">
            <v>Coahuila</v>
          </cell>
          <cell r="E630" t="str">
            <v>MEX_4647</v>
          </cell>
        </row>
        <row r="631">
          <cell r="A631" t="str">
            <v>Colima|MEX_4648</v>
          </cell>
          <cell r="B631" t="str">
            <v>admin1</v>
          </cell>
          <cell r="C631">
            <v>4648</v>
          </cell>
          <cell r="D631" t="str">
            <v>Colima</v>
          </cell>
          <cell r="E631" t="str">
            <v>MEX_4648</v>
          </cell>
        </row>
        <row r="632">
          <cell r="A632" t="str">
            <v>Chiapas|MEX_4649</v>
          </cell>
          <cell r="B632" t="str">
            <v>admin1</v>
          </cell>
          <cell r="C632">
            <v>4649</v>
          </cell>
          <cell r="D632" t="str">
            <v>Chiapas</v>
          </cell>
          <cell r="E632" t="str">
            <v>MEX_4649</v>
          </cell>
        </row>
        <row r="633">
          <cell r="A633" t="str">
            <v>Chihuahua|MEX_4650</v>
          </cell>
          <cell r="B633" t="str">
            <v>admin1</v>
          </cell>
          <cell r="C633">
            <v>4650</v>
          </cell>
          <cell r="D633" t="str">
            <v>Chihuahua</v>
          </cell>
          <cell r="E633" t="str">
            <v>MEX_4650</v>
          </cell>
        </row>
        <row r="634">
          <cell r="A634" t="str">
            <v>Mexico City|MEX_4651</v>
          </cell>
          <cell r="B634" t="str">
            <v>admin1</v>
          </cell>
          <cell r="C634">
            <v>4651</v>
          </cell>
          <cell r="D634" t="str">
            <v>Mexico City</v>
          </cell>
          <cell r="E634" t="str">
            <v>MEX_4651</v>
          </cell>
        </row>
        <row r="635">
          <cell r="A635" t="str">
            <v>Durango|MEX_4652</v>
          </cell>
          <cell r="B635" t="str">
            <v>admin1</v>
          </cell>
          <cell r="C635">
            <v>4652</v>
          </cell>
          <cell r="D635" t="str">
            <v>Durango</v>
          </cell>
          <cell r="E635" t="str">
            <v>MEX_4652</v>
          </cell>
        </row>
        <row r="636">
          <cell r="A636" t="str">
            <v>Guanajuato|MEX_4653</v>
          </cell>
          <cell r="B636" t="str">
            <v>admin1</v>
          </cell>
          <cell r="C636">
            <v>4653</v>
          </cell>
          <cell r="D636" t="str">
            <v>Guanajuato</v>
          </cell>
          <cell r="E636" t="str">
            <v>MEX_4653</v>
          </cell>
        </row>
        <row r="637">
          <cell r="A637" t="str">
            <v>Guerrero|MEX_4654</v>
          </cell>
          <cell r="B637" t="str">
            <v>admin1</v>
          </cell>
          <cell r="C637">
            <v>4654</v>
          </cell>
          <cell r="D637" t="str">
            <v>Guerrero</v>
          </cell>
          <cell r="E637" t="str">
            <v>MEX_4654</v>
          </cell>
        </row>
        <row r="638">
          <cell r="A638" t="str">
            <v>Hidalgo|MEX_4655</v>
          </cell>
          <cell r="B638" t="str">
            <v>admin1</v>
          </cell>
          <cell r="C638">
            <v>4655</v>
          </cell>
          <cell r="D638" t="str">
            <v>Hidalgo</v>
          </cell>
          <cell r="E638" t="str">
            <v>MEX_4655</v>
          </cell>
        </row>
        <row r="639">
          <cell r="A639" t="str">
            <v>Jalisco|MEX_4656</v>
          </cell>
          <cell r="B639" t="str">
            <v>admin1</v>
          </cell>
          <cell r="C639">
            <v>4656</v>
          </cell>
          <cell r="D639" t="str">
            <v>Jalisco</v>
          </cell>
          <cell r="E639" t="str">
            <v>MEX_4656</v>
          </cell>
        </row>
        <row r="640">
          <cell r="A640" t="str">
            <v>México|MEX_4657</v>
          </cell>
          <cell r="B640" t="str">
            <v>admin1</v>
          </cell>
          <cell r="C640">
            <v>4657</v>
          </cell>
          <cell r="D640" t="str">
            <v>México</v>
          </cell>
          <cell r="E640" t="str">
            <v>MEX_4657</v>
          </cell>
        </row>
        <row r="641">
          <cell r="A641" t="str">
            <v>Michoacán de Ocampo|MEX_4658</v>
          </cell>
          <cell r="B641" t="str">
            <v>admin1</v>
          </cell>
          <cell r="C641">
            <v>4658</v>
          </cell>
          <cell r="D641" t="str">
            <v>Michoacán de Ocampo</v>
          </cell>
          <cell r="E641" t="str">
            <v>MEX_4658</v>
          </cell>
        </row>
        <row r="642">
          <cell r="A642" t="str">
            <v>Morelos|MEX_4659</v>
          </cell>
          <cell r="B642" t="str">
            <v>admin1</v>
          </cell>
          <cell r="C642">
            <v>4659</v>
          </cell>
          <cell r="D642" t="str">
            <v>Morelos</v>
          </cell>
          <cell r="E642" t="str">
            <v>MEX_4659</v>
          </cell>
        </row>
        <row r="643">
          <cell r="A643" t="str">
            <v>Nayarit|MEX_4660</v>
          </cell>
          <cell r="B643" t="str">
            <v>admin1</v>
          </cell>
          <cell r="C643">
            <v>4660</v>
          </cell>
          <cell r="D643" t="str">
            <v>Nayarit</v>
          </cell>
          <cell r="E643" t="str">
            <v>MEX_4660</v>
          </cell>
        </row>
        <row r="644">
          <cell r="A644" t="str">
            <v>Nuevo León|MEX_4661</v>
          </cell>
          <cell r="B644" t="str">
            <v>admin1</v>
          </cell>
          <cell r="C644">
            <v>4661</v>
          </cell>
          <cell r="D644" t="str">
            <v>Nuevo León</v>
          </cell>
          <cell r="E644" t="str">
            <v>MEX_4661</v>
          </cell>
        </row>
        <row r="645">
          <cell r="A645" t="str">
            <v>Oaxaca|MEX_4662</v>
          </cell>
          <cell r="B645" t="str">
            <v>admin1</v>
          </cell>
          <cell r="C645">
            <v>4662</v>
          </cell>
          <cell r="D645" t="str">
            <v>Oaxaca</v>
          </cell>
          <cell r="E645" t="str">
            <v>MEX_4662</v>
          </cell>
        </row>
        <row r="646">
          <cell r="A646" t="str">
            <v>Puebla|MEX_4663</v>
          </cell>
          <cell r="B646" t="str">
            <v>admin1</v>
          </cell>
          <cell r="C646">
            <v>4663</v>
          </cell>
          <cell r="D646" t="str">
            <v>Puebla</v>
          </cell>
          <cell r="E646" t="str">
            <v>MEX_4663</v>
          </cell>
        </row>
        <row r="647">
          <cell r="A647" t="str">
            <v>Querétaro|MEX_4664</v>
          </cell>
          <cell r="B647" t="str">
            <v>admin1</v>
          </cell>
          <cell r="C647">
            <v>4664</v>
          </cell>
          <cell r="D647" t="str">
            <v>Querétaro</v>
          </cell>
          <cell r="E647" t="str">
            <v>MEX_4664</v>
          </cell>
        </row>
        <row r="648">
          <cell r="A648" t="str">
            <v>Quintana Roo|MEX_4665</v>
          </cell>
          <cell r="B648" t="str">
            <v>admin1</v>
          </cell>
          <cell r="C648">
            <v>4665</v>
          </cell>
          <cell r="D648" t="str">
            <v>Quintana Roo</v>
          </cell>
          <cell r="E648" t="str">
            <v>MEX_4665</v>
          </cell>
        </row>
        <row r="649">
          <cell r="A649" t="str">
            <v>San Luis Potosí|MEX_4666</v>
          </cell>
          <cell r="B649" t="str">
            <v>admin1</v>
          </cell>
          <cell r="C649">
            <v>4666</v>
          </cell>
          <cell r="D649" t="str">
            <v>San Luis Potosí</v>
          </cell>
          <cell r="E649" t="str">
            <v>MEX_4666</v>
          </cell>
        </row>
        <row r="650">
          <cell r="A650" t="str">
            <v>Sinaloa|MEX_4667</v>
          </cell>
          <cell r="B650" t="str">
            <v>admin1</v>
          </cell>
          <cell r="C650">
            <v>4667</v>
          </cell>
          <cell r="D650" t="str">
            <v>Sinaloa</v>
          </cell>
          <cell r="E650" t="str">
            <v>MEX_4667</v>
          </cell>
        </row>
        <row r="651">
          <cell r="A651" t="str">
            <v>Sonora|MEX_4668</v>
          </cell>
          <cell r="B651" t="str">
            <v>admin1</v>
          </cell>
          <cell r="C651">
            <v>4668</v>
          </cell>
          <cell r="D651" t="str">
            <v>Sonora</v>
          </cell>
          <cell r="E651" t="str">
            <v>MEX_4668</v>
          </cell>
        </row>
        <row r="652">
          <cell r="A652" t="str">
            <v>Tabasco|MEX_4669</v>
          </cell>
          <cell r="B652" t="str">
            <v>admin1</v>
          </cell>
          <cell r="C652">
            <v>4669</v>
          </cell>
          <cell r="D652" t="str">
            <v>Tabasco</v>
          </cell>
          <cell r="E652" t="str">
            <v>MEX_4669</v>
          </cell>
        </row>
        <row r="653">
          <cell r="A653" t="str">
            <v>Tamaulipas|MEX_4670</v>
          </cell>
          <cell r="B653" t="str">
            <v>admin1</v>
          </cell>
          <cell r="C653">
            <v>4670</v>
          </cell>
          <cell r="D653" t="str">
            <v>Tamaulipas</v>
          </cell>
          <cell r="E653" t="str">
            <v>MEX_4670</v>
          </cell>
        </row>
        <row r="654">
          <cell r="A654" t="str">
            <v>Tlaxcala|MEX_4671</v>
          </cell>
          <cell r="B654" t="str">
            <v>admin1</v>
          </cell>
          <cell r="C654">
            <v>4671</v>
          </cell>
          <cell r="D654" t="str">
            <v>Tlaxcala</v>
          </cell>
          <cell r="E654" t="str">
            <v>MEX_4671</v>
          </cell>
        </row>
        <row r="655">
          <cell r="A655" t="str">
            <v>Veracruz de Ignacio de la Llave|MEX_4672</v>
          </cell>
          <cell r="B655" t="str">
            <v>admin1</v>
          </cell>
          <cell r="C655">
            <v>4672</v>
          </cell>
          <cell r="D655" t="str">
            <v>Veracruz de Ignacio de la Llave</v>
          </cell>
          <cell r="E655" t="str">
            <v>MEX_4672</v>
          </cell>
        </row>
        <row r="656">
          <cell r="A656" t="str">
            <v>Yucatán|MEX_4673</v>
          </cell>
          <cell r="B656" t="str">
            <v>admin1</v>
          </cell>
          <cell r="C656">
            <v>4673</v>
          </cell>
          <cell r="D656" t="str">
            <v>Yucatán</v>
          </cell>
          <cell r="E656" t="str">
            <v>MEX_4673</v>
          </cell>
        </row>
        <row r="657">
          <cell r="A657" t="str">
            <v>Zacatecas|MEX_4674</v>
          </cell>
          <cell r="B657" t="str">
            <v>admin1</v>
          </cell>
          <cell r="C657">
            <v>4674</v>
          </cell>
          <cell r="D657" t="str">
            <v>Zacatecas</v>
          </cell>
          <cell r="E657" t="str">
            <v>MEX_4674</v>
          </cell>
        </row>
        <row r="658">
          <cell r="A658" t="str">
            <v>Marshall Islands|MHL</v>
          </cell>
          <cell r="B658" t="str">
            <v>admin0</v>
          </cell>
          <cell r="C658">
            <v>24</v>
          </cell>
          <cell r="D658" t="str">
            <v>Marshall Islands</v>
          </cell>
          <cell r="E658" t="str">
            <v>MHL</v>
          </cell>
        </row>
        <row r="659">
          <cell r="A659" t="str">
            <v>Macedonia|MKD</v>
          </cell>
          <cell r="B659" t="str">
            <v>admin0</v>
          </cell>
          <cell r="C659">
            <v>49</v>
          </cell>
          <cell r="D659" t="str">
            <v>Macedonia</v>
          </cell>
          <cell r="E659" t="str">
            <v>MKD</v>
          </cell>
        </row>
        <row r="660">
          <cell r="A660" t="str">
            <v>Mali|MLI</v>
          </cell>
          <cell r="B660" t="str">
            <v>admin0</v>
          </cell>
          <cell r="C660">
            <v>211</v>
          </cell>
          <cell r="D660" t="str">
            <v>Mali</v>
          </cell>
          <cell r="E660" t="str">
            <v>MLI</v>
          </cell>
        </row>
        <row r="661">
          <cell r="A661" t="str">
            <v>Malta|MLT</v>
          </cell>
          <cell r="B661" t="str">
            <v>admin0</v>
          </cell>
          <cell r="C661">
            <v>88</v>
          </cell>
          <cell r="D661" t="str">
            <v>Malta</v>
          </cell>
          <cell r="E661" t="str">
            <v>MLT</v>
          </cell>
        </row>
        <row r="662">
          <cell r="A662" t="str">
            <v>Myanmar|MMR</v>
          </cell>
          <cell r="B662" t="str">
            <v>admin0</v>
          </cell>
          <cell r="C662">
            <v>15</v>
          </cell>
          <cell r="D662" t="str">
            <v>Myanmar</v>
          </cell>
          <cell r="E662" t="str">
            <v>MMR</v>
          </cell>
        </row>
        <row r="663">
          <cell r="A663" t="str">
            <v>Montenegro|MNE</v>
          </cell>
          <cell r="B663" t="str">
            <v>admin0</v>
          </cell>
          <cell r="C663">
            <v>50</v>
          </cell>
          <cell r="D663" t="str">
            <v>Montenegro</v>
          </cell>
          <cell r="E663" t="str">
            <v>MNE</v>
          </cell>
        </row>
        <row r="664">
          <cell r="A664" t="str">
            <v>Mongolia|MNG</v>
          </cell>
          <cell r="B664" t="str">
            <v>admin0</v>
          </cell>
          <cell r="C664">
            <v>38</v>
          </cell>
          <cell r="D664" t="str">
            <v>Mongolia</v>
          </cell>
          <cell r="E664" t="str">
            <v>MNG</v>
          </cell>
        </row>
        <row r="665">
          <cell r="A665" t="str">
            <v>Northern Mariana Islands|MNP</v>
          </cell>
          <cell r="B665" t="str">
            <v>nonsovereign</v>
          </cell>
          <cell r="C665">
            <v>376</v>
          </cell>
          <cell r="D665" t="str">
            <v>Northern Mariana Islands</v>
          </cell>
          <cell r="E665" t="str">
            <v>MNP</v>
          </cell>
        </row>
        <row r="666">
          <cell r="A666" t="str">
            <v>Mozambique|MOZ</v>
          </cell>
          <cell r="B666" t="str">
            <v>admin0</v>
          </cell>
          <cell r="C666">
            <v>184</v>
          </cell>
          <cell r="D666" t="str">
            <v>Mozambique</v>
          </cell>
          <cell r="E666" t="str">
            <v>MOZ</v>
          </cell>
        </row>
        <row r="667">
          <cell r="A667" t="str">
            <v>Mauritania|MRT</v>
          </cell>
          <cell r="B667" t="str">
            <v>admin0</v>
          </cell>
          <cell r="C667">
            <v>212</v>
          </cell>
          <cell r="D667" t="str">
            <v>Mauritania</v>
          </cell>
          <cell r="E667" t="str">
            <v>MRT</v>
          </cell>
        </row>
        <row r="668">
          <cell r="A668" t="str">
            <v>Mauritius|MUS</v>
          </cell>
          <cell r="B668" t="str">
            <v>admin0</v>
          </cell>
          <cell r="C668">
            <v>183</v>
          </cell>
          <cell r="D668" t="str">
            <v>Mauritius</v>
          </cell>
          <cell r="E668" t="str">
            <v>MUS</v>
          </cell>
        </row>
        <row r="669">
          <cell r="A669" t="str">
            <v>Malawi|MWI</v>
          </cell>
          <cell r="B669" t="str">
            <v>admin0</v>
          </cell>
          <cell r="C669">
            <v>182</v>
          </cell>
          <cell r="D669" t="str">
            <v>Malawi</v>
          </cell>
          <cell r="E669" t="str">
            <v>MWI</v>
          </cell>
        </row>
        <row r="670">
          <cell r="A670" t="str">
            <v>Malaysia|MYS</v>
          </cell>
          <cell r="B670" t="str">
            <v>admin0</v>
          </cell>
          <cell r="C670">
            <v>13</v>
          </cell>
          <cell r="D670" t="str">
            <v>Malaysia</v>
          </cell>
          <cell r="E670" t="str">
            <v>MYS</v>
          </cell>
        </row>
        <row r="671">
          <cell r="A671" t="str">
            <v>Namibia|NAM</v>
          </cell>
          <cell r="B671" t="str">
            <v>admin0</v>
          </cell>
          <cell r="C671">
            <v>195</v>
          </cell>
          <cell r="D671" t="str">
            <v>Namibia</v>
          </cell>
          <cell r="E671" t="str">
            <v>NAM</v>
          </cell>
        </row>
        <row r="672">
          <cell r="A672" t="str">
            <v>Niger|NER</v>
          </cell>
          <cell r="B672" t="str">
            <v>admin0</v>
          </cell>
          <cell r="C672">
            <v>213</v>
          </cell>
          <cell r="D672" t="str">
            <v>Niger</v>
          </cell>
          <cell r="E672" t="str">
            <v>NER</v>
          </cell>
        </row>
        <row r="673">
          <cell r="A673" t="str">
            <v>Nigeria|NGA</v>
          </cell>
          <cell r="B673" t="str">
            <v>admin0</v>
          </cell>
          <cell r="C673">
            <v>214</v>
          </cell>
          <cell r="D673" t="str">
            <v>Nigeria</v>
          </cell>
          <cell r="E673" t="str">
            <v>NGA</v>
          </cell>
        </row>
        <row r="674">
          <cell r="A674" t="str">
            <v>Abia|NGA_25318</v>
          </cell>
          <cell r="B674" t="str">
            <v>admin1</v>
          </cell>
          <cell r="C674">
            <v>25318</v>
          </cell>
          <cell r="D674" t="str">
            <v>Abia</v>
          </cell>
          <cell r="E674" t="str">
            <v>NGA_25318</v>
          </cell>
        </row>
        <row r="675">
          <cell r="A675" t="str">
            <v>Adamawa|NGA_25319</v>
          </cell>
          <cell r="B675" t="str">
            <v>admin1</v>
          </cell>
          <cell r="C675">
            <v>25319</v>
          </cell>
          <cell r="D675" t="str">
            <v>Adamawa</v>
          </cell>
          <cell r="E675" t="str">
            <v>NGA_25319</v>
          </cell>
        </row>
        <row r="676">
          <cell r="A676" t="str">
            <v>Akwa Ibom|NGA_25320</v>
          </cell>
          <cell r="B676" t="str">
            <v>admin1</v>
          </cell>
          <cell r="C676">
            <v>25320</v>
          </cell>
          <cell r="D676" t="str">
            <v>Akwa Ibom</v>
          </cell>
          <cell r="E676" t="str">
            <v>NGA_25320</v>
          </cell>
        </row>
        <row r="677">
          <cell r="A677" t="str">
            <v>Anambra|NGA_25321</v>
          </cell>
          <cell r="B677" t="str">
            <v>admin1</v>
          </cell>
          <cell r="C677">
            <v>25321</v>
          </cell>
          <cell r="D677" t="str">
            <v>Anambra</v>
          </cell>
          <cell r="E677" t="str">
            <v>NGA_25321</v>
          </cell>
        </row>
        <row r="678">
          <cell r="A678" t="str">
            <v>Bauchi|NGA_25322</v>
          </cell>
          <cell r="B678" t="str">
            <v>admin1</v>
          </cell>
          <cell r="C678">
            <v>25322</v>
          </cell>
          <cell r="D678" t="str">
            <v>Bauchi</v>
          </cell>
          <cell r="E678" t="str">
            <v>NGA_25322</v>
          </cell>
        </row>
        <row r="679">
          <cell r="A679" t="str">
            <v>Bayelsa|NGA_25323</v>
          </cell>
          <cell r="B679" t="str">
            <v>admin1</v>
          </cell>
          <cell r="C679">
            <v>25323</v>
          </cell>
          <cell r="D679" t="str">
            <v>Bayelsa</v>
          </cell>
          <cell r="E679" t="str">
            <v>NGA_25323</v>
          </cell>
        </row>
        <row r="680">
          <cell r="A680" t="str">
            <v>Benue|NGA_25324</v>
          </cell>
          <cell r="B680" t="str">
            <v>admin1</v>
          </cell>
          <cell r="C680">
            <v>25324</v>
          </cell>
          <cell r="D680" t="str">
            <v>Benue</v>
          </cell>
          <cell r="E680" t="str">
            <v>NGA_25324</v>
          </cell>
        </row>
        <row r="681">
          <cell r="A681" t="str">
            <v>Borno|NGA_25325</v>
          </cell>
          <cell r="B681" t="str">
            <v>admin1</v>
          </cell>
          <cell r="C681">
            <v>25325</v>
          </cell>
          <cell r="D681" t="str">
            <v>Borno</v>
          </cell>
          <cell r="E681" t="str">
            <v>NGA_25325</v>
          </cell>
        </row>
        <row r="682">
          <cell r="A682" t="str">
            <v>Cross River|NGA_25326</v>
          </cell>
          <cell r="B682" t="str">
            <v>admin1</v>
          </cell>
          <cell r="C682">
            <v>25326</v>
          </cell>
          <cell r="D682" t="str">
            <v>Cross River</v>
          </cell>
          <cell r="E682" t="str">
            <v>NGA_25326</v>
          </cell>
        </row>
        <row r="683">
          <cell r="A683" t="str">
            <v>Delta|NGA_25327</v>
          </cell>
          <cell r="B683" t="str">
            <v>admin1</v>
          </cell>
          <cell r="C683">
            <v>25327</v>
          </cell>
          <cell r="D683" t="str">
            <v>Delta</v>
          </cell>
          <cell r="E683" t="str">
            <v>NGA_25327</v>
          </cell>
        </row>
        <row r="684">
          <cell r="A684" t="str">
            <v>Ebonyi|NGA_25328</v>
          </cell>
          <cell r="B684" t="str">
            <v>admin1</v>
          </cell>
          <cell r="C684">
            <v>25328</v>
          </cell>
          <cell r="D684" t="str">
            <v>Ebonyi</v>
          </cell>
          <cell r="E684" t="str">
            <v>NGA_25328</v>
          </cell>
        </row>
        <row r="685">
          <cell r="A685" t="str">
            <v>Edo|NGA_25329</v>
          </cell>
          <cell r="B685" t="str">
            <v>admin1</v>
          </cell>
          <cell r="C685">
            <v>25329</v>
          </cell>
          <cell r="D685" t="str">
            <v>Edo</v>
          </cell>
          <cell r="E685" t="str">
            <v>NGA_25329</v>
          </cell>
        </row>
        <row r="686">
          <cell r="A686" t="str">
            <v>Ekiti|NGA_25330</v>
          </cell>
          <cell r="B686" t="str">
            <v>admin1</v>
          </cell>
          <cell r="C686">
            <v>25330</v>
          </cell>
          <cell r="D686" t="str">
            <v>Ekiti</v>
          </cell>
          <cell r="E686" t="str">
            <v>NGA_25330</v>
          </cell>
        </row>
        <row r="687">
          <cell r="A687" t="str">
            <v>Enugu|NGA_25331</v>
          </cell>
          <cell r="B687" t="str">
            <v>admin1</v>
          </cell>
          <cell r="C687">
            <v>25331</v>
          </cell>
          <cell r="D687" t="str">
            <v>Enugu</v>
          </cell>
          <cell r="E687" t="str">
            <v>NGA_25331</v>
          </cell>
        </row>
        <row r="688">
          <cell r="A688" t="str">
            <v>FCT (Abuja)|NGA_25332</v>
          </cell>
          <cell r="B688" t="str">
            <v>admin1</v>
          </cell>
          <cell r="C688">
            <v>25332</v>
          </cell>
          <cell r="D688" t="str">
            <v>FCT (Abuja)</v>
          </cell>
          <cell r="E688" t="str">
            <v>NGA_25332</v>
          </cell>
        </row>
        <row r="689">
          <cell r="A689" t="str">
            <v>Gombe|NGA_25333</v>
          </cell>
          <cell r="B689" t="str">
            <v>admin1</v>
          </cell>
          <cell r="C689">
            <v>25333</v>
          </cell>
          <cell r="D689" t="str">
            <v>Gombe</v>
          </cell>
          <cell r="E689" t="str">
            <v>NGA_25333</v>
          </cell>
        </row>
        <row r="690">
          <cell r="A690" t="str">
            <v>Imo|NGA_25334</v>
          </cell>
          <cell r="B690" t="str">
            <v>admin1</v>
          </cell>
          <cell r="C690">
            <v>25334</v>
          </cell>
          <cell r="D690" t="str">
            <v>Imo</v>
          </cell>
          <cell r="E690" t="str">
            <v>NGA_25334</v>
          </cell>
        </row>
        <row r="691">
          <cell r="A691" t="str">
            <v>Jigawa|NGA_25335</v>
          </cell>
          <cell r="B691" t="str">
            <v>admin1</v>
          </cell>
          <cell r="C691">
            <v>25335</v>
          </cell>
          <cell r="D691" t="str">
            <v>Jigawa</v>
          </cell>
          <cell r="E691" t="str">
            <v>NGA_25335</v>
          </cell>
        </row>
        <row r="692">
          <cell r="A692" t="str">
            <v>Kaduna|NGA_25336</v>
          </cell>
          <cell r="B692" t="str">
            <v>admin1</v>
          </cell>
          <cell r="C692">
            <v>25336</v>
          </cell>
          <cell r="D692" t="str">
            <v>Kaduna</v>
          </cell>
          <cell r="E692" t="str">
            <v>NGA_25336</v>
          </cell>
        </row>
        <row r="693">
          <cell r="A693" t="str">
            <v>Kano|NGA_25337</v>
          </cell>
          <cell r="B693" t="str">
            <v>admin1</v>
          </cell>
          <cell r="C693">
            <v>25337</v>
          </cell>
          <cell r="D693" t="str">
            <v>Kano</v>
          </cell>
          <cell r="E693" t="str">
            <v>NGA_25337</v>
          </cell>
        </row>
        <row r="694">
          <cell r="A694" t="str">
            <v>Katsina|NGA_25338</v>
          </cell>
          <cell r="B694" t="str">
            <v>admin1</v>
          </cell>
          <cell r="C694">
            <v>25338</v>
          </cell>
          <cell r="D694" t="str">
            <v>Katsina</v>
          </cell>
          <cell r="E694" t="str">
            <v>NGA_25338</v>
          </cell>
        </row>
        <row r="695">
          <cell r="A695" t="str">
            <v>Kebbi|NGA_25339</v>
          </cell>
          <cell r="B695" t="str">
            <v>admin1</v>
          </cell>
          <cell r="C695">
            <v>25339</v>
          </cell>
          <cell r="D695" t="str">
            <v>Kebbi</v>
          </cell>
          <cell r="E695" t="str">
            <v>NGA_25339</v>
          </cell>
        </row>
        <row r="696">
          <cell r="A696" t="str">
            <v>Kogi|NGA_25340</v>
          </cell>
          <cell r="B696" t="str">
            <v>admin1</v>
          </cell>
          <cell r="C696">
            <v>25340</v>
          </cell>
          <cell r="D696" t="str">
            <v>Kogi</v>
          </cell>
          <cell r="E696" t="str">
            <v>NGA_25340</v>
          </cell>
        </row>
        <row r="697">
          <cell r="A697" t="str">
            <v>Kwara|NGA_25341</v>
          </cell>
          <cell r="B697" t="str">
            <v>admin1</v>
          </cell>
          <cell r="C697">
            <v>25341</v>
          </cell>
          <cell r="D697" t="str">
            <v>Kwara</v>
          </cell>
          <cell r="E697" t="str">
            <v>NGA_25341</v>
          </cell>
        </row>
        <row r="698">
          <cell r="A698" t="str">
            <v>Lagos|NGA_25342</v>
          </cell>
          <cell r="B698" t="str">
            <v>admin1</v>
          </cell>
          <cell r="C698">
            <v>25342</v>
          </cell>
          <cell r="D698" t="str">
            <v>Lagos</v>
          </cell>
          <cell r="E698" t="str">
            <v>NGA_25342</v>
          </cell>
        </row>
        <row r="699">
          <cell r="A699" t="str">
            <v>Nasarawa|NGA_25343</v>
          </cell>
          <cell r="B699" t="str">
            <v>admin1</v>
          </cell>
          <cell r="C699">
            <v>25343</v>
          </cell>
          <cell r="D699" t="str">
            <v>Nasarawa</v>
          </cell>
          <cell r="E699" t="str">
            <v>NGA_25343</v>
          </cell>
        </row>
        <row r="700">
          <cell r="A700" t="str">
            <v>Niger|NGA_25344</v>
          </cell>
          <cell r="B700" t="str">
            <v>admin1</v>
          </cell>
          <cell r="C700">
            <v>25344</v>
          </cell>
          <cell r="D700" t="str">
            <v>Niger</v>
          </cell>
          <cell r="E700" t="str">
            <v>NGA_25344</v>
          </cell>
        </row>
        <row r="701">
          <cell r="A701" t="str">
            <v>Ogun|NGA_25345</v>
          </cell>
          <cell r="B701" t="str">
            <v>admin1</v>
          </cell>
          <cell r="C701">
            <v>25345</v>
          </cell>
          <cell r="D701" t="str">
            <v>Ogun</v>
          </cell>
          <cell r="E701" t="str">
            <v>NGA_25345</v>
          </cell>
        </row>
        <row r="702">
          <cell r="A702" t="str">
            <v>Ondo|NGA_25346</v>
          </cell>
          <cell r="B702" t="str">
            <v>admin1</v>
          </cell>
          <cell r="C702">
            <v>25346</v>
          </cell>
          <cell r="D702" t="str">
            <v>Ondo</v>
          </cell>
          <cell r="E702" t="str">
            <v>NGA_25346</v>
          </cell>
        </row>
        <row r="703">
          <cell r="A703" t="str">
            <v>Osun|NGA_25347</v>
          </cell>
          <cell r="B703" t="str">
            <v>admin1</v>
          </cell>
          <cell r="C703">
            <v>25347</v>
          </cell>
          <cell r="D703" t="str">
            <v>Osun</v>
          </cell>
          <cell r="E703" t="str">
            <v>NGA_25347</v>
          </cell>
        </row>
        <row r="704">
          <cell r="A704" t="str">
            <v>Oyo|NGA_25348</v>
          </cell>
          <cell r="B704" t="str">
            <v>admin1</v>
          </cell>
          <cell r="C704">
            <v>25348</v>
          </cell>
          <cell r="D704" t="str">
            <v>Oyo</v>
          </cell>
          <cell r="E704" t="str">
            <v>NGA_25348</v>
          </cell>
        </row>
        <row r="705">
          <cell r="A705" t="str">
            <v>Plateau|NGA_25349</v>
          </cell>
          <cell r="B705" t="str">
            <v>admin1</v>
          </cell>
          <cell r="C705">
            <v>25349</v>
          </cell>
          <cell r="D705" t="str">
            <v>Plateau</v>
          </cell>
          <cell r="E705" t="str">
            <v>NGA_25349</v>
          </cell>
        </row>
        <row r="706">
          <cell r="A706" t="str">
            <v>Rivers|NGA_25350</v>
          </cell>
          <cell r="B706" t="str">
            <v>admin1</v>
          </cell>
          <cell r="C706">
            <v>25350</v>
          </cell>
          <cell r="D706" t="str">
            <v>Rivers</v>
          </cell>
          <cell r="E706" t="str">
            <v>NGA_25350</v>
          </cell>
        </row>
        <row r="707">
          <cell r="A707" t="str">
            <v>Sokoto|NGA_25351</v>
          </cell>
          <cell r="B707" t="str">
            <v>admin1</v>
          </cell>
          <cell r="C707">
            <v>25351</v>
          </cell>
          <cell r="D707" t="str">
            <v>Sokoto</v>
          </cell>
          <cell r="E707" t="str">
            <v>NGA_25351</v>
          </cell>
        </row>
        <row r="708">
          <cell r="A708" t="str">
            <v>Taraba|NGA_25352</v>
          </cell>
          <cell r="B708" t="str">
            <v>admin1</v>
          </cell>
          <cell r="C708">
            <v>25352</v>
          </cell>
          <cell r="D708" t="str">
            <v>Taraba</v>
          </cell>
          <cell r="E708" t="str">
            <v>NGA_25352</v>
          </cell>
        </row>
        <row r="709">
          <cell r="A709" t="str">
            <v>Yobe|NGA_25353</v>
          </cell>
          <cell r="B709" t="str">
            <v>admin1</v>
          </cell>
          <cell r="C709">
            <v>25353</v>
          </cell>
          <cell r="D709" t="str">
            <v>Yobe</v>
          </cell>
          <cell r="E709" t="str">
            <v>NGA_25353</v>
          </cell>
        </row>
        <row r="710">
          <cell r="A710" t="str">
            <v>Zamfara|NGA_25354</v>
          </cell>
          <cell r="B710" t="str">
            <v>admin1</v>
          </cell>
          <cell r="C710">
            <v>25354</v>
          </cell>
          <cell r="D710" t="str">
            <v>Zamfara</v>
          </cell>
          <cell r="E710" t="str">
            <v>NGA_25354</v>
          </cell>
        </row>
        <row r="711">
          <cell r="A711" t="str">
            <v>Nicaragua|NIC</v>
          </cell>
          <cell r="B711" t="str">
            <v>admin0</v>
          </cell>
          <cell r="C711">
            <v>131</v>
          </cell>
          <cell r="D711" t="str">
            <v>Nicaragua</v>
          </cell>
          <cell r="E711" t="str">
            <v>NIC</v>
          </cell>
        </row>
        <row r="712">
          <cell r="A712" t="str">
            <v>Niue|NIU</v>
          </cell>
          <cell r="B712" t="str">
            <v>nonsovereign</v>
          </cell>
          <cell r="C712">
            <v>374</v>
          </cell>
          <cell r="D712" t="str">
            <v>Niue</v>
          </cell>
          <cell r="E712" t="str">
            <v>NIU</v>
          </cell>
        </row>
        <row r="713">
          <cell r="A713" t="str">
            <v>Netherlands|NLD</v>
          </cell>
          <cell r="B713" t="str">
            <v>admin0</v>
          </cell>
          <cell r="C713">
            <v>89</v>
          </cell>
          <cell r="D713" t="str">
            <v>Netherlands</v>
          </cell>
          <cell r="E713" t="str">
            <v>NLD</v>
          </cell>
        </row>
        <row r="714">
          <cell r="A714" t="str">
            <v>Norway|NOR</v>
          </cell>
          <cell r="B714" t="str">
            <v>admin0</v>
          </cell>
          <cell r="C714">
            <v>90</v>
          </cell>
          <cell r="D714" t="str">
            <v>Norway</v>
          </cell>
          <cell r="E714" t="str">
            <v>NOR</v>
          </cell>
        </row>
        <row r="715">
          <cell r="A715" t="str">
            <v>Oslo|NOR_4910</v>
          </cell>
          <cell r="B715" t="str">
            <v>admin1</v>
          </cell>
          <cell r="C715">
            <v>4910</v>
          </cell>
          <cell r="D715" t="str">
            <v>Oslo</v>
          </cell>
          <cell r="E715" t="str">
            <v>NOR_4910</v>
          </cell>
        </row>
        <row r="716">
          <cell r="A716" t="str">
            <v>Akershus|NOR_4911</v>
          </cell>
          <cell r="B716" t="str">
            <v>admin1</v>
          </cell>
          <cell r="C716">
            <v>4911</v>
          </cell>
          <cell r="D716" t="str">
            <v>Akershus</v>
          </cell>
          <cell r="E716" t="str">
            <v>NOR_4911</v>
          </cell>
        </row>
        <row r="717">
          <cell r="A717" t="str">
            <v>Hedmark|NOR_4912</v>
          </cell>
          <cell r="B717" t="str">
            <v>admin1</v>
          </cell>
          <cell r="C717">
            <v>4912</v>
          </cell>
          <cell r="D717" t="str">
            <v>Hedmark</v>
          </cell>
          <cell r="E717" t="str">
            <v>NOR_4912</v>
          </cell>
        </row>
        <row r="718">
          <cell r="A718" t="str">
            <v>Oppland|NOR_4913</v>
          </cell>
          <cell r="B718" t="str">
            <v>admin1</v>
          </cell>
          <cell r="C718">
            <v>4913</v>
          </cell>
          <cell r="D718" t="str">
            <v>Oppland</v>
          </cell>
          <cell r="E718" t="str">
            <v>NOR_4913</v>
          </cell>
        </row>
        <row r="719">
          <cell r="A719" t="str">
            <v>Østfold|NOR_4914</v>
          </cell>
          <cell r="B719" t="str">
            <v>admin1</v>
          </cell>
          <cell r="C719">
            <v>4914</v>
          </cell>
          <cell r="D719" t="str">
            <v>Østfold</v>
          </cell>
          <cell r="E719" t="str">
            <v>NOR_4914</v>
          </cell>
        </row>
        <row r="720">
          <cell r="A720" t="str">
            <v>Buskerud|NOR_4915</v>
          </cell>
          <cell r="B720" t="str">
            <v>admin1</v>
          </cell>
          <cell r="C720">
            <v>4915</v>
          </cell>
          <cell r="D720" t="str">
            <v>Buskerud</v>
          </cell>
          <cell r="E720" t="str">
            <v>NOR_4915</v>
          </cell>
        </row>
        <row r="721">
          <cell r="A721" t="str">
            <v>Vestfold|NOR_4916</v>
          </cell>
          <cell r="B721" t="str">
            <v>admin1</v>
          </cell>
          <cell r="C721">
            <v>4916</v>
          </cell>
          <cell r="D721" t="str">
            <v>Vestfold</v>
          </cell>
          <cell r="E721" t="str">
            <v>NOR_4916</v>
          </cell>
        </row>
        <row r="722">
          <cell r="A722" t="str">
            <v>Telemark|NOR_4917</v>
          </cell>
          <cell r="B722" t="str">
            <v>admin1</v>
          </cell>
          <cell r="C722">
            <v>4917</v>
          </cell>
          <cell r="D722" t="str">
            <v>Telemark</v>
          </cell>
          <cell r="E722" t="str">
            <v>NOR_4917</v>
          </cell>
        </row>
        <row r="723">
          <cell r="A723" t="str">
            <v>Aust-Agder|NOR_4918</v>
          </cell>
          <cell r="B723" t="str">
            <v>admin1</v>
          </cell>
          <cell r="C723">
            <v>4918</v>
          </cell>
          <cell r="D723" t="str">
            <v>Aust-Agder</v>
          </cell>
          <cell r="E723" t="str">
            <v>NOR_4918</v>
          </cell>
        </row>
        <row r="724">
          <cell r="A724" t="str">
            <v>Vest-Agder|NOR_4919</v>
          </cell>
          <cell r="B724" t="str">
            <v>admin1</v>
          </cell>
          <cell r="C724">
            <v>4919</v>
          </cell>
          <cell r="D724" t="str">
            <v>Vest-Agder</v>
          </cell>
          <cell r="E724" t="str">
            <v>NOR_4919</v>
          </cell>
        </row>
        <row r="725">
          <cell r="A725" t="str">
            <v>Rogaland|NOR_4920</v>
          </cell>
          <cell r="B725" t="str">
            <v>admin1</v>
          </cell>
          <cell r="C725">
            <v>4920</v>
          </cell>
          <cell r="D725" t="str">
            <v>Rogaland</v>
          </cell>
          <cell r="E725" t="str">
            <v>NOR_4920</v>
          </cell>
        </row>
        <row r="726">
          <cell r="A726" t="str">
            <v>Hordaland|NOR_4921</v>
          </cell>
          <cell r="B726" t="str">
            <v>admin1</v>
          </cell>
          <cell r="C726">
            <v>4921</v>
          </cell>
          <cell r="D726" t="str">
            <v>Hordaland</v>
          </cell>
          <cell r="E726" t="str">
            <v>NOR_4921</v>
          </cell>
        </row>
        <row r="727">
          <cell r="A727" t="str">
            <v>Sogn og Fjordane|NOR_4922</v>
          </cell>
          <cell r="B727" t="str">
            <v>admin1</v>
          </cell>
          <cell r="C727">
            <v>4922</v>
          </cell>
          <cell r="D727" t="str">
            <v>Sogn og Fjordane</v>
          </cell>
          <cell r="E727" t="str">
            <v>NOR_4922</v>
          </cell>
        </row>
        <row r="728">
          <cell r="A728" t="str">
            <v>Møre og Romsdal|NOR_4923</v>
          </cell>
          <cell r="B728" t="str">
            <v>admin1</v>
          </cell>
          <cell r="C728">
            <v>4923</v>
          </cell>
          <cell r="D728" t="str">
            <v>Møre og Romsdal</v>
          </cell>
          <cell r="E728" t="str">
            <v>NOR_4923</v>
          </cell>
        </row>
        <row r="729">
          <cell r="A729" t="str">
            <v>Nordland|NOR_4926</v>
          </cell>
          <cell r="B729" t="str">
            <v>admin1</v>
          </cell>
          <cell r="C729">
            <v>4926</v>
          </cell>
          <cell r="D729" t="str">
            <v>Nordland</v>
          </cell>
          <cell r="E729" t="str">
            <v>NOR_4926</v>
          </cell>
        </row>
        <row r="730">
          <cell r="A730" t="str">
            <v>Troms|NOR_4927</v>
          </cell>
          <cell r="B730" t="str">
            <v>admin1</v>
          </cell>
          <cell r="C730">
            <v>4927</v>
          </cell>
          <cell r="D730" t="str">
            <v>Troms</v>
          </cell>
          <cell r="E730" t="str">
            <v>NOR_4927</v>
          </cell>
        </row>
        <row r="731">
          <cell r="A731" t="str">
            <v>Finnmark|NOR_4928</v>
          </cell>
          <cell r="B731" t="str">
            <v>admin1</v>
          </cell>
          <cell r="C731">
            <v>4928</v>
          </cell>
          <cell r="D731" t="str">
            <v>Finnmark</v>
          </cell>
          <cell r="E731" t="str">
            <v>NOR_4928</v>
          </cell>
        </row>
        <row r="732">
          <cell r="A732" t="str">
            <v>Trøndelag|NOR_53432</v>
          </cell>
          <cell r="B732" t="str">
            <v>admin1</v>
          </cell>
          <cell r="C732">
            <v>53432</v>
          </cell>
          <cell r="D732" t="str">
            <v>Trøndelag</v>
          </cell>
          <cell r="E732" t="str">
            <v>NOR_53432</v>
          </cell>
        </row>
        <row r="733">
          <cell r="A733" t="str">
            <v>Nepal|NPL</v>
          </cell>
          <cell r="B733" t="str">
            <v>admin0</v>
          </cell>
          <cell r="C733">
            <v>164</v>
          </cell>
          <cell r="D733" t="str">
            <v>Nepal</v>
          </cell>
          <cell r="E733" t="str">
            <v>NPL</v>
          </cell>
        </row>
        <row r="734">
          <cell r="A734" t="str">
            <v>Nauru|NRU</v>
          </cell>
          <cell r="B734" t="str">
            <v>admin0</v>
          </cell>
          <cell r="C734">
            <v>369</v>
          </cell>
          <cell r="D734" t="str">
            <v>Nauru</v>
          </cell>
          <cell r="E734" t="str">
            <v>NRU</v>
          </cell>
        </row>
        <row r="735">
          <cell r="A735" t="str">
            <v>New Zealand|NZL</v>
          </cell>
          <cell r="B735" t="str">
            <v>admin0</v>
          </cell>
          <cell r="C735">
            <v>72</v>
          </cell>
          <cell r="D735" t="str">
            <v>New Zealand</v>
          </cell>
          <cell r="E735" t="str">
            <v>NZL</v>
          </cell>
        </row>
        <row r="736">
          <cell r="A736" t="str">
            <v>New Zealand Maori population|NZL_44850</v>
          </cell>
          <cell r="B736" t="str">
            <v>ethnicity</v>
          </cell>
          <cell r="C736">
            <v>44850</v>
          </cell>
          <cell r="D736" t="str">
            <v>New Zealand Maori population</v>
          </cell>
          <cell r="E736" t="str">
            <v>NZL_44850</v>
          </cell>
        </row>
        <row r="737">
          <cell r="A737" t="str">
            <v>New Zealand non-Maori population|NZL_44851</v>
          </cell>
          <cell r="B737" t="str">
            <v>ethnicity</v>
          </cell>
          <cell r="C737">
            <v>44851</v>
          </cell>
          <cell r="D737" t="str">
            <v>New Zealand non-Maori population</v>
          </cell>
          <cell r="E737" t="str">
            <v>NZL_44851</v>
          </cell>
        </row>
        <row r="738">
          <cell r="A738" t="str">
            <v>Oman|OMN</v>
          </cell>
          <cell r="B738" t="str">
            <v>admin0</v>
          </cell>
          <cell r="C738">
            <v>150</v>
          </cell>
          <cell r="D738" t="str">
            <v>Oman</v>
          </cell>
          <cell r="E738" t="str">
            <v>OMN</v>
          </cell>
        </row>
        <row r="739">
          <cell r="A739" t="str">
            <v>Pakistan|PAK</v>
          </cell>
          <cell r="B739" t="str">
            <v>admin0</v>
          </cell>
          <cell r="C739">
            <v>165</v>
          </cell>
          <cell r="D739" t="str">
            <v>Pakistan</v>
          </cell>
          <cell r="E739" t="str">
            <v>PAK</v>
          </cell>
        </row>
        <row r="740">
          <cell r="A740" t="str">
            <v>Azad Jammu &amp; Kashmir|PAK_53615</v>
          </cell>
          <cell r="B740" t="str">
            <v>admin1</v>
          </cell>
          <cell r="C740">
            <v>53615</v>
          </cell>
          <cell r="D740" t="str">
            <v>Azad Jammu &amp; Kashmir</v>
          </cell>
          <cell r="E740" t="str">
            <v>PAK_53615</v>
          </cell>
        </row>
        <row r="741">
          <cell r="A741" t="str">
            <v>Balochistan|PAK_53616</v>
          </cell>
          <cell r="B741" t="str">
            <v>admin1</v>
          </cell>
          <cell r="C741">
            <v>53616</v>
          </cell>
          <cell r="D741" t="str">
            <v>Balochistan</v>
          </cell>
          <cell r="E741" t="str">
            <v>PAK_53616</v>
          </cell>
        </row>
        <row r="742">
          <cell r="A742" t="str">
            <v>Gilgit-Baltistan|PAK_53617</v>
          </cell>
          <cell r="B742" t="str">
            <v>admin1</v>
          </cell>
          <cell r="C742">
            <v>53617</v>
          </cell>
          <cell r="D742" t="str">
            <v>Gilgit-Baltistan</v>
          </cell>
          <cell r="E742" t="str">
            <v>PAK_53617</v>
          </cell>
        </row>
        <row r="743">
          <cell r="A743" t="str">
            <v>Islamabad Capital Territory|PAK_53618</v>
          </cell>
          <cell r="B743" t="str">
            <v>admin1</v>
          </cell>
          <cell r="C743">
            <v>53618</v>
          </cell>
          <cell r="D743" t="str">
            <v>Islamabad Capital Territory</v>
          </cell>
          <cell r="E743" t="str">
            <v>PAK_53618</v>
          </cell>
        </row>
        <row r="744">
          <cell r="A744" t="str">
            <v>Khyber Pakhtunkhwa|PAK_53619</v>
          </cell>
          <cell r="B744" t="str">
            <v>admin1</v>
          </cell>
          <cell r="C744">
            <v>53619</v>
          </cell>
          <cell r="D744" t="str">
            <v>Khyber Pakhtunkhwa</v>
          </cell>
          <cell r="E744" t="str">
            <v>PAK_53619</v>
          </cell>
        </row>
        <row r="745">
          <cell r="A745" t="str">
            <v>Punjab|PAK_53620</v>
          </cell>
          <cell r="B745" t="str">
            <v>admin1</v>
          </cell>
          <cell r="C745">
            <v>53620</v>
          </cell>
          <cell r="D745" t="str">
            <v>Punjab</v>
          </cell>
          <cell r="E745" t="str">
            <v>PAK_53620</v>
          </cell>
        </row>
        <row r="746">
          <cell r="A746" t="str">
            <v>Sindh|PAK_53621</v>
          </cell>
          <cell r="B746" t="str">
            <v>admin1</v>
          </cell>
          <cell r="C746">
            <v>53621</v>
          </cell>
          <cell r="D746" t="str">
            <v>Sindh</v>
          </cell>
          <cell r="E746" t="str">
            <v>PAK_53621</v>
          </cell>
        </row>
        <row r="747">
          <cell r="A747" t="str">
            <v>Panama|PAN</v>
          </cell>
          <cell r="B747" t="str">
            <v>admin0</v>
          </cell>
          <cell r="C747">
            <v>132</v>
          </cell>
          <cell r="D747" t="str">
            <v>Panama</v>
          </cell>
          <cell r="E747" t="str">
            <v>PAN</v>
          </cell>
        </row>
        <row r="748">
          <cell r="A748" t="str">
            <v>Peru|PER</v>
          </cell>
          <cell r="B748" t="str">
            <v>admin0</v>
          </cell>
          <cell r="C748">
            <v>123</v>
          </cell>
          <cell r="D748" t="str">
            <v>Peru</v>
          </cell>
          <cell r="E748" t="str">
            <v>PER</v>
          </cell>
        </row>
        <row r="749">
          <cell r="A749" t="str">
            <v>Philippines|PHL</v>
          </cell>
          <cell r="B749" t="str">
            <v>admin0</v>
          </cell>
          <cell r="C749">
            <v>16</v>
          </cell>
          <cell r="D749" t="str">
            <v>Philippines</v>
          </cell>
          <cell r="E749" t="str">
            <v>PHL</v>
          </cell>
        </row>
        <row r="750">
          <cell r="A750" t="str">
            <v>Mountain Province|PHL_53533</v>
          </cell>
          <cell r="B750" t="str">
            <v>admin1</v>
          </cell>
          <cell r="C750">
            <v>53533</v>
          </cell>
          <cell r="D750" t="str">
            <v>Mountain Province</v>
          </cell>
          <cell r="E750" t="str">
            <v>PHL_53533</v>
          </cell>
        </row>
        <row r="751">
          <cell r="A751" t="str">
            <v>Ifugao|PHL_53534</v>
          </cell>
          <cell r="B751" t="str">
            <v>admin1</v>
          </cell>
          <cell r="C751">
            <v>53534</v>
          </cell>
          <cell r="D751" t="str">
            <v>Ifugao</v>
          </cell>
          <cell r="E751" t="str">
            <v>PHL_53534</v>
          </cell>
        </row>
        <row r="752">
          <cell r="A752" t="str">
            <v>Benguet|PHL_53535</v>
          </cell>
          <cell r="B752" t="str">
            <v>admin1</v>
          </cell>
          <cell r="C752">
            <v>53535</v>
          </cell>
          <cell r="D752" t="str">
            <v>Benguet</v>
          </cell>
          <cell r="E752" t="str">
            <v>PHL_53535</v>
          </cell>
        </row>
        <row r="753">
          <cell r="A753" t="str">
            <v>Abra|PHL_53536</v>
          </cell>
          <cell r="B753" t="str">
            <v>admin1</v>
          </cell>
          <cell r="C753">
            <v>53536</v>
          </cell>
          <cell r="D753" t="str">
            <v>Abra</v>
          </cell>
          <cell r="E753" t="str">
            <v>PHL_53536</v>
          </cell>
        </row>
        <row r="754">
          <cell r="A754" t="str">
            <v>Apayao|PHL_53537</v>
          </cell>
          <cell r="B754" t="str">
            <v>admin1</v>
          </cell>
          <cell r="C754">
            <v>53537</v>
          </cell>
          <cell r="D754" t="str">
            <v>Apayao</v>
          </cell>
          <cell r="E754" t="str">
            <v>PHL_53537</v>
          </cell>
        </row>
        <row r="755">
          <cell r="A755" t="str">
            <v>Kalinga|PHL_53538</v>
          </cell>
          <cell r="B755" t="str">
            <v>admin1</v>
          </cell>
          <cell r="C755">
            <v>53538</v>
          </cell>
          <cell r="D755" t="str">
            <v>Kalinga</v>
          </cell>
          <cell r="E755" t="str">
            <v>PHL_53538</v>
          </cell>
        </row>
        <row r="756">
          <cell r="A756" t="str">
            <v>La Union|PHL_53539</v>
          </cell>
          <cell r="B756" t="str">
            <v>admin1</v>
          </cell>
          <cell r="C756">
            <v>53539</v>
          </cell>
          <cell r="D756" t="str">
            <v>La Union</v>
          </cell>
          <cell r="E756" t="str">
            <v>PHL_53539</v>
          </cell>
        </row>
        <row r="757">
          <cell r="A757" t="str">
            <v>Ilocos Norte|PHL_53540</v>
          </cell>
          <cell r="B757" t="str">
            <v>admin1</v>
          </cell>
          <cell r="C757">
            <v>53540</v>
          </cell>
          <cell r="D757" t="str">
            <v>Ilocos Norte</v>
          </cell>
          <cell r="E757" t="str">
            <v>PHL_53540</v>
          </cell>
        </row>
        <row r="758">
          <cell r="A758" t="str">
            <v>Ilocos Sur|PHL_53541</v>
          </cell>
          <cell r="B758" t="str">
            <v>admin1</v>
          </cell>
          <cell r="C758">
            <v>53541</v>
          </cell>
          <cell r="D758" t="str">
            <v>Ilocos Sur</v>
          </cell>
          <cell r="E758" t="str">
            <v>PHL_53541</v>
          </cell>
        </row>
        <row r="759">
          <cell r="A759" t="str">
            <v>Pangasinan|PHL_53542</v>
          </cell>
          <cell r="B759" t="str">
            <v>admin1</v>
          </cell>
          <cell r="C759">
            <v>53542</v>
          </cell>
          <cell r="D759" t="str">
            <v>Pangasinan</v>
          </cell>
          <cell r="E759" t="str">
            <v>PHL_53542</v>
          </cell>
        </row>
        <row r="760">
          <cell r="A760" t="str">
            <v>Nueva Vizcaya|PHL_53543</v>
          </cell>
          <cell r="B760" t="str">
            <v>admin1</v>
          </cell>
          <cell r="C760">
            <v>53543</v>
          </cell>
          <cell r="D760" t="str">
            <v>Nueva Vizcaya</v>
          </cell>
          <cell r="E760" t="str">
            <v>PHL_53543</v>
          </cell>
        </row>
        <row r="761">
          <cell r="A761" t="str">
            <v>Cagayan|PHL_53544</v>
          </cell>
          <cell r="B761" t="str">
            <v>admin1</v>
          </cell>
          <cell r="C761">
            <v>53544</v>
          </cell>
          <cell r="D761" t="str">
            <v>Cagayan</v>
          </cell>
          <cell r="E761" t="str">
            <v>PHL_53544</v>
          </cell>
        </row>
        <row r="762">
          <cell r="A762" t="str">
            <v>Isabela|PHL_53545</v>
          </cell>
          <cell r="B762" t="str">
            <v>admin1</v>
          </cell>
          <cell r="C762">
            <v>53545</v>
          </cell>
          <cell r="D762" t="str">
            <v>Isabela</v>
          </cell>
          <cell r="E762" t="str">
            <v>PHL_53545</v>
          </cell>
        </row>
        <row r="763">
          <cell r="A763" t="str">
            <v>Quirino|PHL_53546</v>
          </cell>
          <cell r="B763" t="str">
            <v>admin1</v>
          </cell>
          <cell r="C763">
            <v>53546</v>
          </cell>
          <cell r="D763" t="str">
            <v>Quirino</v>
          </cell>
          <cell r="E763" t="str">
            <v>PHL_53546</v>
          </cell>
        </row>
        <row r="764">
          <cell r="A764" t="str">
            <v>Batanes|PHL_53547</v>
          </cell>
          <cell r="B764" t="str">
            <v>admin1</v>
          </cell>
          <cell r="C764">
            <v>53547</v>
          </cell>
          <cell r="D764" t="str">
            <v>Batanes</v>
          </cell>
          <cell r="E764" t="str">
            <v>PHL_53547</v>
          </cell>
        </row>
        <row r="765">
          <cell r="A765" t="str">
            <v>Bataan|PHL_53548</v>
          </cell>
          <cell r="B765" t="str">
            <v>admin1</v>
          </cell>
          <cell r="C765">
            <v>53548</v>
          </cell>
          <cell r="D765" t="str">
            <v>Bataan</v>
          </cell>
          <cell r="E765" t="str">
            <v>PHL_53548</v>
          </cell>
        </row>
        <row r="766">
          <cell r="A766" t="str">
            <v>Zambales|PHL_53549</v>
          </cell>
          <cell r="B766" t="str">
            <v>admin1</v>
          </cell>
          <cell r="C766">
            <v>53549</v>
          </cell>
          <cell r="D766" t="str">
            <v>Zambales</v>
          </cell>
          <cell r="E766" t="str">
            <v>PHL_53549</v>
          </cell>
        </row>
        <row r="767">
          <cell r="A767" t="str">
            <v>Tarlac|PHL_53550</v>
          </cell>
          <cell r="B767" t="str">
            <v>admin1</v>
          </cell>
          <cell r="C767">
            <v>53550</v>
          </cell>
          <cell r="D767" t="str">
            <v>Tarlac</v>
          </cell>
          <cell r="E767" t="str">
            <v>PHL_53550</v>
          </cell>
        </row>
        <row r="768">
          <cell r="A768" t="str">
            <v>Pampanga|PHL_53551</v>
          </cell>
          <cell r="B768" t="str">
            <v>admin1</v>
          </cell>
          <cell r="C768">
            <v>53551</v>
          </cell>
          <cell r="D768" t="str">
            <v>Pampanga</v>
          </cell>
          <cell r="E768" t="str">
            <v>PHL_53551</v>
          </cell>
        </row>
        <row r="769">
          <cell r="A769" t="str">
            <v>Bulacan|PHL_53552</v>
          </cell>
          <cell r="B769" t="str">
            <v>admin1</v>
          </cell>
          <cell r="C769">
            <v>53552</v>
          </cell>
          <cell r="D769" t="str">
            <v>Bulacan</v>
          </cell>
          <cell r="E769" t="str">
            <v>PHL_53552</v>
          </cell>
        </row>
        <row r="770">
          <cell r="A770" t="str">
            <v>Nueva Ecija|PHL_53553</v>
          </cell>
          <cell r="B770" t="str">
            <v>admin1</v>
          </cell>
          <cell r="C770">
            <v>53553</v>
          </cell>
          <cell r="D770" t="str">
            <v>Nueva Ecija</v>
          </cell>
          <cell r="E770" t="str">
            <v>PHL_53553</v>
          </cell>
        </row>
        <row r="771">
          <cell r="A771" t="str">
            <v>Aurora|PHL_53554</v>
          </cell>
          <cell r="B771" t="str">
            <v>admin1</v>
          </cell>
          <cell r="C771">
            <v>53554</v>
          </cell>
          <cell r="D771" t="str">
            <v>Aurora</v>
          </cell>
          <cell r="E771" t="str">
            <v>PHL_53554</v>
          </cell>
        </row>
        <row r="772">
          <cell r="A772" t="str">
            <v>Rizal|PHL_53555</v>
          </cell>
          <cell r="B772" t="str">
            <v>admin1</v>
          </cell>
          <cell r="C772">
            <v>53555</v>
          </cell>
          <cell r="D772" t="str">
            <v>Rizal</v>
          </cell>
          <cell r="E772" t="str">
            <v>PHL_53555</v>
          </cell>
        </row>
        <row r="773">
          <cell r="A773" t="str">
            <v>Cavite|PHL_53556</v>
          </cell>
          <cell r="B773" t="str">
            <v>admin1</v>
          </cell>
          <cell r="C773">
            <v>53556</v>
          </cell>
          <cell r="D773" t="str">
            <v>Cavite</v>
          </cell>
          <cell r="E773" t="str">
            <v>PHL_53556</v>
          </cell>
        </row>
        <row r="774">
          <cell r="A774" t="str">
            <v>Laguna|PHL_53557</v>
          </cell>
          <cell r="B774" t="str">
            <v>admin1</v>
          </cell>
          <cell r="C774">
            <v>53557</v>
          </cell>
          <cell r="D774" t="str">
            <v>Laguna</v>
          </cell>
          <cell r="E774" t="str">
            <v>PHL_53557</v>
          </cell>
        </row>
        <row r="775">
          <cell r="A775" t="str">
            <v>Batangas|PHL_53558</v>
          </cell>
          <cell r="B775" t="str">
            <v>admin1</v>
          </cell>
          <cell r="C775">
            <v>53558</v>
          </cell>
          <cell r="D775" t="str">
            <v>Batangas</v>
          </cell>
          <cell r="E775" t="str">
            <v>PHL_53558</v>
          </cell>
        </row>
        <row r="776">
          <cell r="A776" t="str">
            <v>Quezon|PHL_53559</v>
          </cell>
          <cell r="B776" t="str">
            <v>admin1</v>
          </cell>
          <cell r="C776">
            <v>53559</v>
          </cell>
          <cell r="D776" t="str">
            <v>Quezon</v>
          </cell>
          <cell r="E776" t="str">
            <v>PHL_53559</v>
          </cell>
        </row>
        <row r="777">
          <cell r="A777" t="str">
            <v>Occidental Mindoro|PHL_53560</v>
          </cell>
          <cell r="B777" t="str">
            <v>admin1</v>
          </cell>
          <cell r="C777">
            <v>53560</v>
          </cell>
          <cell r="D777" t="str">
            <v>Occidental Mindoro</v>
          </cell>
          <cell r="E777" t="str">
            <v>PHL_53560</v>
          </cell>
        </row>
        <row r="778">
          <cell r="A778" t="str">
            <v>Oriental Mindoro|PHL_53561</v>
          </cell>
          <cell r="B778" t="str">
            <v>admin1</v>
          </cell>
          <cell r="C778">
            <v>53561</v>
          </cell>
          <cell r="D778" t="str">
            <v>Oriental Mindoro</v>
          </cell>
          <cell r="E778" t="str">
            <v>PHL_53561</v>
          </cell>
        </row>
        <row r="779">
          <cell r="A779" t="str">
            <v>Romblon|PHL_53562</v>
          </cell>
          <cell r="B779" t="str">
            <v>admin1</v>
          </cell>
          <cell r="C779">
            <v>53562</v>
          </cell>
          <cell r="D779" t="str">
            <v>Romblon</v>
          </cell>
          <cell r="E779" t="str">
            <v>PHL_53562</v>
          </cell>
        </row>
        <row r="780">
          <cell r="A780" t="str">
            <v>Palawan|PHL_53563</v>
          </cell>
          <cell r="B780" t="str">
            <v>admin1</v>
          </cell>
          <cell r="C780">
            <v>53563</v>
          </cell>
          <cell r="D780" t="str">
            <v>Palawan</v>
          </cell>
          <cell r="E780" t="str">
            <v>PHL_53563</v>
          </cell>
        </row>
        <row r="781">
          <cell r="A781" t="str">
            <v>Marinduque|PHL_53564</v>
          </cell>
          <cell r="B781" t="str">
            <v>admin1</v>
          </cell>
          <cell r="C781">
            <v>53564</v>
          </cell>
          <cell r="D781" t="str">
            <v>Marinduque</v>
          </cell>
          <cell r="E781" t="str">
            <v>PHL_53564</v>
          </cell>
        </row>
        <row r="782">
          <cell r="A782" t="str">
            <v>Catanduanes|PHL_53565</v>
          </cell>
          <cell r="B782" t="str">
            <v>admin1</v>
          </cell>
          <cell r="C782">
            <v>53565</v>
          </cell>
          <cell r="D782" t="str">
            <v>Catanduanes</v>
          </cell>
          <cell r="E782" t="str">
            <v>PHL_53565</v>
          </cell>
        </row>
        <row r="783">
          <cell r="A783" t="str">
            <v>Camarines Norte|PHL_53566</v>
          </cell>
          <cell r="B783" t="str">
            <v>admin1</v>
          </cell>
          <cell r="C783">
            <v>53566</v>
          </cell>
          <cell r="D783" t="str">
            <v>Camarines Norte</v>
          </cell>
          <cell r="E783" t="str">
            <v>PHL_53566</v>
          </cell>
        </row>
        <row r="784">
          <cell r="A784" t="str">
            <v>Sorsogon|PHL_53567</v>
          </cell>
          <cell r="B784" t="str">
            <v>admin1</v>
          </cell>
          <cell r="C784">
            <v>53567</v>
          </cell>
          <cell r="D784" t="str">
            <v>Sorsogon</v>
          </cell>
          <cell r="E784" t="str">
            <v>PHL_53567</v>
          </cell>
        </row>
        <row r="785">
          <cell r="A785" t="str">
            <v>Albay|PHL_53568</v>
          </cell>
          <cell r="B785" t="str">
            <v>admin1</v>
          </cell>
          <cell r="C785">
            <v>53568</v>
          </cell>
          <cell r="D785" t="str">
            <v>Albay</v>
          </cell>
          <cell r="E785" t="str">
            <v>PHL_53568</v>
          </cell>
        </row>
        <row r="786">
          <cell r="A786" t="str">
            <v>Masbate|PHL_53569</v>
          </cell>
          <cell r="B786" t="str">
            <v>admin1</v>
          </cell>
          <cell r="C786">
            <v>53569</v>
          </cell>
          <cell r="D786" t="str">
            <v>Masbate</v>
          </cell>
          <cell r="E786" t="str">
            <v>PHL_53569</v>
          </cell>
        </row>
        <row r="787">
          <cell r="A787" t="str">
            <v>Camarines Sur|PHL_53570</v>
          </cell>
          <cell r="B787" t="str">
            <v>admin1</v>
          </cell>
          <cell r="C787">
            <v>53570</v>
          </cell>
          <cell r="D787" t="str">
            <v>Camarines Sur</v>
          </cell>
          <cell r="E787" t="str">
            <v>PHL_53570</v>
          </cell>
        </row>
        <row r="788">
          <cell r="A788" t="str">
            <v>Capiz|PHL_53571</v>
          </cell>
          <cell r="B788" t="str">
            <v>admin1</v>
          </cell>
          <cell r="C788">
            <v>53571</v>
          </cell>
          <cell r="D788" t="str">
            <v>Capiz</v>
          </cell>
          <cell r="E788" t="str">
            <v>PHL_53571</v>
          </cell>
        </row>
        <row r="789">
          <cell r="A789" t="str">
            <v>Aklan|PHL_53572</v>
          </cell>
          <cell r="B789" t="str">
            <v>admin1</v>
          </cell>
          <cell r="C789">
            <v>53572</v>
          </cell>
          <cell r="D789" t="str">
            <v>Aklan</v>
          </cell>
          <cell r="E789" t="str">
            <v>PHL_53572</v>
          </cell>
        </row>
        <row r="790">
          <cell r="A790" t="str">
            <v>Antique|PHL_53573</v>
          </cell>
          <cell r="B790" t="str">
            <v>admin1</v>
          </cell>
          <cell r="C790">
            <v>53573</v>
          </cell>
          <cell r="D790" t="str">
            <v>Antique</v>
          </cell>
          <cell r="E790" t="str">
            <v>PHL_53573</v>
          </cell>
        </row>
        <row r="791">
          <cell r="A791" t="str">
            <v>Negros Occidental|PHL_53574</v>
          </cell>
          <cell r="B791" t="str">
            <v>admin1</v>
          </cell>
          <cell r="C791">
            <v>53574</v>
          </cell>
          <cell r="D791" t="str">
            <v>Negros Occidental</v>
          </cell>
          <cell r="E791" t="str">
            <v>PHL_53574</v>
          </cell>
        </row>
        <row r="792">
          <cell r="A792" t="str">
            <v>Iloilo|PHL_53575</v>
          </cell>
          <cell r="B792" t="str">
            <v>admin1</v>
          </cell>
          <cell r="C792">
            <v>53575</v>
          </cell>
          <cell r="D792" t="str">
            <v>Iloilo</v>
          </cell>
          <cell r="E792" t="str">
            <v>PHL_53575</v>
          </cell>
        </row>
        <row r="793">
          <cell r="A793" t="str">
            <v>Guimaras|PHL_53576</v>
          </cell>
          <cell r="B793" t="str">
            <v>admin1</v>
          </cell>
          <cell r="C793">
            <v>53576</v>
          </cell>
          <cell r="D793" t="str">
            <v>Guimaras</v>
          </cell>
          <cell r="E793" t="str">
            <v>PHL_53576</v>
          </cell>
        </row>
        <row r="794">
          <cell r="A794" t="str">
            <v>Negros Oriental|PHL_53577</v>
          </cell>
          <cell r="B794" t="str">
            <v>admin1</v>
          </cell>
          <cell r="C794">
            <v>53577</v>
          </cell>
          <cell r="D794" t="str">
            <v>Negros Oriental</v>
          </cell>
          <cell r="E794" t="str">
            <v>PHL_53577</v>
          </cell>
        </row>
        <row r="795">
          <cell r="A795" t="str">
            <v>Cebu|PHL_53578</v>
          </cell>
          <cell r="B795" t="str">
            <v>admin1</v>
          </cell>
          <cell r="C795">
            <v>53578</v>
          </cell>
          <cell r="D795" t="str">
            <v>Cebu</v>
          </cell>
          <cell r="E795" t="str">
            <v>PHL_53578</v>
          </cell>
        </row>
        <row r="796">
          <cell r="A796" t="str">
            <v>Bohol|PHL_53579</v>
          </cell>
          <cell r="B796" t="str">
            <v>admin1</v>
          </cell>
          <cell r="C796">
            <v>53579</v>
          </cell>
          <cell r="D796" t="str">
            <v>Bohol</v>
          </cell>
          <cell r="E796" t="str">
            <v>PHL_53579</v>
          </cell>
        </row>
        <row r="797">
          <cell r="A797" t="str">
            <v>Siquijor|PHL_53580</v>
          </cell>
          <cell r="B797" t="str">
            <v>admin1</v>
          </cell>
          <cell r="C797">
            <v>53580</v>
          </cell>
          <cell r="D797" t="str">
            <v>Siquijor</v>
          </cell>
          <cell r="E797" t="str">
            <v>PHL_53580</v>
          </cell>
        </row>
        <row r="798">
          <cell r="A798" t="str">
            <v>Southern Leyte|PHL_53581</v>
          </cell>
          <cell r="B798" t="str">
            <v>admin1</v>
          </cell>
          <cell r="C798">
            <v>53581</v>
          </cell>
          <cell r="D798" t="str">
            <v>Southern Leyte</v>
          </cell>
          <cell r="E798" t="str">
            <v>PHL_53581</v>
          </cell>
        </row>
        <row r="799">
          <cell r="A799" t="str">
            <v>Eastern Samar|PHL_53582</v>
          </cell>
          <cell r="B799" t="str">
            <v>admin1</v>
          </cell>
          <cell r="C799">
            <v>53582</v>
          </cell>
          <cell r="D799" t="str">
            <v>Eastern Samar</v>
          </cell>
          <cell r="E799" t="str">
            <v>PHL_53582</v>
          </cell>
        </row>
        <row r="800">
          <cell r="A800" t="str">
            <v>Northern Samar|PHL_53583</v>
          </cell>
          <cell r="B800" t="str">
            <v>admin1</v>
          </cell>
          <cell r="C800">
            <v>53583</v>
          </cell>
          <cell r="D800" t="str">
            <v>Northern Samar</v>
          </cell>
          <cell r="E800" t="str">
            <v>PHL_53583</v>
          </cell>
        </row>
        <row r="801">
          <cell r="A801" t="str">
            <v>Samar (Western Samar)|PHL_53584</v>
          </cell>
          <cell r="B801" t="str">
            <v>admin1</v>
          </cell>
          <cell r="C801">
            <v>53584</v>
          </cell>
          <cell r="D801" t="str">
            <v>Samar (Western Samar)</v>
          </cell>
          <cell r="E801" t="str">
            <v>PHL_53584</v>
          </cell>
        </row>
        <row r="802">
          <cell r="A802" t="str">
            <v>Leyte|PHL_53585</v>
          </cell>
          <cell r="B802" t="str">
            <v>admin1</v>
          </cell>
          <cell r="C802">
            <v>53585</v>
          </cell>
          <cell r="D802" t="str">
            <v>Leyte</v>
          </cell>
          <cell r="E802" t="str">
            <v>PHL_53585</v>
          </cell>
        </row>
        <row r="803">
          <cell r="A803" t="str">
            <v>Biliran|PHL_53586</v>
          </cell>
          <cell r="B803" t="str">
            <v>admin1</v>
          </cell>
          <cell r="C803">
            <v>53586</v>
          </cell>
          <cell r="D803" t="str">
            <v>Biliran</v>
          </cell>
          <cell r="E803" t="str">
            <v>PHL_53586</v>
          </cell>
        </row>
        <row r="804">
          <cell r="A804" t="str">
            <v>Zamboanga Sibugay|PHL_53587</v>
          </cell>
          <cell r="B804" t="str">
            <v>admin1</v>
          </cell>
          <cell r="C804">
            <v>53587</v>
          </cell>
          <cell r="D804" t="str">
            <v>Zamboanga Sibugay</v>
          </cell>
          <cell r="E804" t="str">
            <v>PHL_53587</v>
          </cell>
        </row>
        <row r="805">
          <cell r="A805" t="str">
            <v>Zamboanga Del Norte|PHL_53588</v>
          </cell>
          <cell r="B805" t="str">
            <v>admin1</v>
          </cell>
          <cell r="C805">
            <v>53588</v>
          </cell>
          <cell r="D805" t="str">
            <v>Zamboanga Del Norte</v>
          </cell>
          <cell r="E805" t="str">
            <v>PHL_53588</v>
          </cell>
        </row>
        <row r="806">
          <cell r="A806" t="str">
            <v>Zamboanga Del Sur|PHL_53589</v>
          </cell>
          <cell r="B806" t="str">
            <v>admin1</v>
          </cell>
          <cell r="C806">
            <v>53589</v>
          </cell>
          <cell r="D806" t="str">
            <v>Zamboanga Del Sur</v>
          </cell>
          <cell r="E806" t="str">
            <v>PHL_53589</v>
          </cell>
        </row>
        <row r="807">
          <cell r="A807" t="str">
            <v>Misamis Occidental|PHL_53590</v>
          </cell>
          <cell r="B807" t="str">
            <v>admin1</v>
          </cell>
          <cell r="C807">
            <v>53590</v>
          </cell>
          <cell r="D807" t="str">
            <v>Misamis Occidental</v>
          </cell>
          <cell r="E807" t="str">
            <v>PHL_53590</v>
          </cell>
        </row>
        <row r="808">
          <cell r="A808" t="str">
            <v>Bukidnon|PHL_53591</v>
          </cell>
          <cell r="B808" t="str">
            <v>admin1</v>
          </cell>
          <cell r="C808">
            <v>53591</v>
          </cell>
          <cell r="D808" t="str">
            <v>Bukidnon</v>
          </cell>
          <cell r="E808" t="str">
            <v>PHL_53591</v>
          </cell>
        </row>
        <row r="809">
          <cell r="A809" t="str">
            <v>Lanao Del Norte|PHL_53592</v>
          </cell>
          <cell r="B809" t="str">
            <v>admin1</v>
          </cell>
          <cell r="C809">
            <v>53592</v>
          </cell>
          <cell r="D809" t="str">
            <v>Lanao Del Norte</v>
          </cell>
          <cell r="E809" t="str">
            <v>PHL_53592</v>
          </cell>
        </row>
        <row r="810">
          <cell r="A810" t="str">
            <v>Misamis Oriental|PHL_53593</v>
          </cell>
          <cell r="B810" t="str">
            <v>admin1</v>
          </cell>
          <cell r="C810">
            <v>53593</v>
          </cell>
          <cell r="D810" t="str">
            <v>Misamis Oriental</v>
          </cell>
          <cell r="E810" t="str">
            <v>PHL_53593</v>
          </cell>
        </row>
        <row r="811">
          <cell r="A811" t="str">
            <v>Camiguin|PHL_53594</v>
          </cell>
          <cell r="B811" t="str">
            <v>admin1</v>
          </cell>
          <cell r="C811">
            <v>53594</v>
          </cell>
          <cell r="D811" t="str">
            <v>Camiguin</v>
          </cell>
          <cell r="E811" t="str">
            <v>PHL_53594</v>
          </cell>
        </row>
        <row r="812">
          <cell r="A812" t="str">
            <v>Davao Oriental|PHL_53595</v>
          </cell>
          <cell r="B812" t="str">
            <v>admin1</v>
          </cell>
          <cell r="C812">
            <v>53595</v>
          </cell>
          <cell r="D812" t="str">
            <v>Davao Oriental</v>
          </cell>
          <cell r="E812" t="str">
            <v>PHL_53595</v>
          </cell>
        </row>
        <row r="813">
          <cell r="A813" t="str">
            <v>Compostela Valley|PHL_53596</v>
          </cell>
          <cell r="B813" t="str">
            <v>admin1</v>
          </cell>
          <cell r="C813">
            <v>53596</v>
          </cell>
          <cell r="D813" t="str">
            <v>Compostela Valley</v>
          </cell>
          <cell r="E813" t="str">
            <v>PHL_53596</v>
          </cell>
        </row>
        <row r="814">
          <cell r="A814" t="str">
            <v>Davao Del Sur|PHL_53597</v>
          </cell>
          <cell r="B814" t="str">
            <v>admin1</v>
          </cell>
          <cell r="C814">
            <v>53597</v>
          </cell>
          <cell r="D814" t="str">
            <v>Davao Del Sur</v>
          </cell>
          <cell r="E814" t="str">
            <v>PHL_53597</v>
          </cell>
        </row>
        <row r="815">
          <cell r="A815" t="str">
            <v>Davao Occidental|PHL_53598</v>
          </cell>
          <cell r="B815" t="str">
            <v>admin1</v>
          </cell>
          <cell r="C815">
            <v>53598</v>
          </cell>
          <cell r="D815" t="str">
            <v>Davao Occidental</v>
          </cell>
          <cell r="E815" t="str">
            <v>PHL_53598</v>
          </cell>
        </row>
        <row r="816">
          <cell r="A816" t="str">
            <v>Davao Del Norte|PHL_53599</v>
          </cell>
          <cell r="B816" t="str">
            <v>admin1</v>
          </cell>
          <cell r="C816">
            <v>53599</v>
          </cell>
          <cell r="D816" t="str">
            <v>Davao Del Norte</v>
          </cell>
          <cell r="E816" t="str">
            <v>PHL_53599</v>
          </cell>
        </row>
        <row r="817">
          <cell r="A817" t="str">
            <v>South Cotabato|PHL_53600</v>
          </cell>
          <cell r="B817" t="str">
            <v>admin1</v>
          </cell>
          <cell r="C817">
            <v>53600</v>
          </cell>
          <cell r="D817" t="str">
            <v>South Cotabato</v>
          </cell>
          <cell r="E817" t="str">
            <v>PHL_53600</v>
          </cell>
        </row>
        <row r="818">
          <cell r="A818" t="str">
            <v>Sultan Kudarat|PHL_53601</v>
          </cell>
          <cell r="B818" t="str">
            <v>admin1</v>
          </cell>
          <cell r="C818">
            <v>53601</v>
          </cell>
          <cell r="D818" t="str">
            <v>Sultan Kudarat</v>
          </cell>
          <cell r="E818" t="str">
            <v>PHL_53601</v>
          </cell>
        </row>
        <row r="819">
          <cell r="A819" t="str">
            <v>Cotabato (North Cotabato)|PHL_53602</v>
          </cell>
          <cell r="B819" t="str">
            <v>admin1</v>
          </cell>
          <cell r="C819">
            <v>53602</v>
          </cell>
          <cell r="D819" t="str">
            <v>Cotabato (North Cotabato)</v>
          </cell>
          <cell r="E819" t="str">
            <v>PHL_53602</v>
          </cell>
        </row>
        <row r="820">
          <cell r="A820" t="str">
            <v>Sarangani|PHL_53603</v>
          </cell>
          <cell r="B820" t="str">
            <v>admin1</v>
          </cell>
          <cell r="C820">
            <v>53603</v>
          </cell>
          <cell r="D820" t="str">
            <v>Sarangani</v>
          </cell>
          <cell r="E820" t="str">
            <v>PHL_53603</v>
          </cell>
        </row>
        <row r="821">
          <cell r="A821" t="str">
            <v>Agusan Del Norte|PHL_53604</v>
          </cell>
          <cell r="B821" t="str">
            <v>admin1</v>
          </cell>
          <cell r="C821">
            <v>53604</v>
          </cell>
          <cell r="D821" t="str">
            <v>Agusan Del Norte</v>
          </cell>
          <cell r="E821" t="str">
            <v>PHL_53604</v>
          </cell>
        </row>
        <row r="822">
          <cell r="A822" t="str">
            <v>Agusan Del Sur|PHL_53605</v>
          </cell>
          <cell r="B822" t="str">
            <v>admin1</v>
          </cell>
          <cell r="C822">
            <v>53605</v>
          </cell>
          <cell r="D822" t="str">
            <v>Agusan Del Sur</v>
          </cell>
          <cell r="E822" t="str">
            <v>PHL_53605</v>
          </cell>
        </row>
        <row r="823">
          <cell r="A823" t="str">
            <v>Surigao Del Sur|PHL_53606</v>
          </cell>
          <cell r="B823" t="str">
            <v>admin1</v>
          </cell>
          <cell r="C823">
            <v>53606</v>
          </cell>
          <cell r="D823" t="str">
            <v>Surigao Del Sur</v>
          </cell>
          <cell r="E823" t="str">
            <v>PHL_53606</v>
          </cell>
        </row>
        <row r="824">
          <cell r="A824" t="str">
            <v>Surigao Del Norte|PHL_53607</v>
          </cell>
          <cell r="B824" t="str">
            <v>admin1</v>
          </cell>
          <cell r="C824">
            <v>53607</v>
          </cell>
          <cell r="D824" t="str">
            <v>Surigao Del Norte</v>
          </cell>
          <cell r="E824" t="str">
            <v>PHL_53607</v>
          </cell>
        </row>
        <row r="825">
          <cell r="A825" t="str">
            <v>Dinagat Islands|PHL_53608</v>
          </cell>
          <cell r="B825" t="str">
            <v>admin1</v>
          </cell>
          <cell r="C825">
            <v>53608</v>
          </cell>
          <cell r="D825" t="str">
            <v>Dinagat Islands</v>
          </cell>
          <cell r="E825" t="str">
            <v>PHL_53608</v>
          </cell>
        </row>
        <row r="826">
          <cell r="A826" t="str">
            <v>Tawi-Tawi|PHL_53609</v>
          </cell>
          <cell r="B826" t="str">
            <v>admin1</v>
          </cell>
          <cell r="C826">
            <v>53609</v>
          </cell>
          <cell r="D826" t="str">
            <v>Tawi-Tawi</v>
          </cell>
          <cell r="E826" t="str">
            <v>PHL_53609</v>
          </cell>
        </row>
        <row r="827">
          <cell r="A827" t="str">
            <v>Basilan|PHL_53610</v>
          </cell>
          <cell r="B827" t="str">
            <v>admin1</v>
          </cell>
          <cell r="C827">
            <v>53610</v>
          </cell>
          <cell r="D827" t="str">
            <v>Basilan</v>
          </cell>
          <cell r="E827" t="str">
            <v>PHL_53610</v>
          </cell>
        </row>
        <row r="828">
          <cell r="A828" t="str">
            <v>Sulu|PHL_53611</v>
          </cell>
          <cell r="B828" t="str">
            <v>admin1</v>
          </cell>
          <cell r="C828">
            <v>53611</v>
          </cell>
          <cell r="D828" t="str">
            <v>Sulu</v>
          </cell>
          <cell r="E828" t="str">
            <v>PHL_53611</v>
          </cell>
        </row>
        <row r="829">
          <cell r="A829" t="str">
            <v>Maguindanao|PHL_53612</v>
          </cell>
          <cell r="B829" t="str">
            <v>admin1</v>
          </cell>
          <cell r="C829">
            <v>53612</v>
          </cell>
          <cell r="D829" t="str">
            <v>Maguindanao</v>
          </cell>
          <cell r="E829" t="str">
            <v>PHL_53612</v>
          </cell>
        </row>
        <row r="830">
          <cell r="A830" t="str">
            <v>Lanao Del Sur|PHL_53613</v>
          </cell>
          <cell r="B830" t="str">
            <v>admin1</v>
          </cell>
          <cell r="C830">
            <v>53613</v>
          </cell>
          <cell r="D830" t="str">
            <v>Lanao Del Sur</v>
          </cell>
          <cell r="E830" t="str">
            <v>PHL_53613</v>
          </cell>
        </row>
        <row r="831">
          <cell r="A831" t="str">
            <v>National Capital Region|PHL_53614</v>
          </cell>
          <cell r="B831" t="str">
            <v>admin1</v>
          </cell>
          <cell r="C831">
            <v>53614</v>
          </cell>
          <cell r="D831" t="str">
            <v>National Capital Region</v>
          </cell>
          <cell r="E831" t="str">
            <v>PHL_53614</v>
          </cell>
        </row>
        <row r="832">
          <cell r="A832" t="str">
            <v>Palau|PLW</v>
          </cell>
          <cell r="B832" t="str">
            <v>admin0</v>
          </cell>
          <cell r="C832">
            <v>380</v>
          </cell>
          <cell r="D832" t="str">
            <v>Palau</v>
          </cell>
          <cell r="E832" t="str">
            <v>PLW</v>
          </cell>
        </row>
        <row r="833">
          <cell r="A833" t="str">
            <v>Papua New Guinea|PNG</v>
          </cell>
          <cell r="B833" t="str">
            <v>admin0</v>
          </cell>
          <cell r="C833">
            <v>26</v>
          </cell>
          <cell r="D833" t="str">
            <v>Papua New Guinea</v>
          </cell>
          <cell r="E833" t="str">
            <v>PNG</v>
          </cell>
        </row>
        <row r="834">
          <cell r="A834" t="str">
            <v>Poland|POL</v>
          </cell>
          <cell r="B834" t="str">
            <v>admin0</v>
          </cell>
          <cell r="C834">
            <v>51</v>
          </cell>
          <cell r="D834" t="str">
            <v>Poland</v>
          </cell>
          <cell r="E834" t="str">
            <v>POL</v>
          </cell>
        </row>
        <row r="835">
          <cell r="A835" t="str">
            <v>Dolnośląskie|POL_53660</v>
          </cell>
          <cell r="B835" t="str">
            <v>admin1</v>
          </cell>
          <cell r="C835">
            <v>53660</v>
          </cell>
          <cell r="D835" t="str">
            <v>Dolnośląskie</v>
          </cell>
          <cell r="E835" t="str">
            <v>POL_53660</v>
          </cell>
        </row>
        <row r="836">
          <cell r="A836" t="str">
            <v>Kujawsko-Pomorskie|POL_53661</v>
          </cell>
          <cell r="B836" t="str">
            <v>admin1</v>
          </cell>
          <cell r="C836">
            <v>53661</v>
          </cell>
          <cell r="D836" t="str">
            <v>Kujawsko-Pomorskie</v>
          </cell>
          <cell r="E836" t="str">
            <v>POL_53661</v>
          </cell>
        </row>
        <row r="837">
          <cell r="A837" t="str">
            <v>Łódzkie|POL_53662</v>
          </cell>
          <cell r="B837" t="str">
            <v>admin1</v>
          </cell>
          <cell r="C837">
            <v>53662</v>
          </cell>
          <cell r="D837" t="str">
            <v>Łódzkie</v>
          </cell>
          <cell r="E837" t="str">
            <v>POL_53662</v>
          </cell>
        </row>
        <row r="838">
          <cell r="A838" t="str">
            <v>Lubelskie|POL_53663</v>
          </cell>
          <cell r="B838" t="str">
            <v>admin1</v>
          </cell>
          <cell r="C838">
            <v>53663</v>
          </cell>
          <cell r="D838" t="str">
            <v>Lubelskie</v>
          </cell>
          <cell r="E838" t="str">
            <v>POL_53663</v>
          </cell>
        </row>
        <row r="839">
          <cell r="A839" t="str">
            <v>Lubuskie|POL_53664</v>
          </cell>
          <cell r="B839" t="str">
            <v>admin1</v>
          </cell>
          <cell r="C839">
            <v>53664</v>
          </cell>
          <cell r="D839" t="str">
            <v>Lubuskie</v>
          </cell>
          <cell r="E839" t="str">
            <v>POL_53664</v>
          </cell>
        </row>
        <row r="840">
          <cell r="A840" t="str">
            <v>Małopolskie|POL_53665</v>
          </cell>
          <cell r="B840" t="str">
            <v>admin1</v>
          </cell>
          <cell r="C840">
            <v>53665</v>
          </cell>
          <cell r="D840" t="str">
            <v>Małopolskie</v>
          </cell>
          <cell r="E840" t="str">
            <v>POL_53665</v>
          </cell>
        </row>
        <row r="841">
          <cell r="A841" t="str">
            <v>Mazowieckie|POL_53666</v>
          </cell>
          <cell r="B841" t="str">
            <v>admin1</v>
          </cell>
          <cell r="C841">
            <v>53666</v>
          </cell>
          <cell r="D841" t="str">
            <v>Mazowieckie</v>
          </cell>
          <cell r="E841" t="str">
            <v>POL_53666</v>
          </cell>
        </row>
        <row r="842">
          <cell r="A842" t="str">
            <v>Opolskie|POL_53667</v>
          </cell>
          <cell r="B842" t="str">
            <v>admin1</v>
          </cell>
          <cell r="C842">
            <v>53667</v>
          </cell>
          <cell r="D842" t="str">
            <v>Opolskie</v>
          </cell>
          <cell r="E842" t="str">
            <v>POL_53667</v>
          </cell>
        </row>
        <row r="843">
          <cell r="A843" t="str">
            <v>Podkarpackie|POL_53668</v>
          </cell>
          <cell r="B843" t="str">
            <v>admin1</v>
          </cell>
          <cell r="C843">
            <v>53668</v>
          </cell>
          <cell r="D843" t="str">
            <v>Podkarpackie</v>
          </cell>
          <cell r="E843" t="str">
            <v>POL_53668</v>
          </cell>
        </row>
        <row r="844">
          <cell r="A844" t="str">
            <v>Podlaskie|POL_53669</v>
          </cell>
          <cell r="B844" t="str">
            <v>admin1</v>
          </cell>
          <cell r="C844">
            <v>53669</v>
          </cell>
          <cell r="D844" t="str">
            <v>Podlaskie</v>
          </cell>
          <cell r="E844" t="str">
            <v>POL_53669</v>
          </cell>
        </row>
        <row r="845">
          <cell r="A845" t="str">
            <v>Pomorskie|POL_53670</v>
          </cell>
          <cell r="B845" t="str">
            <v>admin1</v>
          </cell>
          <cell r="C845">
            <v>53670</v>
          </cell>
          <cell r="D845" t="str">
            <v>Pomorskie</v>
          </cell>
          <cell r="E845" t="str">
            <v>POL_53670</v>
          </cell>
        </row>
        <row r="846">
          <cell r="A846" t="str">
            <v>Śląskie|POL_53671</v>
          </cell>
          <cell r="B846" t="str">
            <v>admin1</v>
          </cell>
          <cell r="C846">
            <v>53671</v>
          </cell>
          <cell r="D846" t="str">
            <v>Śląskie</v>
          </cell>
          <cell r="E846" t="str">
            <v>POL_53671</v>
          </cell>
        </row>
        <row r="847">
          <cell r="A847" t="str">
            <v>Świętokrzyskie|POL_53672</v>
          </cell>
          <cell r="B847" t="str">
            <v>admin1</v>
          </cell>
          <cell r="C847">
            <v>53672</v>
          </cell>
          <cell r="D847" t="str">
            <v>Świętokrzyskie</v>
          </cell>
          <cell r="E847" t="str">
            <v>POL_53672</v>
          </cell>
        </row>
        <row r="848">
          <cell r="A848" t="str">
            <v>Warmińsko-Mazurskie|POL_53673</v>
          </cell>
          <cell r="B848" t="str">
            <v>admin1</v>
          </cell>
          <cell r="C848">
            <v>53673</v>
          </cell>
          <cell r="D848" t="str">
            <v>Warmińsko-Mazurskie</v>
          </cell>
          <cell r="E848" t="str">
            <v>POL_53673</v>
          </cell>
        </row>
        <row r="849">
          <cell r="A849" t="str">
            <v>Wielkopolskie|POL_53674</v>
          </cell>
          <cell r="B849" t="str">
            <v>admin1</v>
          </cell>
          <cell r="C849">
            <v>53674</v>
          </cell>
          <cell r="D849" t="str">
            <v>Wielkopolskie</v>
          </cell>
          <cell r="E849" t="str">
            <v>POL_53674</v>
          </cell>
        </row>
        <row r="850">
          <cell r="A850" t="str">
            <v>Zachodniopomorskie|POL_53675</v>
          </cell>
          <cell r="B850" t="str">
            <v>admin1</v>
          </cell>
          <cell r="C850">
            <v>53675</v>
          </cell>
          <cell r="D850" t="str">
            <v>Zachodniopomorskie</v>
          </cell>
          <cell r="E850" t="str">
            <v>POL_53675</v>
          </cell>
        </row>
        <row r="851">
          <cell r="A851" t="str">
            <v>Puerto Rico|PRI</v>
          </cell>
          <cell r="B851" t="str">
            <v>nonsovereign</v>
          </cell>
          <cell r="C851">
            <v>385</v>
          </cell>
          <cell r="D851" t="str">
            <v>Puerto Rico</v>
          </cell>
          <cell r="E851" t="str">
            <v>PRI</v>
          </cell>
        </row>
        <row r="852">
          <cell r="A852" t="str">
            <v>North Korea|PRK</v>
          </cell>
          <cell r="B852" t="str">
            <v>admin0</v>
          </cell>
          <cell r="C852">
            <v>7</v>
          </cell>
          <cell r="D852" t="str">
            <v>North Korea</v>
          </cell>
          <cell r="E852" t="str">
            <v>PRK</v>
          </cell>
        </row>
        <row r="853">
          <cell r="A853" t="str">
            <v>Portugal|PRT</v>
          </cell>
          <cell r="B853" t="str">
            <v>admin0</v>
          </cell>
          <cell r="C853">
            <v>91</v>
          </cell>
          <cell r="D853" t="str">
            <v>Portugal</v>
          </cell>
          <cell r="E853" t="str">
            <v>PRT</v>
          </cell>
        </row>
        <row r="854">
          <cell r="A854" t="str">
            <v>Paraguay|PRY</v>
          </cell>
          <cell r="B854" t="str">
            <v>admin0</v>
          </cell>
          <cell r="C854">
            <v>136</v>
          </cell>
          <cell r="D854" t="str">
            <v>Paraguay</v>
          </cell>
          <cell r="E854" t="str">
            <v>PRY</v>
          </cell>
        </row>
        <row r="855">
          <cell r="A855" t="str">
            <v>Palestine|PSE</v>
          </cell>
          <cell r="B855" t="str">
            <v>admin0</v>
          </cell>
          <cell r="C855">
            <v>149</v>
          </cell>
          <cell r="D855" t="str">
            <v>Palestine</v>
          </cell>
          <cell r="E855" t="str">
            <v>PSE</v>
          </cell>
        </row>
        <row r="856">
          <cell r="A856" t="str">
            <v>Qatar|QAT</v>
          </cell>
          <cell r="B856" t="str">
            <v>admin0</v>
          </cell>
          <cell r="C856">
            <v>151</v>
          </cell>
          <cell r="D856" t="str">
            <v>Qatar</v>
          </cell>
          <cell r="E856" t="str">
            <v>QAT</v>
          </cell>
        </row>
        <row r="857">
          <cell r="A857" t="str">
            <v>High-income Asia Pacific|R1</v>
          </cell>
          <cell r="B857" t="str">
            <v>region</v>
          </cell>
          <cell r="C857">
            <v>65</v>
          </cell>
          <cell r="D857" t="str">
            <v>High-income Asia Pacific</v>
          </cell>
          <cell r="E857" t="str">
            <v>R1</v>
          </cell>
        </row>
        <row r="858">
          <cell r="A858" t="str">
            <v>Western Europe|R10</v>
          </cell>
          <cell r="B858" t="str">
            <v>region</v>
          </cell>
          <cell r="C858">
            <v>73</v>
          </cell>
          <cell r="D858" t="str">
            <v>Western Europe</v>
          </cell>
          <cell r="E858" t="str">
            <v>R10</v>
          </cell>
        </row>
        <row r="859">
          <cell r="A859" t="str">
            <v>Andean Latin America|R11</v>
          </cell>
          <cell r="B859" t="str">
            <v>region</v>
          </cell>
          <cell r="C859">
            <v>120</v>
          </cell>
          <cell r="D859" t="str">
            <v>Andean Latin America</v>
          </cell>
          <cell r="E859" t="str">
            <v>R11</v>
          </cell>
        </row>
        <row r="860">
          <cell r="A860" t="str">
            <v>Central Latin America|R12</v>
          </cell>
          <cell r="B860" t="str">
            <v>region</v>
          </cell>
          <cell r="C860">
            <v>124</v>
          </cell>
          <cell r="D860" t="str">
            <v>Central Latin America</v>
          </cell>
          <cell r="E860" t="str">
            <v>R12</v>
          </cell>
        </row>
        <row r="861">
          <cell r="A861" t="str">
            <v>Southern Latin America|R13</v>
          </cell>
          <cell r="B861" t="str">
            <v>region</v>
          </cell>
          <cell r="C861">
            <v>96</v>
          </cell>
          <cell r="D861" t="str">
            <v>Southern Latin America</v>
          </cell>
          <cell r="E861" t="str">
            <v>R13</v>
          </cell>
        </row>
        <row r="862">
          <cell r="A862" t="str">
            <v>Tropical Latin America|R14</v>
          </cell>
          <cell r="B862" t="str">
            <v>region</v>
          </cell>
          <cell r="C862">
            <v>134</v>
          </cell>
          <cell r="D862" t="str">
            <v>Tropical Latin America</v>
          </cell>
          <cell r="E862" t="str">
            <v>R14</v>
          </cell>
        </row>
        <row r="863">
          <cell r="A863" t="str">
            <v>North Africa and Middle East|R15</v>
          </cell>
          <cell r="B863" t="str">
            <v>region</v>
          </cell>
          <cell r="C863">
            <v>138</v>
          </cell>
          <cell r="D863" t="str">
            <v>North Africa and Middle East</v>
          </cell>
          <cell r="E863" t="str">
            <v>R15</v>
          </cell>
        </row>
        <row r="864">
          <cell r="A864" t="str">
            <v>High-income North America|R16</v>
          </cell>
          <cell r="B864" t="str">
            <v>region</v>
          </cell>
          <cell r="C864">
            <v>100</v>
          </cell>
          <cell r="D864" t="str">
            <v>High-income North America</v>
          </cell>
          <cell r="E864" t="str">
            <v>R16</v>
          </cell>
        </row>
        <row r="865">
          <cell r="A865" t="str">
            <v>Oceania|R17</v>
          </cell>
          <cell r="B865" t="str">
            <v>region</v>
          </cell>
          <cell r="C865">
            <v>21</v>
          </cell>
          <cell r="D865" t="str">
            <v>Oceania</v>
          </cell>
          <cell r="E865" t="str">
            <v>R17</v>
          </cell>
        </row>
        <row r="866">
          <cell r="A866" t="str">
            <v>Central Sub-Saharan Africa|R18</v>
          </cell>
          <cell r="B866" t="str">
            <v>region</v>
          </cell>
          <cell r="C866">
            <v>167</v>
          </cell>
          <cell r="D866" t="str">
            <v>Central Sub-Saharan Africa</v>
          </cell>
          <cell r="E866" t="str">
            <v>R18</v>
          </cell>
        </row>
        <row r="867">
          <cell r="A867" t="str">
            <v>Eastern Sub-Saharan Africa|R19</v>
          </cell>
          <cell r="B867" t="str">
            <v>region</v>
          </cell>
          <cell r="C867">
            <v>174</v>
          </cell>
          <cell r="D867" t="str">
            <v>Eastern Sub-Saharan Africa</v>
          </cell>
          <cell r="E867" t="str">
            <v>R19</v>
          </cell>
        </row>
        <row r="868">
          <cell r="A868" t="str">
            <v>Central Asia|R2</v>
          </cell>
          <cell r="B868" t="str">
            <v>region</v>
          </cell>
          <cell r="C868">
            <v>32</v>
          </cell>
          <cell r="D868" t="str">
            <v>Central Asia</v>
          </cell>
          <cell r="E868" t="str">
            <v>R2</v>
          </cell>
        </row>
        <row r="869">
          <cell r="A869" t="str">
            <v>Southern Sub-Saharan Africa|R20</v>
          </cell>
          <cell r="B869" t="str">
            <v>region</v>
          </cell>
          <cell r="C869">
            <v>192</v>
          </cell>
          <cell r="D869" t="str">
            <v>Southern Sub-Saharan Africa</v>
          </cell>
          <cell r="E869" t="str">
            <v>R20</v>
          </cell>
        </row>
        <row r="870">
          <cell r="A870" t="str">
            <v>Western Sub-Saharan Africa|R21</v>
          </cell>
          <cell r="B870" t="str">
            <v>region</v>
          </cell>
          <cell r="C870">
            <v>199</v>
          </cell>
          <cell r="D870" t="str">
            <v>Western Sub-Saharan Africa</v>
          </cell>
          <cell r="E870" t="str">
            <v>R21</v>
          </cell>
        </row>
        <row r="871">
          <cell r="A871" t="str">
            <v>East Asia|R3</v>
          </cell>
          <cell r="B871" t="str">
            <v>region</v>
          </cell>
          <cell r="C871">
            <v>5</v>
          </cell>
          <cell r="D871" t="str">
            <v>East Asia</v>
          </cell>
          <cell r="E871" t="str">
            <v>R3</v>
          </cell>
        </row>
        <row r="872">
          <cell r="A872" t="str">
            <v>South Asia|R4</v>
          </cell>
          <cell r="B872" t="str">
            <v>region</v>
          </cell>
          <cell r="C872">
            <v>159</v>
          </cell>
          <cell r="D872" t="str">
            <v>South Asia</v>
          </cell>
          <cell r="E872" t="str">
            <v>R4</v>
          </cell>
        </row>
        <row r="873">
          <cell r="A873" t="str">
            <v>Southeast Asia|R5</v>
          </cell>
          <cell r="B873" t="str">
            <v>region</v>
          </cell>
          <cell r="C873">
            <v>9</v>
          </cell>
          <cell r="D873" t="str">
            <v>Southeast Asia</v>
          </cell>
          <cell r="E873" t="str">
            <v>R5</v>
          </cell>
        </row>
        <row r="874">
          <cell r="A874" t="str">
            <v>Australasia|R6</v>
          </cell>
          <cell r="B874" t="str">
            <v>region</v>
          </cell>
          <cell r="C874">
            <v>70</v>
          </cell>
          <cell r="D874" t="str">
            <v>Australasia</v>
          </cell>
          <cell r="E874" t="str">
            <v>R6</v>
          </cell>
        </row>
        <row r="875">
          <cell r="A875" t="str">
            <v>Caribbean|R7</v>
          </cell>
          <cell r="B875" t="str">
            <v>region</v>
          </cell>
          <cell r="C875">
            <v>104</v>
          </cell>
          <cell r="D875" t="str">
            <v>Caribbean</v>
          </cell>
          <cell r="E875" t="str">
            <v>R7</v>
          </cell>
        </row>
        <row r="876">
          <cell r="A876" t="str">
            <v>Central Europe|R8</v>
          </cell>
          <cell r="B876" t="str">
            <v>region</v>
          </cell>
          <cell r="C876">
            <v>42</v>
          </cell>
          <cell r="D876" t="str">
            <v>Central Europe</v>
          </cell>
          <cell r="E876" t="str">
            <v>R8</v>
          </cell>
        </row>
        <row r="877">
          <cell r="A877" t="str">
            <v>Eastern Europe|R9</v>
          </cell>
          <cell r="B877" t="str">
            <v>region</v>
          </cell>
          <cell r="C877">
            <v>56</v>
          </cell>
          <cell r="D877" t="str">
            <v>Eastern Europe</v>
          </cell>
          <cell r="E877" t="str">
            <v>R9</v>
          </cell>
        </row>
        <row r="878">
          <cell r="A878" t="str">
            <v>Romania|ROU</v>
          </cell>
          <cell r="B878" t="str">
            <v>admin0</v>
          </cell>
          <cell r="C878">
            <v>52</v>
          </cell>
          <cell r="D878" t="str">
            <v>Romania</v>
          </cell>
          <cell r="E878" t="str">
            <v>ROU</v>
          </cell>
        </row>
        <row r="879">
          <cell r="A879" t="str">
            <v>Russian Federation|RUS</v>
          </cell>
          <cell r="B879" t="str">
            <v>admin0</v>
          </cell>
          <cell r="C879">
            <v>62</v>
          </cell>
          <cell r="D879" t="str">
            <v>Russian Federation</v>
          </cell>
          <cell r="E879" t="str">
            <v>RUS</v>
          </cell>
        </row>
        <row r="880">
          <cell r="A880" t="str">
            <v>Belgorod oblast|RUS_44903</v>
          </cell>
          <cell r="B880" t="str">
            <v>admin2</v>
          </cell>
          <cell r="C880">
            <v>44903</v>
          </cell>
          <cell r="D880" t="str">
            <v>Belgorod oblast</v>
          </cell>
          <cell r="E880" t="str">
            <v>RUS_44903</v>
          </cell>
        </row>
        <row r="881">
          <cell r="A881" t="str">
            <v>Bryansk oblast|RUS_44904</v>
          </cell>
          <cell r="B881" t="str">
            <v>admin2</v>
          </cell>
          <cell r="C881">
            <v>44904</v>
          </cell>
          <cell r="D881" t="str">
            <v>Bryansk oblast</v>
          </cell>
          <cell r="E881" t="str">
            <v>RUS_44904</v>
          </cell>
        </row>
        <row r="882">
          <cell r="A882" t="str">
            <v>Vladimir oblast|RUS_44905</v>
          </cell>
          <cell r="B882" t="str">
            <v>admin2</v>
          </cell>
          <cell r="C882">
            <v>44905</v>
          </cell>
          <cell r="D882" t="str">
            <v>Vladimir oblast</v>
          </cell>
          <cell r="E882" t="str">
            <v>RUS_44905</v>
          </cell>
        </row>
        <row r="883">
          <cell r="A883" t="str">
            <v>Voronezh oblast|RUS_44906</v>
          </cell>
          <cell r="B883" t="str">
            <v>admin2</v>
          </cell>
          <cell r="C883">
            <v>44906</v>
          </cell>
          <cell r="D883" t="str">
            <v>Voronezh oblast</v>
          </cell>
          <cell r="E883" t="str">
            <v>RUS_44906</v>
          </cell>
        </row>
        <row r="884">
          <cell r="A884" t="str">
            <v>Ivanovo oblast|RUS_44907</v>
          </cell>
          <cell r="B884" t="str">
            <v>admin2</v>
          </cell>
          <cell r="C884">
            <v>44907</v>
          </cell>
          <cell r="D884" t="str">
            <v>Ivanovo oblast</v>
          </cell>
          <cell r="E884" t="str">
            <v>RUS_44907</v>
          </cell>
        </row>
        <row r="885">
          <cell r="A885" t="str">
            <v>Kaluga oblast|RUS_44908</v>
          </cell>
          <cell r="B885" t="str">
            <v>admin2</v>
          </cell>
          <cell r="C885">
            <v>44908</v>
          </cell>
          <cell r="D885" t="str">
            <v>Kaluga oblast</v>
          </cell>
          <cell r="E885" t="str">
            <v>RUS_44908</v>
          </cell>
        </row>
        <row r="886">
          <cell r="A886" t="str">
            <v>Kostroma oblast|RUS_44909</v>
          </cell>
          <cell r="B886" t="str">
            <v>admin2</v>
          </cell>
          <cell r="C886">
            <v>44909</v>
          </cell>
          <cell r="D886" t="str">
            <v>Kostroma oblast</v>
          </cell>
          <cell r="E886" t="str">
            <v>RUS_44909</v>
          </cell>
        </row>
        <row r="887">
          <cell r="A887" t="str">
            <v>Kursk oblast|RUS_44910</v>
          </cell>
          <cell r="B887" t="str">
            <v>admin2</v>
          </cell>
          <cell r="C887">
            <v>44910</v>
          </cell>
          <cell r="D887" t="str">
            <v>Kursk oblast</v>
          </cell>
          <cell r="E887" t="str">
            <v>RUS_44910</v>
          </cell>
        </row>
        <row r="888">
          <cell r="A888" t="str">
            <v>Lipetzk oblast|RUS_44911</v>
          </cell>
          <cell r="B888" t="str">
            <v>admin2</v>
          </cell>
          <cell r="C888">
            <v>44911</v>
          </cell>
          <cell r="D888" t="str">
            <v>Lipetzk oblast</v>
          </cell>
          <cell r="E888" t="str">
            <v>RUS_44911</v>
          </cell>
        </row>
        <row r="889">
          <cell r="A889" t="str">
            <v>Moscow oblast|RUS_44912</v>
          </cell>
          <cell r="B889" t="str">
            <v>admin2</v>
          </cell>
          <cell r="C889">
            <v>44912</v>
          </cell>
          <cell r="D889" t="str">
            <v>Moscow oblast</v>
          </cell>
          <cell r="E889" t="str">
            <v>RUS_44912</v>
          </cell>
        </row>
        <row r="890">
          <cell r="A890" t="str">
            <v>Oryol oblast|RUS_44913</v>
          </cell>
          <cell r="B890" t="str">
            <v>admin2</v>
          </cell>
          <cell r="C890">
            <v>44913</v>
          </cell>
          <cell r="D890" t="str">
            <v>Oryol oblast</v>
          </cell>
          <cell r="E890" t="str">
            <v>RUS_44913</v>
          </cell>
        </row>
        <row r="891">
          <cell r="A891" t="str">
            <v>Ryazan oblast|RUS_44914</v>
          </cell>
          <cell r="B891" t="str">
            <v>admin2</v>
          </cell>
          <cell r="C891">
            <v>44914</v>
          </cell>
          <cell r="D891" t="str">
            <v>Ryazan oblast</v>
          </cell>
          <cell r="E891" t="str">
            <v>RUS_44914</v>
          </cell>
        </row>
        <row r="892">
          <cell r="A892" t="str">
            <v>Smolensk oblast|RUS_44915</v>
          </cell>
          <cell r="B892" t="str">
            <v>admin2</v>
          </cell>
          <cell r="C892">
            <v>44915</v>
          </cell>
          <cell r="D892" t="str">
            <v>Smolensk oblast</v>
          </cell>
          <cell r="E892" t="str">
            <v>RUS_44915</v>
          </cell>
        </row>
        <row r="893">
          <cell r="A893" t="str">
            <v>Tambov oblast|RUS_44916</v>
          </cell>
          <cell r="B893" t="str">
            <v>admin2</v>
          </cell>
          <cell r="C893">
            <v>44916</v>
          </cell>
          <cell r="D893" t="str">
            <v>Tambov oblast</v>
          </cell>
          <cell r="E893" t="str">
            <v>RUS_44916</v>
          </cell>
        </row>
        <row r="894">
          <cell r="A894" t="str">
            <v>Tver oblast|RUS_44917</v>
          </cell>
          <cell r="B894" t="str">
            <v>admin2</v>
          </cell>
          <cell r="C894">
            <v>44917</v>
          </cell>
          <cell r="D894" t="str">
            <v>Tver oblast</v>
          </cell>
          <cell r="E894" t="str">
            <v>RUS_44917</v>
          </cell>
        </row>
        <row r="895">
          <cell r="A895" t="str">
            <v>Tula oblast|RUS_44918</v>
          </cell>
          <cell r="B895" t="str">
            <v>admin2</v>
          </cell>
          <cell r="C895">
            <v>44918</v>
          </cell>
          <cell r="D895" t="str">
            <v>Tula oblast</v>
          </cell>
          <cell r="E895" t="str">
            <v>RUS_44918</v>
          </cell>
        </row>
        <row r="896">
          <cell r="A896" t="str">
            <v>Yaroslavl oblast|RUS_44919</v>
          </cell>
          <cell r="B896" t="str">
            <v>admin2</v>
          </cell>
          <cell r="C896">
            <v>44919</v>
          </cell>
          <cell r="D896" t="str">
            <v>Yaroslavl oblast</v>
          </cell>
          <cell r="E896" t="str">
            <v>RUS_44919</v>
          </cell>
        </row>
        <row r="897">
          <cell r="A897" t="str">
            <v>Moscow City|RUS_44920</v>
          </cell>
          <cell r="B897" t="str">
            <v>admin2</v>
          </cell>
          <cell r="C897">
            <v>44920</v>
          </cell>
          <cell r="D897" t="str">
            <v>Moscow City</v>
          </cell>
          <cell r="E897" t="str">
            <v>RUS_44920</v>
          </cell>
        </row>
        <row r="898">
          <cell r="A898" t="str">
            <v>Republic of Karelia|RUS_44921</v>
          </cell>
          <cell r="B898" t="str">
            <v>admin2</v>
          </cell>
          <cell r="C898">
            <v>44921</v>
          </cell>
          <cell r="D898" t="str">
            <v>Republic of Karelia</v>
          </cell>
          <cell r="E898" t="str">
            <v>RUS_44921</v>
          </cell>
        </row>
        <row r="899">
          <cell r="A899" t="str">
            <v>Komi Republic|RUS_44922</v>
          </cell>
          <cell r="B899" t="str">
            <v>admin2</v>
          </cell>
          <cell r="C899">
            <v>44922</v>
          </cell>
          <cell r="D899" t="str">
            <v>Komi Republic</v>
          </cell>
          <cell r="E899" t="str">
            <v>RUS_44922</v>
          </cell>
        </row>
        <row r="900">
          <cell r="A900" t="str">
            <v>Nenets autonomous district|RUS_44923</v>
          </cell>
          <cell r="B900" t="str">
            <v>admin2</v>
          </cell>
          <cell r="C900">
            <v>44923</v>
          </cell>
          <cell r="D900" t="str">
            <v>Nenets autonomous district</v>
          </cell>
          <cell r="E900" t="str">
            <v>RUS_44923</v>
          </cell>
        </row>
        <row r="901">
          <cell r="A901" t="str">
            <v>Arkhangelsk oblast without Nenets autonomous district|RUS_44924</v>
          </cell>
          <cell r="B901" t="str">
            <v>admin2</v>
          </cell>
          <cell r="C901">
            <v>44924</v>
          </cell>
          <cell r="D901" t="str">
            <v>Arkhangelsk oblast without Nenets autonomous district</v>
          </cell>
          <cell r="E901" t="str">
            <v>RUS_44924</v>
          </cell>
        </row>
        <row r="902">
          <cell r="A902" t="str">
            <v>Vologda oblast|RUS_44925</v>
          </cell>
          <cell r="B902" t="str">
            <v>admin2</v>
          </cell>
          <cell r="C902">
            <v>44925</v>
          </cell>
          <cell r="D902" t="str">
            <v>Vologda oblast</v>
          </cell>
          <cell r="E902" t="str">
            <v>RUS_44925</v>
          </cell>
        </row>
        <row r="903">
          <cell r="A903" t="str">
            <v>Kaliningrad oblast|RUS_44926</v>
          </cell>
          <cell r="B903" t="str">
            <v>admin2</v>
          </cell>
          <cell r="C903">
            <v>44926</v>
          </cell>
          <cell r="D903" t="str">
            <v>Kaliningrad oblast</v>
          </cell>
          <cell r="E903" t="str">
            <v>RUS_44926</v>
          </cell>
        </row>
        <row r="904">
          <cell r="A904" t="str">
            <v>Leningrad oblast|RUS_44927</v>
          </cell>
          <cell r="B904" t="str">
            <v>admin2</v>
          </cell>
          <cell r="C904">
            <v>44927</v>
          </cell>
          <cell r="D904" t="str">
            <v>Leningrad oblast</v>
          </cell>
          <cell r="E904" t="str">
            <v>RUS_44927</v>
          </cell>
        </row>
        <row r="905">
          <cell r="A905" t="str">
            <v>Murmansk oblast|RUS_44928</v>
          </cell>
          <cell r="B905" t="str">
            <v>admin2</v>
          </cell>
          <cell r="C905">
            <v>44928</v>
          </cell>
          <cell r="D905" t="str">
            <v>Murmansk oblast</v>
          </cell>
          <cell r="E905" t="str">
            <v>RUS_44928</v>
          </cell>
        </row>
        <row r="906">
          <cell r="A906" t="str">
            <v>Novgorod oblast|RUS_44929</v>
          </cell>
          <cell r="B906" t="str">
            <v>admin2</v>
          </cell>
          <cell r="C906">
            <v>44929</v>
          </cell>
          <cell r="D906" t="str">
            <v>Novgorod oblast</v>
          </cell>
          <cell r="E906" t="str">
            <v>RUS_44929</v>
          </cell>
        </row>
        <row r="907">
          <cell r="A907" t="str">
            <v>Pskov oblast|RUS_44930</v>
          </cell>
          <cell r="B907" t="str">
            <v>admin2</v>
          </cell>
          <cell r="C907">
            <v>44930</v>
          </cell>
          <cell r="D907" t="str">
            <v>Pskov oblast</v>
          </cell>
          <cell r="E907" t="str">
            <v>RUS_44930</v>
          </cell>
        </row>
        <row r="908">
          <cell r="A908" t="str">
            <v>Sankt-Petersburg|RUS_44931</v>
          </cell>
          <cell r="B908" t="str">
            <v>admin2</v>
          </cell>
          <cell r="C908">
            <v>44931</v>
          </cell>
          <cell r="D908" t="str">
            <v>Sankt-Petersburg</v>
          </cell>
          <cell r="E908" t="str">
            <v>RUS_44931</v>
          </cell>
        </row>
        <row r="909">
          <cell r="A909" t="str">
            <v>Republic of Adygeya|RUS_44932</v>
          </cell>
          <cell r="B909" t="str">
            <v>admin2</v>
          </cell>
          <cell r="C909">
            <v>44932</v>
          </cell>
          <cell r="D909" t="str">
            <v>Republic of Adygeya</v>
          </cell>
          <cell r="E909" t="str">
            <v>RUS_44932</v>
          </cell>
        </row>
        <row r="910">
          <cell r="A910" t="str">
            <v>Republic of Kalmykia|RUS_44933</v>
          </cell>
          <cell r="B910" t="str">
            <v>admin2</v>
          </cell>
          <cell r="C910">
            <v>44933</v>
          </cell>
          <cell r="D910" t="str">
            <v>Republic of Kalmykia</v>
          </cell>
          <cell r="E910" t="str">
            <v>RUS_44933</v>
          </cell>
        </row>
        <row r="911">
          <cell r="A911" t="str">
            <v>Krasnodar kray|RUS_44935</v>
          </cell>
          <cell r="B911" t="str">
            <v>admin2</v>
          </cell>
          <cell r="C911">
            <v>44935</v>
          </cell>
          <cell r="D911" t="str">
            <v>Krasnodar kray</v>
          </cell>
          <cell r="E911" t="str">
            <v>RUS_44935</v>
          </cell>
        </row>
        <row r="912">
          <cell r="A912" t="str">
            <v>Astrakhan oblast|RUS_44936</v>
          </cell>
          <cell r="B912" t="str">
            <v>admin2</v>
          </cell>
          <cell r="C912">
            <v>44936</v>
          </cell>
          <cell r="D912" t="str">
            <v>Astrakhan oblast</v>
          </cell>
          <cell r="E912" t="str">
            <v>RUS_44936</v>
          </cell>
        </row>
        <row r="913">
          <cell r="A913" t="str">
            <v>Volgograd oblast|RUS_44937</v>
          </cell>
          <cell r="B913" t="str">
            <v>admin2</v>
          </cell>
          <cell r="C913">
            <v>44937</v>
          </cell>
          <cell r="D913" t="str">
            <v>Volgograd oblast</v>
          </cell>
          <cell r="E913" t="str">
            <v>RUS_44937</v>
          </cell>
        </row>
        <row r="914">
          <cell r="A914" t="str">
            <v>Rostov oblast|RUS_44938</v>
          </cell>
          <cell r="B914" t="str">
            <v>admin2</v>
          </cell>
          <cell r="C914">
            <v>44938</v>
          </cell>
          <cell r="D914" t="str">
            <v>Rostov oblast</v>
          </cell>
          <cell r="E914" t="str">
            <v>RUS_44938</v>
          </cell>
        </row>
        <row r="915">
          <cell r="A915" t="str">
            <v>Republic of Dagestan|RUS_44940</v>
          </cell>
          <cell r="B915" t="str">
            <v>admin2</v>
          </cell>
          <cell r="C915">
            <v>44940</v>
          </cell>
          <cell r="D915" t="str">
            <v>Republic of Dagestan</v>
          </cell>
          <cell r="E915" t="str">
            <v>RUS_44940</v>
          </cell>
        </row>
        <row r="916">
          <cell r="A916" t="str">
            <v>Republic of Ingushetia|RUS_44941</v>
          </cell>
          <cell r="B916" t="str">
            <v>admin2</v>
          </cell>
          <cell r="C916">
            <v>44941</v>
          </cell>
          <cell r="D916" t="str">
            <v>Republic of Ingushetia</v>
          </cell>
          <cell r="E916" t="str">
            <v>RUS_44941</v>
          </cell>
        </row>
        <row r="917">
          <cell r="A917" t="str">
            <v>Kabardian-Balkar Republic|RUS_44942</v>
          </cell>
          <cell r="B917" t="str">
            <v>admin2</v>
          </cell>
          <cell r="C917">
            <v>44942</v>
          </cell>
          <cell r="D917" t="str">
            <v>Kabardian-Balkar Republic</v>
          </cell>
          <cell r="E917" t="str">
            <v>RUS_44942</v>
          </cell>
        </row>
        <row r="918">
          <cell r="A918" t="str">
            <v>Karachaev-Chercassian Republic|RUS_44943</v>
          </cell>
          <cell r="B918" t="str">
            <v>admin2</v>
          </cell>
          <cell r="C918">
            <v>44943</v>
          </cell>
          <cell r="D918" t="str">
            <v>Karachaev-Chercassian Republic</v>
          </cell>
          <cell r="E918" t="str">
            <v>RUS_44943</v>
          </cell>
        </row>
        <row r="919">
          <cell r="A919" t="str">
            <v>Republic of North Ossetia-Alania|RUS_44944</v>
          </cell>
          <cell r="B919" t="str">
            <v>admin2</v>
          </cell>
          <cell r="C919">
            <v>44944</v>
          </cell>
          <cell r="D919" t="str">
            <v>Republic of North Ossetia-Alania</v>
          </cell>
          <cell r="E919" t="str">
            <v>RUS_44944</v>
          </cell>
        </row>
        <row r="920">
          <cell r="A920" t="str">
            <v>Chechen Republic|RUS_44945</v>
          </cell>
          <cell r="B920" t="str">
            <v>admin2</v>
          </cell>
          <cell r="C920">
            <v>44945</v>
          </cell>
          <cell r="D920" t="str">
            <v>Chechen Republic</v>
          </cell>
          <cell r="E920" t="str">
            <v>RUS_44945</v>
          </cell>
        </row>
        <row r="921">
          <cell r="A921" t="str">
            <v>Stavropol kray|RUS_44946</v>
          </cell>
          <cell r="B921" t="str">
            <v>admin2</v>
          </cell>
          <cell r="C921">
            <v>44946</v>
          </cell>
          <cell r="D921" t="str">
            <v>Stavropol kray</v>
          </cell>
          <cell r="E921" t="str">
            <v>RUS_44946</v>
          </cell>
        </row>
        <row r="922">
          <cell r="A922" t="str">
            <v>Republic of Bashkortostan|RUS_44947</v>
          </cell>
          <cell r="B922" t="str">
            <v>admin2</v>
          </cell>
          <cell r="C922">
            <v>44947</v>
          </cell>
          <cell r="D922" t="str">
            <v>Republic of Bashkortostan</v>
          </cell>
          <cell r="E922" t="str">
            <v>RUS_44947</v>
          </cell>
        </row>
        <row r="923">
          <cell r="A923" t="str">
            <v>Republic of Mariy El|RUS_44948</v>
          </cell>
          <cell r="B923" t="str">
            <v>admin2</v>
          </cell>
          <cell r="C923">
            <v>44948</v>
          </cell>
          <cell r="D923" t="str">
            <v>Republic of Mariy El</v>
          </cell>
          <cell r="E923" t="str">
            <v>RUS_44948</v>
          </cell>
        </row>
        <row r="924">
          <cell r="A924" t="str">
            <v>Republic of Mordovia|RUS_44949</v>
          </cell>
          <cell r="B924" t="str">
            <v>admin2</v>
          </cell>
          <cell r="C924">
            <v>44949</v>
          </cell>
          <cell r="D924" t="str">
            <v>Republic of Mordovia</v>
          </cell>
          <cell r="E924" t="str">
            <v>RUS_44949</v>
          </cell>
        </row>
        <row r="925">
          <cell r="A925" t="str">
            <v>Republic of Tatarstan|RUS_44950</v>
          </cell>
          <cell r="B925" t="str">
            <v>admin2</v>
          </cell>
          <cell r="C925">
            <v>44950</v>
          </cell>
          <cell r="D925" t="str">
            <v>Republic of Tatarstan</v>
          </cell>
          <cell r="E925" t="str">
            <v>RUS_44950</v>
          </cell>
        </row>
        <row r="926">
          <cell r="A926" t="str">
            <v>Udmurt Republic|RUS_44951</v>
          </cell>
          <cell r="B926" t="str">
            <v>admin2</v>
          </cell>
          <cell r="C926">
            <v>44951</v>
          </cell>
          <cell r="D926" t="str">
            <v>Udmurt Republic</v>
          </cell>
          <cell r="E926" t="str">
            <v>RUS_44951</v>
          </cell>
        </row>
        <row r="927">
          <cell r="A927" t="str">
            <v>Chuvash Republic|RUS_44952</v>
          </cell>
          <cell r="B927" t="str">
            <v>admin2</v>
          </cell>
          <cell r="C927">
            <v>44952</v>
          </cell>
          <cell r="D927" t="str">
            <v>Chuvash Republic</v>
          </cell>
          <cell r="E927" t="str">
            <v>RUS_44952</v>
          </cell>
        </row>
        <row r="928">
          <cell r="A928" t="str">
            <v>Perm kray|RUS_44953</v>
          </cell>
          <cell r="B928" t="str">
            <v>admin2</v>
          </cell>
          <cell r="C928">
            <v>44953</v>
          </cell>
          <cell r="D928" t="str">
            <v>Perm kray</v>
          </cell>
          <cell r="E928" t="str">
            <v>RUS_44953</v>
          </cell>
        </row>
        <row r="929">
          <cell r="A929" t="str">
            <v>Kirov oblast|RUS_44954</v>
          </cell>
          <cell r="B929" t="str">
            <v>admin2</v>
          </cell>
          <cell r="C929">
            <v>44954</v>
          </cell>
          <cell r="D929" t="str">
            <v>Kirov oblast</v>
          </cell>
          <cell r="E929" t="str">
            <v>RUS_44954</v>
          </cell>
        </row>
        <row r="930">
          <cell r="A930" t="str">
            <v>Nizhny Novgorod oblast|RUS_44955</v>
          </cell>
          <cell r="B930" t="str">
            <v>admin2</v>
          </cell>
          <cell r="C930">
            <v>44955</v>
          </cell>
          <cell r="D930" t="str">
            <v>Nizhny Novgorod oblast</v>
          </cell>
          <cell r="E930" t="str">
            <v>RUS_44955</v>
          </cell>
        </row>
        <row r="931">
          <cell r="A931" t="str">
            <v>Orenburg oblast|RUS_44956</v>
          </cell>
          <cell r="B931" t="str">
            <v>admin2</v>
          </cell>
          <cell r="C931">
            <v>44956</v>
          </cell>
          <cell r="D931" t="str">
            <v>Orenburg oblast</v>
          </cell>
          <cell r="E931" t="str">
            <v>RUS_44956</v>
          </cell>
        </row>
        <row r="932">
          <cell r="A932" t="str">
            <v>Penza oblast|RUS_44957</v>
          </cell>
          <cell r="B932" t="str">
            <v>admin2</v>
          </cell>
          <cell r="C932">
            <v>44957</v>
          </cell>
          <cell r="D932" t="str">
            <v>Penza oblast</v>
          </cell>
          <cell r="E932" t="str">
            <v>RUS_44957</v>
          </cell>
        </row>
        <row r="933">
          <cell r="A933" t="str">
            <v>Samara oblast|RUS_44958</v>
          </cell>
          <cell r="B933" t="str">
            <v>admin2</v>
          </cell>
          <cell r="C933">
            <v>44958</v>
          </cell>
          <cell r="D933" t="str">
            <v>Samara oblast</v>
          </cell>
          <cell r="E933" t="str">
            <v>RUS_44958</v>
          </cell>
        </row>
        <row r="934">
          <cell r="A934" t="str">
            <v>Saratov oblast|RUS_44959</v>
          </cell>
          <cell r="B934" t="str">
            <v>admin2</v>
          </cell>
          <cell r="C934">
            <v>44959</v>
          </cell>
          <cell r="D934" t="str">
            <v>Saratov oblast</v>
          </cell>
          <cell r="E934" t="str">
            <v>RUS_44959</v>
          </cell>
        </row>
        <row r="935">
          <cell r="A935" t="str">
            <v>Ulyanovsk oblast|RUS_44960</v>
          </cell>
          <cell r="B935" t="str">
            <v>admin2</v>
          </cell>
          <cell r="C935">
            <v>44960</v>
          </cell>
          <cell r="D935" t="str">
            <v>Ulyanovsk oblast</v>
          </cell>
          <cell r="E935" t="str">
            <v>RUS_44960</v>
          </cell>
        </row>
        <row r="936">
          <cell r="A936" t="str">
            <v>Kurgan oblast|RUS_44961</v>
          </cell>
          <cell r="B936" t="str">
            <v>admin2</v>
          </cell>
          <cell r="C936">
            <v>44961</v>
          </cell>
          <cell r="D936" t="str">
            <v>Kurgan oblast</v>
          </cell>
          <cell r="E936" t="str">
            <v>RUS_44961</v>
          </cell>
        </row>
        <row r="937">
          <cell r="A937" t="str">
            <v>Sverdlovsk oblast|RUS_44962</v>
          </cell>
          <cell r="B937" t="str">
            <v>admin2</v>
          </cell>
          <cell r="C937">
            <v>44962</v>
          </cell>
          <cell r="D937" t="str">
            <v>Sverdlovsk oblast</v>
          </cell>
          <cell r="E937" t="str">
            <v>RUS_44962</v>
          </cell>
        </row>
        <row r="938">
          <cell r="A938" t="str">
            <v>Khanty-Mansi autonomous area|RUS_44963</v>
          </cell>
          <cell r="B938" t="str">
            <v>admin2</v>
          </cell>
          <cell r="C938">
            <v>44963</v>
          </cell>
          <cell r="D938" t="str">
            <v>Khanty-Mansi autonomous area</v>
          </cell>
          <cell r="E938" t="str">
            <v>RUS_44963</v>
          </cell>
        </row>
        <row r="939">
          <cell r="A939" t="str">
            <v>Yamalo-Nenets autonomous area|RUS_44964</v>
          </cell>
          <cell r="B939" t="str">
            <v>admin2</v>
          </cell>
          <cell r="C939">
            <v>44964</v>
          </cell>
          <cell r="D939" t="str">
            <v>Yamalo-Nenets autonomous area</v>
          </cell>
          <cell r="E939" t="str">
            <v>RUS_44964</v>
          </cell>
        </row>
        <row r="940">
          <cell r="A940" t="str">
            <v>Tyumen oblast without autonomous areas|RUS_44965</v>
          </cell>
          <cell r="B940" t="str">
            <v>admin2</v>
          </cell>
          <cell r="C940">
            <v>44965</v>
          </cell>
          <cell r="D940" t="str">
            <v>Tyumen oblast without autonomous areas</v>
          </cell>
          <cell r="E940" t="str">
            <v>RUS_44965</v>
          </cell>
        </row>
        <row r="941">
          <cell r="A941" t="str">
            <v>Chelyabinsk oblast|RUS_44966</v>
          </cell>
          <cell r="B941" t="str">
            <v>admin2</v>
          </cell>
          <cell r="C941">
            <v>44966</v>
          </cell>
          <cell r="D941" t="str">
            <v>Chelyabinsk oblast</v>
          </cell>
          <cell r="E941" t="str">
            <v>RUS_44966</v>
          </cell>
        </row>
        <row r="942">
          <cell r="A942" t="str">
            <v>Republic of Altai|RUS_44967</v>
          </cell>
          <cell r="B942" t="str">
            <v>admin2</v>
          </cell>
          <cell r="C942">
            <v>44967</v>
          </cell>
          <cell r="D942" t="str">
            <v>Republic of Altai</v>
          </cell>
          <cell r="E942" t="str">
            <v>RUS_44967</v>
          </cell>
        </row>
        <row r="943">
          <cell r="A943" t="str">
            <v>Republic of Buryatia|RUS_44968</v>
          </cell>
          <cell r="B943" t="str">
            <v>admin2</v>
          </cell>
          <cell r="C943">
            <v>44968</v>
          </cell>
          <cell r="D943" t="str">
            <v>Republic of Buryatia</v>
          </cell>
          <cell r="E943" t="str">
            <v>RUS_44968</v>
          </cell>
        </row>
        <row r="944">
          <cell r="A944" t="str">
            <v>Republic of Tuva|RUS_44969</v>
          </cell>
          <cell r="B944" t="str">
            <v>admin2</v>
          </cell>
          <cell r="C944">
            <v>44969</v>
          </cell>
          <cell r="D944" t="str">
            <v>Republic of Tuva</v>
          </cell>
          <cell r="E944" t="str">
            <v>RUS_44969</v>
          </cell>
        </row>
        <row r="945">
          <cell r="A945" t="str">
            <v>Republic of Khakasia|RUS_44970</v>
          </cell>
          <cell r="B945" t="str">
            <v>admin2</v>
          </cell>
          <cell r="C945">
            <v>44970</v>
          </cell>
          <cell r="D945" t="str">
            <v>Republic of Khakasia</v>
          </cell>
          <cell r="E945" t="str">
            <v>RUS_44970</v>
          </cell>
        </row>
        <row r="946">
          <cell r="A946" t="str">
            <v>Altai kray|RUS_44971</v>
          </cell>
          <cell r="B946" t="str">
            <v>admin2</v>
          </cell>
          <cell r="C946">
            <v>44971</v>
          </cell>
          <cell r="D946" t="str">
            <v>Altai kray</v>
          </cell>
          <cell r="E946" t="str">
            <v>RUS_44971</v>
          </cell>
        </row>
        <row r="947">
          <cell r="A947" t="str">
            <v>Zabaikalsk kray|RUS_44972</v>
          </cell>
          <cell r="B947" t="str">
            <v>admin2</v>
          </cell>
          <cell r="C947">
            <v>44972</v>
          </cell>
          <cell r="D947" t="str">
            <v>Zabaikalsk kray</v>
          </cell>
          <cell r="E947" t="str">
            <v>RUS_44972</v>
          </cell>
        </row>
        <row r="948">
          <cell r="A948" t="str">
            <v>Krasnoyarsk kray|RUS_44973</v>
          </cell>
          <cell r="B948" t="str">
            <v>admin2</v>
          </cell>
          <cell r="C948">
            <v>44973</v>
          </cell>
          <cell r="D948" t="str">
            <v>Krasnoyarsk kray</v>
          </cell>
          <cell r="E948" t="str">
            <v>RUS_44973</v>
          </cell>
        </row>
        <row r="949">
          <cell r="A949" t="str">
            <v>Irkutsk oblast|RUS_44974</v>
          </cell>
          <cell r="B949" t="str">
            <v>admin2</v>
          </cell>
          <cell r="C949">
            <v>44974</v>
          </cell>
          <cell r="D949" t="str">
            <v>Irkutsk oblast</v>
          </cell>
          <cell r="E949" t="str">
            <v>RUS_44974</v>
          </cell>
        </row>
        <row r="950">
          <cell r="A950" t="str">
            <v>Kemerovo oblast|RUS_44975</v>
          </cell>
          <cell r="B950" t="str">
            <v>admin2</v>
          </cell>
          <cell r="C950">
            <v>44975</v>
          </cell>
          <cell r="D950" t="str">
            <v>Kemerovo oblast</v>
          </cell>
          <cell r="E950" t="str">
            <v>RUS_44975</v>
          </cell>
        </row>
        <row r="951">
          <cell r="A951" t="str">
            <v>Novosibirsk oblast|RUS_44976</v>
          </cell>
          <cell r="B951" t="str">
            <v>admin2</v>
          </cell>
          <cell r="C951">
            <v>44976</v>
          </cell>
          <cell r="D951" t="str">
            <v>Novosibirsk oblast</v>
          </cell>
          <cell r="E951" t="str">
            <v>RUS_44976</v>
          </cell>
        </row>
        <row r="952">
          <cell r="A952" t="str">
            <v>Omsk oblast|RUS_44977</v>
          </cell>
          <cell r="B952" t="str">
            <v>admin2</v>
          </cell>
          <cell r="C952">
            <v>44977</v>
          </cell>
          <cell r="D952" t="str">
            <v>Omsk oblast</v>
          </cell>
          <cell r="E952" t="str">
            <v>RUS_44977</v>
          </cell>
        </row>
        <row r="953">
          <cell r="A953" t="str">
            <v>Tomsk oblast|RUS_44978</v>
          </cell>
          <cell r="B953" t="str">
            <v>admin2</v>
          </cell>
          <cell r="C953">
            <v>44978</v>
          </cell>
          <cell r="D953" t="str">
            <v>Tomsk oblast</v>
          </cell>
          <cell r="E953" t="str">
            <v>RUS_44978</v>
          </cell>
        </row>
        <row r="954">
          <cell r="A954" t="str">
            <v>Republic of Sakha (Yakutia)|RUS_44979</v>
          </cell>
          <cell r="B954" t="str">
            <v>admin2</v>
          </cell>
          <cell r="C954">
            <v>44979</v>
          </cell>
          <cell r="D954" t="str">
            <v>Republic of Sakha (Yakutia)</v>
          </cell>
          <cell r="E954" t="str">
            <v>RUS_44979</v>
          </cell>
        </row>
        <row r="955">
          <cell r="A955" t="str">
            <v>Kamchatka kray|RUS_44980</v>
          </cell>
          <cell r="B955" t="str">
            <v>admin2</v>
          </cell>
          <cell r="C955">
            <v>44980</v>
          </cell>
          <cell r="D955" t="str">
            <v>Kamchatka kray</v>
          </cell>
          <cell r="E955" t="str">
            <v>RUS_44980</v>
          </cell>
        </row>
        <row r="956">
          <cell r="A956" t="str">
            <v>Primorsky kray|RUS_44981</v>
          </cell>
          <cell r="B956" t="str">
            <v>admin2</v>
          </cell>
          <cell r="C956">
            <v>44981</v>
          </cell>
          <cell r="D956" t="str">
            <v>Primorsky kray</v>
          </cell>
          <cell r="E956" t="str">
            <v>RUS_44981</v>
          </cell>
        </row>
        <row r="957">
          <cell r="A957" t="str">
            <v>Khabarovsk kray|RUS_44982</v>
          </cell>
          <cell r="B957" t="str">
            <v>admin2</v>
          </cell>
          <cell r="C957">
            <v>44982</v>
          </cell>
          <cell r="D957" t="str">
            <v>Khabarovsk kray</v>
          </cell>
          <cell r="E957" t="str">
            <v>RUS_44982</v>
          </cell>
        </row>
        <row r="958">
          <cell r="A958" t="str">
            <v>Amur oblast|RUS_44983</v>
          </cell>
          <cell r="B958" t="str">
            <v>admin2</v>
          </cell>
          <cell r="C958">
            <v>44983</v>
          </cell>
          <cell r="D958" t="str">
            <v>Amur oblast</v>
          </cell>
          <cell r="E958" t="str">
            <v>RUS_44983</v>
          </cell>
        </row>
        <row r="959">
          <cell r="A959" t="str">
            <v>Magadan oblast|RUS_44984</v>
          </cell>
          <cell r="B959" t="str">
            <v>admin2</v>
          </cell>
          <cell r="C959">
            <v>44984</v>
          </cell>
          <cell r="D959" t="str">
            <v>Magadan oblast</v>
          </cell>
          <cell r="E959" t="str">
            <v>RUS_44984</v>
          </cell>
        </row>
        <row r="960">
          <cell r="A960" t="str">
            <v>Sakhalin oblast|RUS_44985</v>
          </cell>
          <cell r="B960" t="str">
            <v>admin2</v>
          </cell>
          <cell r="C960">
            <v>44985</v>
          </cell>
          <cell r="D960" t="str">
            <v>Sakhalin oblast</v>
          </cell>
          <cell r="E960" t="str">
            <v>RUS_44985</v>
          </cell>
        </row>
        <row r="961">
          <cell r="A961" t="str">
            <v>Jewish autonomous oblast|RUS_44986</v>
          </cell>
          <cell r="B961" t="str">
            <v>admin2</v>
          </cell>
          <cell r="C961">
            <v>44986</v>
          </cell>
          <cell r="D961" t="str">
            <v>Jewish autonomous oblast</v>
          </cell>
          <cell r="E961" t="str">
            <v>RUS_44986</v>
          </cell>
        </row>
        <row r="962">
          <cell r="A962" t="str">
            <v>Chukchi autonomous area|RUS_44987</v>
          </cell>
          <cell r="B962" t="str">
            <v>admin2</v>
          </cell>
          <cell r="C962">
            <v>44987</v>
          </cell>
          <cell r="D962" t="str">
            <v>Chukchi autonomous area</v>
          </cell>
          <cell r="E962" t="str">
            <v>RUS_44987</v>
          </cell>
        </row>
        <row r="963">
          <cell r="A963" t="str">
            <v>Rwanda|RWA</v>
          </cell>
          <cell r="B963" t="str">
            <v>admin0</v>
          </cell>
          <cell r="C963">
            <v>185</v>
          </cell>
          <cell r="D963" t="str">
            <v>Rwanda</v>
          </cell>
          <cell r="E963" t="str">
            <v>RWA</v>
          </cell>
        </row>
        <row r="964">
          <cell r="A964" t="str">
            <v>High-income|S1</v>
          </cell>
          <cell r="B964" t="str">
            <v>superregion</v>
          </cell>
          <cell r="C964">
            <v>64</v>
          </cell>
          <cell r="D964" t="str">
            <v>High-income</v>
          </cell>
          <cell r="E964" t="str">
            <v>S1</v>
          </cell>
        </row>
        <row r="965">
          <cell r="A965" t="str">
            <v>Central Europe, Eastern Europe, and Central Asia|S2</v>
          </cell>
          <cell r="B965" t="str">
            <v>superregion</v>
          </cell>
          <cell r="C965">
            <v>31</v>
          </cell>
          <cell r="D965" t="str">
            <v>Central Europe, Eastern Europe, and Central Asia</v>
          </cell>
          <cell r="E965" t="str">
            <v>S2</v>
          </cell>
        </row>
        <row r="966">
          <cell r="A966" t="str">
            <v>Sub-Saharan Africa|S3</v>
          </cell>
          <cell r="B966" t="str">
            <v>superregion</v>
          </cell>
          <cell r="C966">
            <v>166</v>
          </cell>
          <cell r="D966" t="str">
            <v>Sub-Saharan Africa</v>
          </cell>
          <cell r="E966" t="str">
            <v>S3</v>
          </cell>
        </row>
        <row r="967">
          <cell r="A967" t="str">
            <v>North Africa and Middle East|S4</v>
          </cell>
          <cell r="B967" t="str">
            <v>superregion</v>
          </cell>
          <cell r="C967">
            <v>137</v>
          </cell>
          <cell r="D967" t="str">
            <v>North Africa and Middle East</v>
          </cell>
          <cell r="E967" t="str">
            <v>S4</v>
          </cell>
        </row>
        <row r="968">
          <cell r="A968" t="str">
            <v>South Asia|S5</v>
          </cell>
          <cell r="B968" t="str">
            <v>superregion</v>
          </cell>
          <cell r="C968">
            <v>158</v>
          </cell>
          <cell r="D968" t="str">
            <v>South Asia</v>
          </cell>
          <cell r="E968" t="str">
            <v>S5</v>
          </cell>
        </row>
        <row r="969">
          <cell r="A969" t="str">
            <v>Southeast Asia, East Asia, and Oceania|S6</v>
          </cell>
          <cell r="B969" t="str">
            <v>superregion</v>
          </cell>
          <cell r="C969">
            <v>4</v>
          </cell>
          <cell r="D969" t="str">
            <v>Southeast Asia, East Asia, and Oceania</v>
          </cell>
          <cell r="E969" t="str">
            <v>S6</v>
          </cell>
        </row>
        <row r="970">
          <cell r="A970" t="str">
            <v>Latin America and Caribbean|S7</v>
          </cell>
          <cell r="B970" t="str">
            <v>superregion</v>
          </cell>
          <cell r="C970">
            <v>103</v>
          </cell>
          <cell r="D970" t="str">
            <v>Latin America and Caribbean</v>
          </cell>
          <cell r="E970" t="str">
            <v>S7</v>
          </cell>
        </row>
        <row r="971">
          <cell r="A971" t="str">
            <v>Saudi Arabia|SAU</v>
          </cell>
          <cell r="B971" t="str">
            <v>admin0</v>
          </cell>
          <cell r="C971">
            <v>152</v>
          </cell>
          <cell r="D971" t="str">
            <v>Saudi Arabia</v>
          </cell>
          <cell r="E971" t="str">
            <v>SAU</v>
          </cell>
        </row>
        <row r="972">
          <cell r="A972" t="str">
            <v>Sudan|SDN</v>
          </cell>
          <cell r="B972" t="str">
            <v>admin0</v>
          </cell>
          <cell r="C972">
            <v>522</v>
          </cell>
          <cell r="D972" t="str">
            <v>Sudan</v>
          </cell>
          <cell r="E972" t="str">
            <v>SDN</v>
          </cell>
        </row>
        <row r="973">
          <cell r="A973" t="str">
            <v>Senegal|SEN</v>
          </cell>
          <cell r="B973" t="str">
            <v>admin0</v>
          </cell>
          <cell r="C973">
            <v>216</v>
          </cell>
          <cell r="D973" t="str">
            <v>Senegal</v>
          </cell>
          <cell r="E973" t="str">
            <v>SEN</v>
          </cell>
        </row>
        <row r="974">
          <cell r="A974" t="str">
            <v>Singapore|SGP</v>
          </cell>
          <cell r="B974" t="str">
            <v>admin0</v>
          </cell>
          <cell r="C974">
            <v>69</v>
          </cell>
          <cell r="D974" t="str">
            <v>Singapore</v>
          </cell>
          <cell r="E974" t="str">
            <v>SGP</v>
          </cell>
        </row>
        <row r="975">
          <cell r="A975" t="str">
            <v>Solomon Islands|SLB</v>
          </cell>
          <cell r="B975" t="str">
            <v>admin0</v>
          </cell>
          <cell r="C975">
            <v>28</v>
          </cell>
          <cell r="D975" t="str">
            <v>Solomon Islands</v>
          </cell>
          <cell r="E975" t="str">
            <v>SLB</v>
          </cell>
        </row>
        <row r="976">
          <cell r="A976" t="str">
            <v>Sierra Leone|SLE</v>
          </cell>
          <cell r="B976" t="str">
            <v>admin0</v>
          </cell>
          <cell r="C976">
            <v>217</v>
          </cell>
          <cell r="D976" t="str">
            <v>Sierra Leone</v>
          </cell>
          <cell r="E976" t="str">
            <v>SLE</v>
          </cell>
        </row>
        <row r="977">
          <cell r="A977" t="str">
            <v>El Salvador|SLV</v>
          </cell>
          <cell r="B977" t="str">
            <v>admin0</v>
          </cell>
          <cell r="C977">
            <v>127</v>
          </cell>
          <cell r="D977" t="str">
            <v>El Salvador</v>
          </cell>
          <cell r="E977" t="str">
            <v>SLV</v>
          </cell>
        </row>
        <row r="978">
          <cell r="A978" t="str">
            <v>San Marino|SMR</v>
          </cell>
          <cell r="B978" t="str">
            <v>admin0</v>
          </cell>
          <cell r="C978">
            <v>396</v>
          </cell>
          <cell r="D978" t="str">
            <v>San Marino</v>
          </cell>
          <cell r="E978" t="str">
            <v>SMR</v>
          </cell>
        </row>
        <row r="979">
          <cell r="A979" t="str">
            <v>Somalia|SOM</v>
          </cell>
          <cell r="B979" t="str">
            <v>admin0</v>
          </cell>
          <cell r="C979">
            <v>187</v>
          </cell>
          <cell r="D979" t="str">
            <v>Somalia</v>
          </cell>
          <cell r="E979" t="str">
            <v>SOM</v>
          </cell>
        </row>
        <row r="980">
          <cell r="A980" t="str">
            <v>Serbia|SRB</v>
          </cell>
          <cell r="B980" t="str">
            <v>admin0</v>
          </cell>
          <cell r="C980">
            <v>53</v>
          </cell>
          <cell r="D980" t="str">
            <v>Serbia</v>
          </cell>
          <cell r="E980" t="str">
            <v>SRB</v>
          </cell>
        </row>
        <row r="981">
          <cell r="A981" t="str">
            <v>South Sudan|SSD</v>
          </cell>
          <cell r="B981" t="str">
            <v>admin0</v>
          </cell>
          <cell r="C981">
            <v>435</v>
          </cell>
          <cell r="D981" t="str">
            <v>South Sudan</v>
          </cell>
          <cell r="E981" t="str">
            <v>SSD</v>
          </cell>
        </row>
        <row r="982">
          <cell r="A982" t="str">
            <v>Sao Tome and Principe|STP</v>
          </cell>
          <cell r="B982" t="str">
            <v>admin0</v>
          </cell>
          <cell r="C982">
            <v>215</v>
          </cell>
          <cell r="D982" t="str">
            <v>Sao Tome and Principe</v>
          </cell>
          <cell r="E982" t="str">
            <v>STP</v>
          </cell>
        </row>
        <row r="983">
          <cell r="A983" t="str">
            <v>Suriname|SUR</v>
          </cell>
          <cell r="B983" t="str">
            <v>admin0</v>
          </cell>
          <cell r="C983">
            <v>118</v>
          </cell>
          <cell r="D983" t="str">
            <v>Suriname</v>
          </cell>
          <cell r="E983" t="str">
            <v>SUR</v>
          </cell>
        </row>
        <row r="984">
          <cell r="A984" t="str">
            <v>Slovakia|SVK</v>
          </cell>
          <cell r="B984" t="str">
            <v>admin0</v>
          </cell>
          <cell r="C984">
            <v>54</v>
          </cell>
          <cell r="D984" t="str">
            <v>Slovakia</v>
          </cell>
          <cell r="E984" t="str">
            <v>SVK</v>
          </cell>
        </row>
        <row r="985">
          <cell r="A985" t="str">
            <v>Slovenia|SVN</v>
          </cell>
          <cell r="B985" t="str">
            <v>admin0</v>
          </cell>
          <cell r="C985">
            <v>55</v>
          </cell>
          <cell r="D985" t="str">
            <v>Slovenia</v>
          </cell>
          <cell r="E985" t="str">
            <v>SVN</v>
          </cell>
        </row>
        <row r="986">
          <cell r="A986" t="str">
            <v>Sweden|SWE</v>
          </cell>
          <cell r="B986" t="str">
            <v>admin0</v>
          </cell>
          <cell r="C986">
            <v>93</v>
          </cell>
          <cell r="D986" t="str">
            <v>Sweden</v>
          </cell>
          <cell r="E986" t="str">
            <v>SWE</v>
          </cell>
        </row>
        <row r="987">
          <cell r="A987" t="str">
            <v>Sweden except Stockholm|SWE_4940</v>
          </cell>
          <cell r="B987" t="str">
            <v>admin1</v>
          </cell>
          <cell r="C987">
            <v>4940</v>
          </cell>
          <cell r="D987" t="str">
            <v>Sweden except Stockholm</v>
          </cell>
          <cell r="E987" t="str">
            <v>SWE_4940</v>
          </cell>
        </row>
        <row r="988">
          <cell r="A988" t="str">
            <v>Stockholm|SWE_4944</v>
          </cell>
          <cell r="B988" t="str">
            <v>admin2</v>
          </cell>
          <cell r="C988">
            <v>4944</v>
          </cell>
          <cell r="D988" t="str">
            <v>Stockholm</v>
          </cell>
          <cell r="E988" t="str">
            <v>SWE_4944</v>
          </cell>
        </row>
        <row r="989">
          <cell r="A989" t="str">
            <v>Swaziland|SWZ</v>
          </cell>
          <cell r="B989" t="str">
            <v>admin0</v>
          </cell>
          <cell r="C989">
            <v>197</v>
          </cell>
          <cell r="D989" t="str">
            <v>Swaziland</v>
          </cell>
          <cell r="E989" t="str">
            <v>SWZ</v>
          </cell>
        </row>
        <row r="990">
          <cell r="A990" t="str">
            <v>Seychelles|SYC</v>
          </cell>
          <cell r="B990" t="str">
            <v>admin0</v>
          </cell>
          <cell r="C990">
            <v>186</v>
          </cell>
          <cell r="D990" t="str">
            <v>Seychelles</v>
          </cell>
          <cell r="E990" t="str">
            <v>SYC</v>
          </cell>
        </row>
        <row r="991">
          <cell r="A991" t="str">
            <v>Syria|SYR</v>
          </cell>
          <cell r="B991" t="str">
            <v>admin0</v>
          </cell>
          <cell r="C991">
            <v>153</v>
          </cell>
          <cell r="D991" t="str">
            <v>Syria</v>
          </cell>
          <cell r="E991" t="str">
            <v>SYR</v>
          </cell>
        </row>
        <row r="992">
          <cell r="A992" t="str">
            <v>Chad|TCD</v>
          </cell>
          <cell r="B992" t="str">
            <v>admin0</v>
          </cell>
          <cell r="C992">
            <v>204</v>
          </cell>
          <cell r="D992" t="str">
            <v>Chad</v>
          </cell>
          <cell r="E992" t="str">
            <v>TCD</v>
          </cell>
        </row>
        <row r="993">
          <cell r="A993" t="str">
            <v>Togo|TGO</v>
          </cell>
          <cell r="B993" t="str">
            <v>admin0</v>
          </cell>
          <cell r="C993">
            <v>218</v>
          </cell>
          <cell r="D993" t="str">
            <v>Togo</v>
          </cell>
          <cell r="E993" t="str">
            <v>TGO</v>
          </cell>
        </row>
        <row r="994">
          <cell r="A994" t="str">
            <v>Thailand|THA</v>
          </cell>
          <cell r="B994" t="str">
            <v>admin0</v>
          </cell>
          <cell r="C994">
            <v>18</v>
          </cell>
          <cell r="D994" t="str">
            <v>Thailand</v>
          </cell>
          <cell r="E994" t="str">
            <v>THA</v>
          </cell>
        </row>
        <row r="995">
          <cell r="A995" t="str">
            <v>Tajikistan|TJK</v>
          </cell>
          <cell r="B995" t="str">
            <v>admin0</v>
          </cell>
          <cell r="C995">
            <v>39</v>
          </cell>
          <cell r="D995" t="str">
            <v>Tajikistan</v>
          </cell>
          <cell r="E995" t="str">
            <v>TJK</v>
          </cell>
        </row>
        <row r="996">
          <cell r="A996" t="str">
            <v>Tokelau|TKL</v>
          </cell>
          <cell r="B996" t="str">
            <v>nonsovereign</v>
          </cell>
          <cell r="C996">
            <v>413</v>
          </cell>
          <cell r="D996" t="str">
            <v>Tokelau</v>
          </cell>
          <cell r="E996" t="str">
            <v>TKL</v>
          </cell>
        </row>
        <row r="997">
          <cell r="A997" t="str">
            <v>Turkmenistan|TKM</v>
          </cell>
          <cell r="B997" t="str">
            <v>admin0</v>
          </cell>
          <cell r="C997">
            <v>40</v>
          </cell>
          <cell r="D997" t="str">
            <v>Turkmenistan</v>
          </cell>
          <cell r="E997" t="str">
            <v>TKM</v>
          </cell>
        </row>
        <row r="998">
          <cell r="A998" t="str">
            <v>Timor-Leste|TLS</v>
          </cell>
          <cell r="B998" t="str">
            <v>admin0</v>
          </cell>
          <cell r="C998">
            <v>19</v>
          </cell>
          <cell r="D998" t="str">
            <v>Timor-Leste</v>
          </cell>
          <cell r="E998" t="str">
            <v>TLS</v>
          </cell>
        </row>
        <row r="999">
          <cell r="A999" t="str">
            <v>Tonga|TON</v>
          </cell>
          <cell r="B999" t="str">
            <v>admin0</v>
          </cell>
          <cell r="C999">
            <v>29</v>
          </cell>
          <cell r="D999" t="str">
            <v>Tonga</v>
          </cell>
          <cell r="E999" t="str">
            <v>TON</v>
          </cell>
        </row>
        <row r="1000">
          <cell r="A1000" t="str">
            <v>Trinidad and Tobago|TTO</v>
          </cell>
          <cell r="B1000" t="str">
            <v>admin0</v>
          </cell>
          <cell r="C1000">
            <v>119</v>
          </cell>
          <cell r="D1000" t="str">
            <v>Trinidad and Tobago</v>
          </cell>
          <cell r="E1000" t="str">
            <v>TTO</v>
          </cell>
        </row>
        <row r="1001">
          <cell r="A1001" t="str">
            <v>Tunisia|TUN</v>
          </cell>
          <cell r="B1001" t="str">
            <v>admin0</v>
          </cell>
          <cell r="C1001">
            <v>154</v>
          </cell>
          <cell r="D1001" t="str">
            <v>Tunisia</v>
          </cell>
          <cell r="E1001" t="str">
            <v>TUN</v>
          </cell>
        </row>
        <row r="1002">
          <cell r="A1002" t="str">
            <v>Turkey|TUR</v>
          </cell>
          <cell r="B1002" t="str">
            <v>admin0</v>
          </cell>
          <cell r="C1002">
            <v>155</v>
          </cell>
          <cell r="D1002" t="str">
            <v>Turkey</v>
          </cell>
          <cell r="E1002" t="str">
            <v>TUR</v>
          </cell>
        </row>
        <row r="1003">
          <cell r="A1003" t="str">
            <v>Tuvalu|TUV</v>
          </cell>
          <cell r="B1003" t="str">
            <v>admin0</v>
          </cell>
          <cell r="C1003">
            <v>416</v>
          </cell>
          <cell r="D1003" t="str">
            <v>Tuvalu</v>
          </cell>
          <cell r="E1003" t="str">
            <v>TUV</v>
          </cell>
        </row>
        <row r="1004">
          <cell r="A1004" t="str">
            <v>Taiwan|TWN</v>
          </cell>
          <cell r="B1004" t="str">
            <v>admin0</v>
          </cell>
          <cell r="C1004">
            <v>8</v>
          </cell>
          <cell r="D1004" t="str">
            <v>Taiwan</v>
          </cell>
          <cell r="E1004" t="str">
            <v>TWN</v>
          </cell>
        </row>
        <row r="1005">
          <cell r="A1005" t="str">
            <v>Tanzania|TZA</v>
          </cell>
          <cell r="B1005" t="str">
            <v>admin0</v>
          </cell>
          <cell r="C1005">
            <v>189</v>
          </cell>
          <cell r="D1005" t="str">
            <v>Tanzania</v>
          </cell>
          <cell r="E1005" t="str">
            <v>TZA</v>
          </cell>
        </row>
        <row r="1006">
          <cell r="A1006" t="str">
            <v>Uganda|UGA</v>
          </cell>
          <cell r="B1006" t="str">
            <v>admin0</v>
          </cell>
          <cell r="C1006">
            <v>190</v>
          </cell>
          <cell r="D1006" t="str">
            <v>Uganda</v>
          </cell>
          <cell r="E1006" t="str">
            <v>UGA</v>
          </cell>
        </row>
        <row r="1007">
          <cell r="A1007" t="str">
            <v>Ukraine|UKR</v>
          </cell>
          <cell r="B1007" t="str">
            <v>admin0</v>
          </cell>
          <cell r="C1007">
            <v>63</v>
          </cell>
          <cell r="D1007" t="str">
            <v>Ukraine</v>
          </cell>
          <cell r="E1007" t="str">
            <v>UKR</v>
          </cell>
        </row>
        <row r="1008">
          <cell r="A1008" t="str">
            <v>Republic of Crimea|UKR_44934</v>
          </cell>
          <cell r="B1008" t="str">
            <v>admin2</v>
          </cell>
          <cell r="C1008">
            <v>44934</v>
          </cell>
          <cell r="D1008" t="str">
            <v>Republic of Crimea</v>
          </cell>
          <cell r="E1008" t="str">
            <v>UKR_44934</v>
          </cell>
        </row>
        <row r="1009">
          <cell r="A1009" t="str">
            <v>Sevastopol|UKR_44939</v>
          </cell>
          <cell r="B1009" t="str">
            <v>admin2</v>
          </cell>
          <cell r="C1009">
            <v>44939</v>
          </cell>
          <cell r="D1009" t="str">
            <v>Sevastopol</v>
          </cell>
          <cell r="E1009" t="str">
            <v>UKR_44939</v>
          </cell>
        </row>
        <row r="1010">
          <cell r="A1010" t="str">
            <v>Ukraine (without Crimea &amp; Sevastopol)|UKR_50559</v>
          </cell>
          <cell r="B1010" t="str">
            <v>subnational</v>
          </cell>
          <cell r="C1010">
            <v>50559</v>
          </cell>
          <cell r="D1010" t="str">
            <v>Ukraine (without Crimea &amp; Sevastopol)</v>
          </cell>
          <cell r="E1010" t="str">
            <v>UKR_50559</v>
          </cell>
        </row>
        <row r="1011">
          <cell r="A1011" t="str">
            <v>Uruguay|URY</v>
          </cell>
          <cell r="B1011" t="str">
            <v>admin0</v>
          </cell>
          <cell r="C1011">
            <v>99</v>
          </cell>
          <cell r="D1011" t="str">
            <v>Uruguay</v>
          </cell>
          <cell r="E1011" t="str">
            <v>URY</v>
          </cell>
        </row>
        <row r="1012">
          <cell r="A1012" t="str">
            <v>United States|USA</v>
          </cell>
          <cell r="B1012" t="str">
            <v>admin0</v>
          </cell>
          <cell r="C1012">
            <v>102</v>
          </cell>
          <cell r="D1012" t="str">
            <v>United States</v>
          </cell>
          <cell r="E1012" t="str">
            <v>USA</v>
          </cell>
        </row>
        <row r="1013">
          <cell r="A1013" t="str">
            <v>Alabama|USA_523</v>
          </cell>
          <cell r="B1013" t="str">
            <v>admin1</v>
          </cell>
          <cell r="C1013">
            <v>523</v>
          </cell>
          <cell r="D1013" t="str">
            <v>Alabama</v>
          </cell>
          <cell r="E1013" t="str">
            <v>USA_523</v>
          </cell>
        </row>
        <row r="1014">
          <cell r="A1014" t="str">
            <v>Alaska|USA_524</v>
          </cell>
          <cell r="B1014" t="str">
            <v>admin1</v>
          </cell>
          <cell r="C1014">
            <v>524</v>
          </cell>
          <cell r="D1014" t="str">
            <v>Alaska</v>
          </cell>
          <cell r="E1014" t="str">
            <v>USA_524</v>
          </cell>
        </row>
        <row r="1015">
          <cell r="A1015" t="str">
            <v>Arizona|USA_525</v>
          </cell>
          <cell r="B1015" t="str">
            <v>admin1</v>
          </cell>
          <cell r="C1015">
            <v>525</v>
          </cell>
          <cell r="D1015" t="str">
            <v>Arizona</v>
          </cell>
          <cell r="E1015" t="str">
            <v>USA_525</v>
          </cell>
        </row>
        <row r="1016">
          <cell r="A1016" t="str">
            <v>Arkansas|USA_526</v>
          </cell>
          <cell r="B1016" t="str">
            <v>admin1</v>
          </cell>
          <cell r="C1016">
            <v>526</v>
          </cell>
          <cell r="D1016" t="str">
            <v>Arkansas</v>
          </cell>
          <cell r="E1016" t="str">
            <v>USA_526</v>
          </cell>
        </row>
        <row r="1017">
          <cell r="A1017" t="str">
            <v>California|USA_527</v>
          </cell>
          <cell r="B1017" t="str">
            <v>admin1</v>
          </cell>
          <cell r="C1017">
            <v>527</v>
          </cell>
          <cell r="D1017" t="str">
            <v>California</v>
          </cell>
          <cell r="E1017" t="str">
            <v>USA_527</v>
          </cell>
        </row>
        <row r="1018">
          <cell r="A1018" t="str">
            <v>Colorado|USA_528</v>
          </cell>
          <cell r="B1018" t="str">
            <v>admin1</v>
          </cell>
          <cell r="C1018">
            <v>528</v>
          </cell>
          <cell r="D1018" t="str">
            <v>Colorado</v>
          </cell>
          <cell r="E1018" t="str">
            <v>USA_528</v>
          </cell>
        </row>
        <row r="1019">
          <cell r="A1019" t="str">
            <v>Connecticut|USA_529</v>
          </cell>
          <cell r="B1019" t="str">
            <v>admin1</v>
          </cell>
          <cell r="C1019">
            <v>529</v>
          </cell>
          <cell r="D1019" t="str">
            <v>Connecticut</v>
          </cell>
          <cell r="E1019" t="str">
            <v>USA_529</v>
          </cell>
        </row>
        <row r="1020">
          <cell r="A1020" t="str">
            <v>Delaware|USA_530</v>
          </cell>
          <cell r="B1020" t="str">
            <v>admin1</v>
          </cell>
          <cell r="C1020">
            <v>530</v>
          </cell>
          <cell r="D1020" t="str">
            <v>Delaware</v>
          </cell>
          <cell r="E1020" t="str">
            <v>USA_530</v>
          </cell>
        </row>
        <row r="1021">
          <cell r="A1021" t="str">
            <v>District of Columbia|USA_531</v>
          </cell>
          <cell r="B1021" t="str">
            <v>admin1</v>
          </cell>
          <cell r="C1021">
            <v>531</v>
          </cell>
          <cell r="D1021" t="str">
            <v>District of Columbia</v>
          </cell>
          <cell r="E1021" t="str">
            <v>USA_531</v>
          </cell>
        </row>
        <row r="1022">
          <cell r="A1022" t="str">
            <v>Florida|USA_532</v>
          </cell>
          <cell r="B1022" t="str">
            <v>admin1</v>
          </cell>
          <cell r="C1022">
            <v>532</v>
          </cell>
          <cell r="D1022" t="str">
            <v>Florida</v>
          </cell>
          <cell r="E1022" t="str">
            <v>USA_532</v>
          </cell>
        </row>
        <row r="1023">
          <cell r="A1023" t="str">
            <v>Georgia|USA_533</v>
          </cell>
          <cell r="B1023" t="str">
            <v>admin1</v>
          </cell>
          <cell r="C1023">
            <v>533</v>
          </cell>
          <cell r="D1023" t="str">
            <v>Georgia</v>
          </cell>
          <cell r="E1023" t="str">
            <v>USA_533</v>
          </cell>
        </row>
        <row r="1024">
          <cell r="A1024" t="str">
            <v>Hawaii|USA_534</v>
          </cell>
          <cell r="B1024" t="str">
            <v>admin1</v>
          </cell>
          <cell r="C1024">
            <v>534</v>
          </cell>
          <cell r="D1024" t="str">
            <v>Hawaii</v>
          </cell>
          <cell r="E1024" t="str">
            <v>USA_534</v>
          </cell>
        </row>
        <row r="1025">
          <cell r="A1025" t="str">
            <v>Idaho|USA_535</v>
          </cell>
          <cell r="B1025" t="str">
            <v>admin1</v>
          </cell>
          <cell r="C1025">
            <v>535</v>
          </cell>
          <cell r="D1025" t="str">
            <v>Idaho</v>
          </cell>
          <cell r="E1025" t="str">
            <v>USA_535</v>
          </cell>
        </row>
        <row r="1026">
          <cell r="A1026" t="str">
            <v>Illinois|USA_536</v>
          </cell>
          <cell r="B1026" t="str">
            <v>admin1</v>
          </cell>
          <cell r="C1026">
            <v>536</v>
          </cell>
          <cell r="D1026" t="str">
            <v>Illinois</v>
          </cell>
          <cell r="E1026" t="str">
            <v>USA_536</v>
          </cell>
        </row>
        <row r="1027">
          <cell r="A1027" t="str">
            <v>Indiana|USA_537</v>
          </cell>
          <cell r="B1027" t="str">
            <v>admin1</v>
          </cell>
          <cell r="C1027">
            <v>537</v>
          </cell>
          <cell r="D1027" t="str">
            <v>Indiana</v>
          </cell>
          <cell r="E1027" t="str">
            <v>USA_537</v>
          </cell>
        </row>
        <row r="1028">
          <cell r="A1028" t="str">
            <v>Iowa|USA_538</v>
          </cell>
          <cell r="B1028" t="str">
            <v>admin1</v>
          </cell>
          <cell r="C1028">
            <v>538</v>
          </cell>
          <cell r="D1028" t="str">
            <v>Iowa</v>
          </cell>
          <cell r="E1028" t="str">
            <v>USA_538</v>
          </cell>
        </row>
        <row r="1029">
          <cell r="A1029" t="str">
            <v>Kansas|USA_539</v>
          </cell>
          <cell r="B1029" t="str">
            <v>admin1</v>
          </cell>
          <cell r="C1029">
            <v>539</v>
          </cell>
          <cell r="D1029" t="str">
            <v>Kansas</v>
          </cell>
          <cell r="E1029" t="str">
            <v>USA_539</v>
          </cell>
        </row>
        <row r="1030">
          <cell r="A1030" t="str">
            <v>Kentucky|USA_540</v>
          </cell>
          <cell r="B1030" t="str">
            <v>admin1</v>
          </cell>
          <cell r="C1030">
            <v>540</v>
          </cell>
          <cell r="D1030" t="str">
            <v>Kentucky</v>
          </cell>
          <cell r="E1030" t="str">
            <v>USA_540</v>
          </cell>
        </row>
        <row r="1031">
          <cell r="A1031" t="str">
            <v>Louisiana|USA_541</v>
          </cell>
          <cell r="B1031" t="str">
            <v>admin1</v>
          </cell>
          <cell r="C1031">
            <v>541</v>
          </cell>
          <cell r="D1031" t="str">
            <v>Louisiana</v>
          </cell>
          <cell r="E1031" t="str">
            <v>USA_541</v>
          </cell>
        </row>
        <row r="1032">
          <cell r="A1032" t="str">
            <v>Maine|USA_542</v>
          </cell>
          <cell r="B1032" t="str">
            <v>admin1</v>
          </cell>
          <cell r="C1032">
            <v>542</v>
          </cell>
          <cell r="D1032" t="str">
            <v>Maine</v>
          </cell>
          <cell r="E1032" t="str">
            <v>USA_542</v>
          </cell>
        </row>
        <row r="1033">
          <cell r="A1033" t="str">
            <v>Maryland|USA_543</v>
          </cell>
          <cell r="B1033" t="str">
            <v>admin1</v>
          </cell>
          <cell r="C1033">
            <v>543</v>
          </cell>
          <cell r="D1033" t="str">
            <v>Maryland</v>
          </cell>
          <cell r="E1033" t="str">
            <v>USA_543</v>
          </cell>
        </row>
        <row r="1034">
          <cell r="A1034" t="str">
            <v>Massachusetts|USA_544</v>
          </cell>
          <cell r="B1034" t="str">
            <v>admin1</v>
          </cell>
          <cell r="C1034">
            <v>544</v>
          </cell>
          <cell r="D1034" t="str">
            <v>Massachusetts</v>
          </cell>
          <cell r="E1034" t="str">
            <v>USA_544</v>
          </cell>
        </row>
        <row r="1035">
          <cell r="A1035" t="str">
            <v>Michigan|USA_545</v>
          </cell>
          <cell r="B1035" t="str">
            <v>admin1</v>
          </cell>
          <cell r="C1035">
            <v>545</v>
          </cell>
          <cell r="D1035" t="str">
            <v>Michigan</v>
          </cell>
          <cell r="E1035" t="str">
            <v>USA_545</v>
          </cell>
        </row>
        <row r="1036">
          <cell r="A1036" t="str">
            <v>Minnesota|USA_546</v>
          </cell>
          <cell r="B1036" t="str">
            <v>admin1</v>
          </cell>
          <cell r="C1036">
            <v>546</v>
          </cell>
          <cell r="D1036" t="str">
            <v>Minnesota</v>
          </cell>
          <cell r="E1036" t="str">
            <v>USA_546</v>
          </cell>
        </row>
        <row r="1037">
          <cell r="A1037" t="str">
            <v>Mississippi|USA_547</v>
          </cell>
          <cell r="B1037" t="str">
            <v>admin1</v>
          </cell>
          <cell r="C1037">
            <v>547</v>
          </cell>
          <cell r="D1037" t="str">
            <v>Mississippi</v>
          </cell>
          <cell r="E1037" t="str">
            <v>USA_547</v>
          </cell>
        </row>
        <row r="1038">
          <cell r="A1038" t="str">
            <v>Missouri|USA_548</v>
          </cell>
          <cell r="B1038" t="str">
            <v>admin1</v>
          </cell>
          <cell r="C1038">
            <v>548</v>
          </cell>
          <cell r="D1038" t="str">
            <v>Missouri</v>
          </cell>
          <cell r="E1038" t="str">
            <v>USA_548</v>
          </cell>
        </row>
        <row r="1039">
          <cell r="A1039" t="str">
            <v>Montana|USA_549</v>
          </cell>
          <cell r="B1039" t="str">
            <v>admin1</v>
          </cell>
          <cell r="C1039">
            <v>549</v>
          </cell>
          <cell r="D1039" t="str">
            <v>Montana</v>
          </cell>
          <cell r="E1039" t="str">
            <v>USA_549</v>
          </cell>
        </row>
        <row r="1040">
          <cell r="A1040" t="str">
            <v>Nebraska|USA_550</v>
          </cell>
          <cell r="B1040" t="str">
            <v>admin1</v>
          </cell>
          <cell r="C1040">
            <v>550</v>
          </cell>
          <cell r="D1040" t="str">
            <v>Nebraska</v>
          </cell>
          <cell r="E1040" t="str">
            <v>USA_550</v>
          </cell>
        </row>
        <row r="1041">
          <cell r="A1041" t="str">
            <v>Nevada|USA_551</v>
          </cell>
          <cell r="B1041" t="str">
            <v>admin1</v>
          </cell>
          <cell r="C1041">
            <v>551</v>
          </cell>
          <cell r="D1041" t="str">
            <v>Nevada</v>
          </cell>
          <cell r="E1041" t="str">
            <v>USA_551</v>
          </cell>
        </row>
        <row r="1042">
          <cell r="A1042" t="str">
            <v>New Hampshire|USA_552</v>
          </cell>
          <cell r="B1042" t="str">
            <v>admin1</v>
          </cell>
          <cell r="C1042">
            <v>552</v>
          </cell>
          <cell r="D1042" t="str">
            <v>New Hampshire</v>
          </cell>
          <cell r="E1042" t="str">
            <v>USA_552</v>
          </cell>
        </row>
        <row r="1043">
          <cell r="A1043" t="str">
            <v>New Jersey|USA_553</v>
          </cell>
          <cell r="B1043" t="str">
            <v>admin1</v>
          </cell>
          <cell r="C1043">
            <v>553</v>
          </cell>
          <cell r="D1043" t="str">
            <v>New Jersey</v>
          </cell>
          <cell r="E1043" t="str">
            <v>USA_553</v>
          </cell>
        </row>
        <row r="1044">
          <cell r="A1044" t="str">
            <v>New Mexico|USA_554</v>
          </cell>
          <cell r="B1044" t="str">
            <v>admin1</v>
          </cell>
          <cell r="C1044">
            <v>554</v>
          </cell>
          <cell r="D1044" t="str">
            <v>New Mexico</v>
          </cell>
          <cell r="E1044" t="str">
            <v>USA_554</v>
          </cell>
        </row>
        <row r="1045">
          <cell r="A1045" t="str">
            <v>New York|USA_555</v>
          </cell>
          <cell r="B1045" t="str">
            <v>admin1</v>
          </cell>
          <cell r="C1045">
            <v>555</v>
          </cell>
          <cell r="D1045" t="str">
            <v>New York</v>
          </cell>
          <cell r="E1045" t="str">
            <v>USA_555</v>
          </cell>
        </row>
        <row r="1046">
          <cell r="A1046" t="str">
            <v>North Carolina|USA_556</v>
          </cell>
          <cell r="B1046" t="str">
            <v>admin1</v>
          </cell>
          <cell r="C1046">
            <v>556</v>
          </cell>
          <cell r="D1046" t="str">
            <v>North Carolina</v>
          </cell>
          <cell r="E1046" t="str">
            <v>USA_556</v>
          </cell>
        </row>
        <row r="1047">
          <cell r="A1047" t="str">
            <v>North Dakota|USA_557</v>
          </cell>
          <cell r="B1047" t="str">
            <v>admin1</v>
          </cell>
          <cell r="C1047">
            <v>557</v>
          </cell>
          <cell r="D1047" t="str">
            <v>North Dakota</v>
          </cell>
          <cell r="E1047" t="str">
            <v>USA_557</v>
          </cell>
        </row>
        <row r="1048">
          <cell r="A1048" t="str">
            <v>Ohio|USA_558</v>
          </cell>
          <cell r="B1048" t="str">
            <v>admin1</v>
          </cell>
          <cell r="C1048">
            <v>558</v>
          </cell>
          <cell r="D1048" t="str">
            <v>Ohio</v>
          </cell>
          <cell r="E1048" t="str">
            <v>USA_558</v>
          </cell>
        </row>
        <row r="1049">
          <cell r="A1049" t="str">
            <v>Oklahoma|USA_559</v>
          </cell>
          <cell r="B1049" t="str">
            <v>admin1</v>
          </cell>
          <cell r="C1049">
            <v>559</v>
          </cell>
          <cell r="D1049" t="str">
            <v>Oklahoma</v>
          </cell>
          <cell r="E1049" t="str">
            <v>USA_559</v>
          </cell>
        </row>
        <row r="1050">
          <cell r="A1050" t="str">
            <v>Oregon|USA_560</v>
          </cell>
          <cell r="B1050" t="str">
            <v>admin1</v>
          </cell>
          <cell r="C1050">
            <v>560</v>
          </cell>
          <cell r="D1050" t="str">
            <v>Oregon</v>
          </cell>
          <cell r="E1050" t="str">
            <v>USA_560</v>
          </cell>
        </row>
        <row r="1051">
          <cell r="A1051" t="str">
            <v>Pennsylvania|USA_561</v>
          </cell>
          <cell r="B1051" t="str">
            <v>admin1</v>
          </cell>
          <cell r="C1051">
            <v>561</v>
          </cell>
          <cell r="D1051" t="str">
            <v>Pennsylvania</v>
          </cell>
          <cell r="E1051" t="str">
            <v>USA_561</v>
          </cell>
        </row>
        <row r="1052">
          <cell r="A1052" t="str">
            <v>Rhode Island|USA_562</v>
          </cell>
          <cell r="B1052" t="str">
            <v>admin1</v>
          </cell>
          <cell r="C1052">
            <v>562</v>
          </cell>
          <cell r="D1052" t="str">
            <v>Rhode Island</v>
          </cell>
          <cell r="E1052" t="str">
            <v>USA_562</v>
          </cell>
        </row>
        <row r="1053">
          <cell r="A1053" t="str">
            <v>South Carolina|USA_563</v>
          </cell>
          <cell r="B1053" t="str">
            <v>admin1</v>
          </cell>
          <cell r="C1053">
            <v>563</v>
          </cell>
          <cell r="D1053" t="str">
            <v>South Carolina</v>
          </cell>
          <cell r="E1053" t="str">
            <v>USA_563</v>
          </cell>
        </row>
        <row r="1054">
          <cell r="A1054" t="str">
            <v>South Dakota|USA_564</v>
          </cell>
          <cell r="B1054" t="str">
            <v>admin1</v>
          </cell>
          <cell r="C1054">
            <v>564</v>
          </cell>
          <cell r="D1054" t="str">
            <v>South Dakota</v>
          </cell>
          <cell r="E1054" t="str">
            <v>USA_564</v>
          </cell>
        </row>
        <row r="1055">
          <cell r="A1055" t="str">
            <v>Tennessee|USA_565</v>
          </cell>
          <cell r="B1055" t="str">
            <v>admin1</v>
          </cell>
          <cell r="C1055">
            <v>565</v>
          </cell>
          <cell r="D1055" t="str">
            <v>Tennessee</v>
          </cell>
          <cell r="E1055" t="str">
            <v>USA_565</v>
          </cell>
        </row>
        <row r="1056">
          <cell r="A1056" t="str">
            <v>Texas|USA_566</v>
          </cell>
          <cell r="B1056" t="str">
            <v>admin1</v>
          </cell>
          <cell r="C1056">
            <v>566</v>
          </cell>
          <cell r="D1056" t="str">
            <v>Texas</v>
          </cell>
          <cell r="E1056" t="str">
            <v>USA_566</v>
          </cell>
        </row>
        <row r="1057">
          <cell r="A1057" t="str">
            <v>Utah|USA_567</v>
          </cell>
          <cell r="B1057" t="str">
            <v>admin1</v>
          </cell>
          <cell r="C1057">
            <v>567</v>
          </cell>
          <cell r="D1057" t="str">
            <v>Utah</v>
          </cell>
          <cell r="E1057" t="str">
            <v>USA_567</v>
          </cell>
        </row>
        <row r="1058">
          <cell r="A1058" t="str">
            <v>Vermont|USA_568</v>
          </cell>
          <cell r="B1058" t="str">
            <v>admin1</v>
          </cell>
          <cell r="C1058">
            <v>568</v>
          </cell>
          <cell r="D1058" t="str">
            <v>Vermont</v>
          </cell>
          <cell r="E1058" t="str">
            <v>USA_568</v>
          </cell>
        </row>
        <row r="1059">
          <cell r="A1059" t="str">
            <v>Virginia|USA_569</v>
          </cell>
          <cell r="B1059" t="str">
            <v>admin1</v>
          </cell>
          <cell r="C1059">
            <v>569</v>
          </cell>
          <cell r="D1059" t="str">
            <v>Virginia</v>
          </cell>
          <cell r="E1059" t="str">
            <v>USA_569</v>
          </cell>
        </row>
        <row r="1060">
          <cell r="A1060" t="str">
            <v>Washington|USA_570</v>
          </cell>
          <cell r="B1060" t="str">
            <v>admin1</v>
          </cell>
          <cell r="C1060">
            <v>570</v>
          </cell>
          <cell r="D1060" t="str">
            <v>Washington</v>
          </cell>
          <cell r="E1060" t="str">
            <v>USA_570</v>
          </cell>
        </row>
        <row r="1061">
          <cell r="A1061" t="str">
            <v>West Virginia|USA_571</v>
          </cell>
          <cell r="B1061" t="str">
            <v>admin1</v>
          </cell>
          <cell r="C1061">
            <v>571</v>
          </cell>
          <cell r="D1061" t="str">
            <v>West Virginia</v>
          </cell>
          <cell r="E1061" t="str">
            <v>USA_571</v>
          </cell>
        </row>
        <row r="1062">
          <cell r="A1062" t="str">
            <v>Wisconsin|USA_572</v>
          </cell>
          <cell r="B1062" t="str">
            <v>admin1</v>
          </cell>
          <cell r="C1062">
            <v>572</v>
          </cell>
          <cell r="D1062" t="str">
            <v>Wisconsin</v>
          </cell>
          <cell r="E1062" t="str">
            <v>USA_572</v>
          </cell>
        </row>
        <row r="1063">
          <cell r="A1063" t="str">
            <v>Wyoming|USA_573</v>
          </cell>
          <cell r="B1063" t="str">
            <v>admin1</v>
          </cell>
          <cell r="C1063">
            <v>573</v>
          </cell>
          <cell r="D1063" t="str">
            <v>Wyoming</v>
          </cell>
          <cell r="E1063" t="str">
            <v>USA_573</v>
          </cell>
        </row>
        <row r="1064">
          <cell r="A1064" t="str">
            <v>Uzbekistan|UZB</v>
          </cell>
          <cell r="B1064" t="str">
            <v>admin0</v>
          </cell>
          <cell r="C1064">
            <v>41</v>
          </cell>
          <cell r="D1064" t="str">
            <v>Uzbekistan</v>
          </cell>
          <cell r="E1064" t="str">
            <v>UZB</v>
          </cell>
        </row>
        <row r="1065">
          <cell r="A1065" t="str">
            <v>Saint Vincent and the Grenadines|VCT</v>
          </cell>
          <cell r="B1065" t="str">
            <v>admin0</v>
          </cell>
          <cell r="C1065">
            <v>117</v>
          </cell>
          <cell r="D1065" t="str">
            <v>Saint Vincent and the Grenadines</v>
          </cell>
          <cell r="E1065" t="str">
            <v>VCT</v>
          </cell>
        </row>
        <row r="1066">
          <cell r="A1066" t="str">
            <v>Venezuela|VEN</v>
          </cell>
          <cell r="B1066" t="str">
            <v>admin0</v>
          </cell>
          <cell r="C1066">
            <v>133</v>
          </cell>
          <cell r="D1066" t="str">
            <v>Venezuela</v>
          </cell>
          <cell r="E1066" t="str">
            <v>VEN</v>
          </cell>
        </row>
        <row r="1067">
          <cell r="A1067" t="str">
            <v>Virgin Islands, U.S.|VIR</v>
          </cell>
          <cell r="B1067" t="str">
            <v>nonsovereign</v>
          </cell>
          <cell r="C1067">
            <v>422</v>
          </cell>
          <cell r="D1067" t="str">
            <v>Virgin Islands, U.S.</v>
          </cell>
          <cell r="E1067" t="str">
            <v>VIR</v>
          </cell>
        </row>
        <row r="1068">
          <cell r="A1068" t="str">
            <v>Vietnam|VNM</v>
          </cell>
          <cell r="B1068" t="str">
            <v>admin0</v>
          </cell>
          <cell r="C1068">
            <v>20</v>
          </cell>
          <cell r="D1068" t="str">
            <v>Vietnam</v>
          </cell>
          <cell r="E1068" t="str">
            <v>VNM</v>
          </cell>
        </row>
        <row r="1069">
          <cell r="A1069" t="str">
            <v>Vanuatu|VUT</v>
          </cell>
          <cell r="B1069" t="str">
            <v>admin0</v>
          </cell>
          <cell r="C1069">
            <v>30</v>
          </cell>
          <cell r="D1069" t="str">
            <v>Vanuatu</v>
          </cell>
          <cell r="E1069" t="str">
            <v>VUT</v>
          </cell>
        </row>
        <row r="1070">
          <cell r="A1070" t="str">
            <v>Samoa|WSM</v>
          </cell>
          <cell r="B1070" t="str">
            <v>admin0</v>
          </cell>
          <cell r="C1070">
            <v>27</v>
          </cell>
          <cell r="D1070" t="str">
            <v>Samoa</v>
          </cell>
          <cell r="E1070" t="str">
            <v>WSM</v>
          </cell>
        </row>
        <row r="1071">
          <cell r="A1071" t="str">
            <v>Yemen|YEM</v>
          </cell>
          <cell r="B1071" t="str">
            <v>admin0</v>
          </cell>
          <cell r="C1071">
            <v>157</v>
          </cell>
          <cell r="D1071" t="str">
            <v>Yemen</v>
          </cell>
          <cell r="E1071" t="str">
            <v>YEM</v>
          </cell>
        </row>
        <row r="1072">
          <cell r="A1072" t="str">
            <v>South Africa|ZAF</v>
          </cell>
          <cell r="B1072" t="str">
            <v>admin0</v>
          </cell>
          <cell r="C1072">
            <v>196</v>
          </cell>
          <cell r="D1072" t="str">
            <v>South Africa</v>
          </cell>
          <cell r="E1072" t="str">
            <v>ZAF</v>
          </cell>
        </row>
        <row r="1073">
          <cell r="A1073" t="str">
            <v>Eastern Cape|ZAF_482</v>
          </cell>
          <cell r="B1073" t="str">
            <v>admin1</v>
          </cell>
          <cell r="C1073">
            <v>482</v>
          </cell>
          <cell r="D1073" t="str">
            <v>Eastern Cape</v>
          </cell>
          <cell r="E1073" t="str">
            <v>ZAF_482</v>
          </cell>
        </row>
        <row r="1074">
          <cell r="A1074" t="str">
            <v>Free State|ZAF_483</v>
          </cell>
          <cell r="B1074" t="str">
            <v>admin1</v>
          </cell>
          <cell r="C1074">
            <v>483</v>
          </cell>
          <cell r="D1074" t="str">
            <v>Free State</v>
          </cell>
          <cell r="E1074" t="str">
            <v>ZAF_483</v>
          </cell>
        </row>
        <row r="1075">
          <cell r="A1075" t="str">
            <v>Gauteng|ZAF_484</v>
          </cell>
          <cell r="B1075" t="str">
            <v>admin1</v>
          </cell>
          <cell r="C1075">
            <v>484</v>
          </cell>
          <cell r="D1075" t="str">
            <v>Gauteng</v>
          </cell>
          <cell r="E1075" t="str">
            <v>ZAF_484</v>
          </cell>
        </row>
        <row r="1076">
          <cell r="A1076" t="str">
            <v>KwaZulu-Natal|ZAF_485</v>
          </cell>
          <cell r="B1076" t="str">
            <v>admin1</v>
          </cell>
          <cell r="C1076">
            <v>485</v>
          </cell>
          <cell r="D1076" t="str">
            <v>KwaZulu-Natal</v>
          </cell>
          <cell r="E1076" t="str">
            <v>ZAF_485</v>
          </cell>
        </row>
        <row r="1077">
          <cell r="A1077" t="str">
            <v>Limpopo|ZAF_486</v>
          </cell>
          <cell r="B1077" t="str">
            <v>admin1</v>
          </cell>
          <cell r="C1077">
            <v>486</v>
          </cell>
          <cell r="D1077" t="str">
            <v>Limpopo</v>
          </cell>
          <cell r="E1077" t="str">
            <v>ZAF_486</v>
          </cell>
        </row>
        <row r="1078">
          <cell r="A1078" t="str">
            <v>Mpumalanga|ZAF_487</v>
          </cell>
          <cell r="B1078" t="str">
            <v>admin1</v>
          </cell>
          <cell r="C1078">
            <v>487</v>
          </cell>
          <cell r="D1078" t="str">
            <v>Mpumalanga</v>
          </cell>
          <cell r="E1078" t="str">
            <v>ZAF_487</v>
          </cell>
        </row>
        <row r="1079">
          <cell r="A1079" t="str">
            <v>North-West|ZAF_488</v>
          </cell>
          <cell r="B1079" t="str">
            <v>admin1</v>
          </cell>
          <cell r="C1079">
            <v>488</v>
          </cell>
          <cell r="D1079" t="str">
            <v>North-West</v>
          </cell>
          <cell r="E1079" t="str">
            <v>ZAF_488</v>
          </cell>
        </row>
        <row r="1080">
          <cell r="A1080" t="str">
            <v>Northern Cape|ZAF_489</v>
          </cell>
          <cell r="B1080" t="str">
            <v>admin1</v>
          </cell>
          <cell r="C1080">
            <v>489</v>
          </cell>
          <cell r="D1080" t="str">
            <v>Northern Cape</v>
          </cell>
          <cell r="E1080" t="str">
            <v>ZAF_489</v>
          </cell>
        </row>
        <row r="1081">
          <cell r="A1081" t="str">
            <v>Western Cape|ZAF_490</v>
          </cell>
          <cell r="B1081" t="str">
            <v>admin1</v>
          </cell>
          <cell r="C1081">
            <v>490</v>
          </cell>
          <cell r="D1081" t="str">
            <v>Western Cape</v>
          </cell>
          <cell r="E1081" t="str">
            <v>ZAF_490</v>
          </cell>
        </row>
        <row r="1082">
          <cell r="A1082" t="str">
            <v>Zambia|ZMB</v>
          </cell>
          <cell r="B1082" t="str">
            <v>admin0</v>
          </cell>
          <cell r="C1082">
            <v>191</v>
          </cell>
          <cell r="D1082" t="str">
            <v>Zambia</v>
          </cell>
          <cell r="E1082" t="str">
            <v>ZMB</v>
          </cell>
        </row>
        <row r="1083">
          <cell r="A1083" t="str">
            <v>Zimbabwe|ZWE</v>
          </cell>
          <cell r="B1083" t="str">
            <v>admin0</v>
          </cell>
          <cell r="C1083">
            <v>198</v>
          </cell>
          <cell r="D1083" t="str">
            <v>Zimbabwe</v>
          </cell>
          <cell r="E1083" t="str">
            <v>ZWE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DATA/JOURNAL_ARTICLES/EPIDEMIOLOGY/2014" TargetMode="External"/><Relationship Id="rId13" Type="http://schemas.openxmlformats.org/officeDocument/2006/relationships/hyperlink" Target="../../../DATA/JOURNAL_ARTICLES/ENVIRON_RES/2009" TargetMode="External"/><Relationship Id="rId18" Type="http://schemas.openxmlformats.org/officeDocument/2006/relationships/hyperlink" Target="../../../DATA/JOURNAL_ARTICLES/ENVIRON_HEALTH_PERSPECT/2016" TargetMode="External"/><Relationship Id="rId3" Type="http://schemas.openxmlformats.org/officeDocument/2006/relationships/hyperlink" Target="../../../DATA/JOURNAL_ARTICLES/ENVIRON_HEALTH_PERSPECT/2008" TargetMode="External"/><Relationship Id="rId21" Type="http://schemas.openxmlformats.org/officeDocument/2006/relationships/comments" Target="../comments1.xml"/><Relationship Id="rId7" Type="http://schemas.openxmlformats.org/officeDocument/2006/relationships/hyperlink" Target="../../../DATA/JOURNAL_ARTICLES/EPIDEMIOLOGY/2014" TargetMode="External"/><Relationship Id="rId12" Type="http://schemas.openxmlformats.org/officeDocument/2006/relationships/hyperlink" Target="../../../DATA/JOURNAL_ARTICLES/ENVIRON_HEALTH_PERSPECT/2016" TargetMode="External"/><Relationship Id="rId17" Type="http://schemas.openxmlformats.org/officeDocument/2006/relationships/hyperlink" Target="../../../DATA/JOURNAL_ARTICLES/ENVIRON_HEALTH_PERSPECT/2016" TargetMode="External"/><Relationship Id="rId2" Type="http://schemas.openxmlformats.org/officeDocument/2006/relationships/hyperlink" Target="../../../DATA/JOURNAL_ARTICLES/ENVIRON_HEALTH_PERSPECT/2008" TargetMode="External"/><Relationship Id="rId16" Type="http://schemas.openxmlformats.org/officeDocument/2006/relationships/hyperlink" Target="../../../DATA/JOURNAL_ARTICLES/ENVIRON_HEALTH/2016" TargetMode="External"/><Relationship Id="rId20" Type="http://schemas.openxmlformats.org/officeDocument/2006/relationships/vmlDrawing" Target="../drawings/vmlDrawing1.vml"/><Relationship Id="rId1" Type="http://schemas.openxmlformats.org/officeDocument/2006/relationships/hyperlink" Target="../../../DATA/JOURNAL_ARTICLES/ENVIRON_HEALTH_PERSPECT/2008" TargetMode="External"/><Relationship Id="rId6" Type="http://schemas.openxmlformats.org/officeDocument/2006/relationships/hyperlink" Target="../../../DATA/JOURNAL_ARTICLES/EPIDEMIOLOGY/2014" TargetMode="External"/><Relationship Id="rId11" Type="http://schemas.openxmlformats.org/officeDocument/2006/relationships/hyperlink" Target="../../../DATA/JOURNAL_ARTICLES/ENVIRON_HEALTH_PERSPECT/2016" TargetMode="External"/><Relationship Id="rId5" Type="http://schemas.openxmlformats.org/officeDocument/2006/relationships/hyperlink" Target="../../../DATA/JOURNAL_ARTICLES/EPIDEMIOLOGY/2014" TargetMode="External"/><Relationship Id="rId15" Type="http://schemas.openxmlformats.org/officeDocument/2006/relationships/hyperlink" Target="../../../DATA/JOURNAL_ARTICLES/NATURE/2018" TargetMode="External"/><Relationship Id="rId10" Type="http://schemas.openxmlformats.org/officeDocument/2006/relationships/hyperlink" Target="../../../DATA/JOURNAL_ARTICLES/AM_J_EPIDEMIOL/2014" TargetMode="External"/><Relationship Id="rId19" Type="http://schemas.openxmlformats.org/officeDocument/2006/relationships/hyperlink" Target="../../../DATA/JOURNAL_ARTICLES/ENVIRON_HEALTH_PERSPECT/2016" TargetMode="External"/><Relationship Id="rId4" Type="http://schemas.openxmlformats.org/officeDocument/2006/relationships/hyperlink" Target="../../../DATA/JOURNAL_ARTICLES/ENVIRON_HEALTH_PERSPECT/2008" TargetMode="External"/><Relationship Id="rId9" Type="http://schemas.openxmlformats.org/officeDocument/2006/relationships/hyperlink" Target="../../../DATA/JOURNAL_ARTICLES/ENVIRON_INT/2014" TargetMode="External"/><Relationship Id="rId14" Type="http://schemas.openxmlformats.org/officeDocument/2006/relationships/hyperlink" Target="../../../DATA/JOURNAL_ARTICLES/STAT_MED/201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filterMode="1"/>
  <dimension ref="A1:BR88"/>
  <sheetViews>
    <sheetView tabSelected="1" zoomScale="70" zoomScaleNormal="70" workbookViewId="0">
      <selection activeCell="R68" sqref="R68"/>
    </sheetView>
  </sheetViews>
  <sheetFormatPr defaultRowHeight="15" x14ac:dyDescent="0.25"/>
  <cols>
    <col min="32" max="32" width="9.140625" style="89"/>
    <col min="49" max="49" width="10.42578125" style="30" customWidth="1"/>
    <col min="50" max="50" width="13.85546875" style="30" customWidth="1"/>
    <col min="51" max="52" width="10.42578125" style="30" customWidth="1"/>
    <col min="55" max="55" width="9.140625" style="89"/>
  </cols>
  <sheetData>
    <row r="1" spans="1:70" s="19" customFormat="1" ht="39.75" customHeight="1" x14ac:dyDescent="0.25">
      <c r="A1" s="1" t="s">
        <v>0</v>
      </c>
      <c r="B1" s="2" t="s">
        <v>1</v>
      </c>
      <c r="C1" s="1" t="s">
        <v>2</v>
      </c>
      <c r="D1" s="2" t="s">
        <v>3</v>
      </c>
      <c r="E1" s="1" t="s">
        <v>4</v>
      </c>
      <c r="F1" s="2" t="s">
        <v>5</v>
      </c>
      <c r="G1" s="1" t="s">
        <v>6</v>
      </c>
      <c r="H1" s="2" t="s">
        <v>7</v>
      </c>
      <c r="I1" s="3" t="s">
        <v>8</v>
      </c>
      <c r="J1" s="1" t="s">
        <v>9</v>
      </c>
      <c r="K1" s="1" t="s">
        <v>10</v>
      </c>
      <c r="L1" s="4" t="s">
        <v>11</v>
      </c>
      <c r="M1" s="2" t="s">
        <v>12</v>
      </c>
      <c r="N1" s="2" t="s">
        <v>13</v>
      </c>
      <c r="O1" s="3" t="s">
        <v>14</v>
      </c>
      <c r="P1" s="2" t="s">
        <v>15</v>
      </c>
      <c r="Q1" s="2" t="s">
        <v>16</v>
      </c>
      <c r="R1" s="2" t="s">
        <v>17</v>
      </c>
      <c r="S1" s="2" t="s">
        <v>18</v>
      </c>
      <c r="T1" s="2" t="s">
        <v>19</v>
      </c>
      <c r="U1" s="2" t="s">
        <v>20</v>
      </c>
      <c r="V1" s="2" t="s">
        <v>21</v>
      </c>
      <c r="W1" s="2" t="s">
        <v>22</v>
      </c>
      <c r="X1" s="2" t="s">
        <v>23</v>
      </c>
      <c r="Y1" s="2" t="s">
        <v>24</v>
      </c>
      <c r="Z1" s="5" t="s">
        <v>25</v>
      </c>
      <c r="AA1" s="3" t="s">
        <v>26</v>
      </c>
      <c r="AB1" s="2" t="s">
        <v>27</v>
      </c>
      <c r="AC1" s="6" t="s">
        <v>28</v>
      </c>
      <c r="AD1" s="6" t="s">
        <v>29</v>
      </c>
      <c r="AE1" s="7" t="s">
        <v>30</v>
      </c>
      <c r="AF1" s="3" t="s">
        <v>31</v>
      </c>
      <c r="AG1" s="2" t="s">
        <v>32</v>
      </c>
      <c r="AH1" s="7" t="s">
        <v>33</v>
      </c>
      <c r="AI1" s="7" t="s">
        <v>34</v>
      </c>
      <c r="AJ1" s="8" t="s">
        <v>35</v>
      </c>
      <c r="AK1" s="9" t="s">
        <v>36</v>
      </c>
      <c r="AL1" s="9" t="s">
        <v>37</v>
      </c>
      <c r="AM1" s="1" t="s">
        <v>38</v>
      </c>
      <c r="AN1" s="10" t="s">
        <v>39</v>
      </c>
      <c r="AO1" s="11" t="s">
        <v>40</v>
      </c>
      <c r="AP1" s="12" t="s">
        <v>41</v>
      </c>
      <c r="AQ1" s="11" t="s">
        <v>42</v>
      </c>
      <c r="AR1" s="11" t="s">
        <v>43</v>
      </c>
      <c r="AS1" s="11" t="s">
        <v>44</v>
      </c>
      <c r="AT1" s="11" t="s">
        <v>45</v>
      </c>
      <c r="AU1" s="11" t="s">
        <v>46</v>
      </c>
      <c r="AV1" s="11" t="s">
        <v>47</v>
      </c>
      <c r="AW1" s="11" t="s">
        <v>48</v>
      </c>
      <c r="AX1" s="91" t="s">
        <v>49</v>
      </c>
      <c r="AY1" s="13" t="s">
        <v>551</v>
      </c>
      <c r="AZ1" s="13" t="s">
        <v>552</v>
      </c>
      <c r="BA1" s="11" t="s">
        <v>50</v>
      </c>
      <c r="BB1" s="13" t="s">
        <v>51</v>
      </c>
      <c r="BC1" s="90" t="s">
        <v>52</v>
      </c>
      <c r="BD1" s="15" t="s">
        <v>53</v>
      </c>
      <c r="BE1" s="14" t="s">
        <v>54</v>
      </c>
      <c r="BF1" s="14" t="s">
        <v>55</v>
      </c>
      <c r="BG1" s="16" t="s">
        <v>56</v>
      </c>
      <c r="BH1" s="16" t="s">
        <v>57</v>
      </c>
      <c r="BI1" s="16" t="s">
        <v>58</v>
      </c>
      <c r="BJ1" s="16" t="s">
        <v>59</v>
      </c>
      <c r="BK1" s="16" t="s">
        <v>60</v>
      </c>
      <c r="BL1" s="17" t="s">
        <v>61</v>
      </c>
      <c r="BM1" s="1" t="s">
        <v>62</v>
      </c>
      <c r="BN1" s="1" t="s">
        <v>63</v>
      </c>
      <c r="BO1" s="1" t="s">
        <v>64</v>
      </c>
      <c r="BP1" s="2" t="s">
        <v>65</v>
      </c>
      <c r="BQ1" s="18" t="s">
        <v>66</v>
      </c>
      <c r="BR1" s="18" t="s">
        <v>67</v>
      </c>
    </row>
    <row r="2" spans="1:70" s="21" customFormat="1" ht="30.75" customHeight="1" x14ac:dyDescent="0.25">
      <c r="A2" s="20" t="s">
        <v>68</v>
      </c>
      <c r="B2" s="21" t="s">
        <v>69</v>
      </c>
      <c r="C2" s="21" t="s">
        <v>70</v>
      </c>
      <c r="D2" s="21" t="s">
        <v>71</v>
      </c>
      <c r="E2" s="21" t="s">
        <v>72</v>
      </c>
      <c r="F2" s="21" t="s">
        <v>73</v>
      </c>
      <c r="G2" s="20" t="s">
        <v>74</v>
      </c>
      <c r="H2" s="21" t="s">
        <v>75</v>
      </c>
      <c r="I2" s="22" t="s">
        <v>76</v>
      </c>
      <c r="J2" s="21" t="s">
        <v>77</v>
      </c>
      <c r="K2" s="21" t="s">
        <v>78</v>
      </c>
      <c r="L2" s="21" t="s">
        <v>79</v>
      </c>
      <c r="M2" s="21" t="s">
        <v>80</v>
      </c>
      <c r="N2" s="21" t="s">
        <v>81</v>
      </c>
      <c r="O2" s="22" t="s">
        <v>82</v>
      </c>
      <c r="P2" s="21" t="s">
        <v>83</v>
      </c>
      <c r="Q2" s="21" t="s">
        <v>84</v>
      </c>
      <c r="R2" s="21" t="s">
        <v>85</v>
      </c>
      <c r="S2" s="21" t="s">
        <v>86</v>
      </c>
      <c r="T2" s="21" t="s">
        <v>87</v>
      </c>
      <c r="U2" s="21" t="s">
        <v>88</v>
      </c>
      <c r="V2" s="21" t="s">
        <v>88</v>
      </c>
      <c r="W2" s="21" t="s">
        <v>89</v>
      </c>
      <c r="X2" s="21" t="s">
        <v>89</v>
      </c>
      <c r="Y2" s="21" t="s">
        <v>90</v>
      </c>
      <c r="Z2" s="23" t="s">
        <v>91</v>
      </c>
      <c r="AA2" s="22" t="s">
        <v>92</v>
      </c>
      <c r="AB2" s="21" t="s">
        <v>93</v>
      </c>
      <c r="AC2" s="21" t="s">
        <v>94</v>
      </c>
      <c r="AD2" s="21" t="s">
        <v>94</v>
      </c>
      <c r="AE2" s="21" t="s">
        <v>95</v>
      </c>
      <c r="AF2" s="22" t="s">
        <v>96</v>
      </c>
      <c r="AG2" s="24" t="s">
        <v>97</v>
      </c>
      <c r="AH2" s="21" t="s">
        <v>98</v>
      </c>
      <c r="AI2" s="21" t="s">
        <v>99</v>
      </c>
      <c r="AJ2" s="22" t="s">
        <v>100</v>
      </c>
      <c r="AK2" s="21" t="s">
        <v>101</v>
      </c>
      <c r="AL2" s="21" t="s">
        <v>102</v>
      </c>
      <c r="AM2" s="20" t="s">
        <v>103</v>
      </c>
      <c r="AN2" s="25" t="s">
        <v>104</v>
      </c>
      <c r="AO2" s="26" t="s">
        <v>105</v>
      </c>
      <c r="AP2" s="26"/>
      <c r="AQ2" s="26" t="s">
        <v>106</v>
      </c>
      <c r="AR2" s="26" t="s">
        <v>107</v>
      </c>
      <c r="AS2" s="26" t="s">
        <v>108</v>
      </c>
      <c r="AT2" s="26" t="s">
        <v>109</v>
      </c>
      <c r="AU2" s="26" t="s">
        <v>110</v>
      </c>
      <c r="AV2" s="26" t="s">
        <v>111</v>
      </c>
      <c r="AW2" s="26" t="s">
        <v>560</v>
      </c>
      <c r="AX2" s="92" t="s">
        <v>112</v>
      </c>
      <c r="AY2" s="21" t="s">
        <v>553</v>
      </c>
      <c r="AZ2" s="21" t="s">
        <v>554</v>
      </c>
      <c r="BA2" s="26" t="s">
        <v>113</v>
      </c>
      <c r="BB2" s="21" t="s">
        <v>114</v>
      </c>
      <c r="BC2" s="27" t="s">
        <v>115</v>
      </c>
      <c r="BD2" s="27" t="s">
        <v>116</v>
      </c>
      <c r="BE2" s="20" t="s">
        <v>116</v>
      </c>
      <c r="BF2" s="20" t="s">
        <v>116</v>
      </c>
      <c r="BG2" s="20" t="s">
        <v>116</v>
      </c>
      <c r="BH2" s="20" t="s">
        <v>116</v>
      </c>
      <c r="BI2" s="20" t="s">
        <v>116</v>
      </c>
      <c r="BJ2" s="20" t="s">
        <v>116</v>
      </c>
      <c r="BK2" s="20" t="s">
        <v>116</v>
      </c>
      <c r="BL2" s="22" t="s">
        <v>117</v>
      </c>
      <c r="BM2" s="21" t="s">
        <v>118</v>
      </c>
      <c r="BN2" s="21" t="s">
        <v>119</v>
      </c>
      <c r="BO2" s="21" t="s">
        <v>120</v>
      </c>
      <c r="BP2" s="21" t="s">
        <v>121</v>
      </c>
      <c r="BQ2" s="21" t="s">
        <v>122</v>
      </c>
    </row>
    <row r="3" spans="1:70" s="29" customFormat="1" hidden="1" x14ac:dyDescent="0.25">
      <c r="A3" s="28"/>
      <c r="B3" s="29">
        <v>391851</v>
      </c>
      <c r="D3" s="29" t="s">
        <v>123</v>
      </c>
      <c r="E3" s="29" t="s">
        <v>124</v>
      </c>
      <c r="F3" s="29">
        <v>1400</v>
      </c>
      <c r="G3" s="30">
        <v>2</v>
      </c>
      <c r="H3" s="29" t="s">
        <v>125</v>
      </c>
      <c r="I3" s="31" t="s">
        <v>126</v>
      </c>
      <c r="J3" s="30" t="e">
        <f ca="1">INDEX([1]locations!G:G,MATCH((INDIRECT("I"&amp;ROW())),[1]locations!E:E,0))</f>
        <v>#N/A</v>
      </c>
      <c r="K3" s="30" t="e">
        <f ca="1">INDEX([1]locations!I:I,MATCH((INDIRECT("I"&amp;ROW())),[1]locations!E:E,0))</f>
        <v>#N/A</v>
      </c>
      <c r="L3" s="32">
        <v>1</v>
      </c>
      <c r="M3" s="33" t="s">
        <v>127</v>
      </c>
      <c r="N3" s="33" t="s">
        <v>128</v>
      </c>
      <c r="O3" s="34" t="s">
        <v>129</v>
      </c>
      <c r="P3" s="33" t="s">
        <v>130</v>
      </c>
      <c r="Q3" s="33"/>
      <c r="R3" s="33"/>
      <c r="S3" s="33" t="s">
        <v>131</v>
      </c>
      <c r="T3" s="29" t="s">
        <v>132</v>
      </c>
      <c r="W3" s="29">
        <v>34</v>
      </c>
      <c r="X3" s="29">
        <v>43</v>
      </c>
      <c r="Z3" s="35" t="s">
        <v>133</v>
      </c>
      <c r="AA3" s="36">
        <v>2001</v>
      </c>
      <c r="AB3" s="30">
        <v>2003</v>
      </c>
      <c r="AC3" s="32">
        <v>0</v>
      </c>
      <c r="AD3" s="33">
        <v>0</v>
      </c>
      <c r="AE3" s="37">
        <v>0</v>
      </c>
      <c r="AF3" s="29" t="s">
        <v>134</v>
      </c>
      <c r="AG3" s="29">
        <v>-200.821</v>
      </c>
      <c r="AH3" s="29">
        <v>-385.96800000000002</v>
      </c>
      <c r="AI3" s="37">
        <v>-15.673999999999999</v>
      </c>
      <c r="AL3" s="29">
        <v>362</v>
      </c>
      <c r="AM3" s="30">
        <v>95</v>
      </c>
      <c r="AN3" s="36"/>
      <c r="AO3" s="30"/>
      <c r="AP3" s="30"/>
      <c r="AQ3" s="30"/>
      <c r="AR3" s="30"/>
      <c r="AS3" s="30"/>
      <c r="AT3" s="30"/>
      <c r="AU3" s="30"/>
      <c r="AV3" s="30"/>
      <c r="AW3" s="30"/>
      <c r="AX3" s="29" t="s">
        <v>135</v>
      </c>
      <c r="BA3" s="30"/>
      <c r="BB3" s="30"/>
      <c r="BC3" s="38" t="s">
        <v>136</v>
      </c>
      <c r="BD3" s="29">
        <v>10.3</v>
      </c>
      <c r="BG3" s="29">
        <v>147.30000000000001</v>
      </c>
      <c r="BH3" s="29">
        <v>43.1</v>
      </c>
      <c r="BK3" s="37"/>
      <c r="BL3" s="29" t="s">
        <v>137</v>
      </c>
      <c r="BO3" s="39" t="s">
        <v>138</v>
      </c>
      <c r="BP3" s="29" t="s">
        <v>139</v>
      </c>
      <c r="BQ3" s="29">
        <v>1</v>
      </c>
      <c r="BR3" s="29" t="s">
        <v>140</v>
      </c>
    </row>
    <row r="4" spans="1:70" s="42" customFormat="1" x14ac:dyDescent="0.25">
      <c r="A4" s="40"/>
      <c r="B4" s="41">
        <v>397307</v>
      </c>
      <c r="D4" s="42" t="s">
        <v>141</v>
      </c>
      <c r="E4" s="43" t="s">
        <v>142</v>
      </c>
      <c r="F4" s="42">
        <v>451</v>
      </c>
      <c r="G4" s="42">
        <v>4</v>
      </c>
      <c r="H4" s="42" t="s">
        <v>125</v>
      </c>
      <c r="I4" s="44" t="s">
        <v>143</v>
      </c>
      <c r="J4" s="42">
        <f>VLOOKUP(I4,[1]locations!A:E,3,FALSE)</f>
        <v>53665</v>
      </c>
      <c r="K4" s="42" t="str">
        <f>VLOOKUP(I4,[1]locations!A:E,5,FALSE)</f>
        <v>POL_53665</v>
      </c>
      <c r="L4" s="45">
        <v>1</v>
      </c>
      <c r="M4" s="46" t="s">
        <v>127</v>
      </c>
      <c r="N4" s="46" t="s">
        <v>144</v>
      </c>
      <c r="O4" s="47" t="s">
        <v>129</v>
      </c>
      <c r="P4" s="46" t="s">
        <v>130</v>
      </c>
      <c r="Q4" s="46">
        <v>1</v>
      </c>
      <c r="R4" s="46">
        <v>0</v>
      </c>
      <c r="S4" s="46" t="s">
        <v>131</v>
      </c>
      <c r="T4" s="42" t="s">
        <v>132</v>
      </c>
      <c r="W4" s="42">
        <v>37</v>
      </c>
      <c r="X4" s="42">
        <v>43</v>
      </c>
      <c r="Z4" s="48" t="s">
        <v>133</v>
      </c>
      <c r="AA4" s="44">
        <v>2001</v>
      </c>
      <c r="AB4" s="42">
        <v>2004</v>
      </c>
      <c r="AC4" s="45">
        <v>0</v>
      </c>
      <c r="AD4" s="46">
        <v>0</v>
      </c>
      <c r="AE4" s="42">
        <v>0</v>
      </c>
      <c r="AF4" s="44" t="s">
        <v>134</v>
      </c>
      <c r="AG4" s="42">
        <v>-155.9</v>
      </c>
      <c r="AH4" s="42">
        <v>-307.2</v>
      </c>
      <c r="AI4" s="42">
        <v>-4.7</v>
      </c>
      <c r="AJ4" s="44"/>
      <c r="AL4" s="42">
        <v>481</v>
      </c>
      <c r="AM4" s="42">
        <v>95</v>
      </c>
      <c r="AN4" s="44">
        <v>0</v>
      </c>
      <c r="AO4" s="42">
        <v>0</v>
      </c>
      <c r="AP4" s="42" t="s">
        <v>145</v>
      </c>
      <c r="AQ4" s="42">
        <v>0</v>
      </c>
      <c r="AR4" s="42">
        <v>1</v>
      </c>
      <c r="AS4" s="42">
        <v>0</v>
      </c>
      <c r="AT4" s="42">
        <v>0</v>
      </c>
      <c r="AU4" s="42">
        <v>0</v>
      </c>
      <c r="AV4" s="42">
        <v>1</v>
      </c>
      <c r="AW4" s="42">
        <v>1</v>
      </c>
      <c r="AX4" s="42" t="s">
        <v>146</v>
      </c>
      <c r="AY4" s="42" t="s">
        <v>555</v>
      </c>
      <c r="AZ4" s="42" t="s">
        <v>556</v>
      </c>
      <c r="BA4" s="42">
        <v>1</v>
      </c>
      <c r="BB4" s="42">
        <v>95</v>
      </c>
      <c r="BC4" s="44">
        <v>10</v>
      </c>
      <c r="BD4" s="44">
        <v>10.3</v>
      </c>
      <c r="BG4" s="42">
        <v>294.89999999999998</v>
      </c>
      <c r="BH4" s="42">
        <v>43.83</v>
      </c>
      <c r="BI4" s="42">
        <v>31.91</v>
      </c>
      <c r="BJ4" s="42">
        <v>35.299999999999997</v>
      </c>
      <c r="BL4" s="44" t="s">
        <v>147</v>
      </c>
      <c r="BM4" s="42">
        <v>1</v>
      </c>
      <c r="BN4" s="42">
        <v>1</v>
      </c>
      <c r="BO4" s="42" t="s">
        <v>559</v>
      </c>
      <c r="BP4" s="42" t="s">
        <v>139</v>
      </c>
      <c r="BQ4" s="42">
        <v>0</v>
      </c>
    </row>
    <row r="5" spans="1:70" s="29" customFormat="1" x14ac:dyDescent="0.25">
      <c r="A5" s="50"/>
      <c r="B5" s="51">
        <v>391853</v>
      </c>
      <c r="D5" s="29" t="s">
        <v>148</v>
      </c>
      <c r="E5" s="29" t="s">
        <v>149</v>
      </c>
      <c r="F5" s="29">
        <v>124</v>
      </c>
      <c r="G5" s="30"/>
      <c r="H5" s="29" t="s">
        <v>150</v>
      </c>
      <c r="I5" s="31" t="s">
        <v>151</v>
      </c>
      <c r="J5" s="30">
        <f>VLOOKUP(I5,[1]locations!A:E,3,FALSE)</f>
        <v>527</v>
      </c>
      <c r="K5" s="30" t="str">
        <f>VLOOKUP(I5,[1]locations!A:E,5,FALSE)</f>
        <v>USA_527</v>
      </c>
      <c r="L5" s="32">
        <v>0</v>
      </c>
      <c r="M5" s="33"/>
      <c r="N5" s="33" t="s">
        <v>152</v>
      </c>
      <c r="O5" s="34" t="s">
        <v>129</v>
      </c>
      <c r="P5" s="33" t="s">
        <v>130</v>
      </c>
      <c r="Q5" s="33">
        <v>1</v>
      </c>
      <c r="R5" s="33">
        <v>0</v>
      </c>
      <c r="S5" s="33" t="s">
        <v>131</v>
      </c>
      <c r="T5" s="29" t="s">
        <v>132</v>
      </c>
      <c r="W5" s="52">
        <v>40</v>
      </c>
      <c r="X5" s="52">
        <v>40</v>
      </c>
      <c r="Z5" s="35" t="s">
        <v>133</v>
      </c>
      <c r="AA5" s="36">
        <v>2000</v>
      </c>
      <c r="AB5" s="30">
        <v>2000</v>
      </c>
      <c r="AC5" s="53">
        <v>0</v>
      </c>
      <c r="AD5" s="54">
        <v>0</v>
      </c>
      <c r="AE5" s="30">
        <v>0</v>
      </c>
      <c r="AF5" s="31" t="s">
        <v>134</v>
      </c>
      <c r="AG5" s="30">
        <v>-29.3</v>
      </c>
      <c r="AH5" s="30">
        <v>-42.2</v>
      </c>
      <c r="AI5" s="30">
        <v>-16.399999999999999</v>
      </c>
      <c r="AJ5" s="31"/>
      <c r="AL5" s="29">
        <v>18247</v>
      </c>
      <c r="AM5" s="30">
        <v>95</v>
      </c>
      <c r="AN5" s="36">
        <v>0</v>
      </c>
      <c r="AO5" s="30">
        <v>1</v>
      </c>
      <c r="AP5" s="30" t="s">
        <v>153</v>
      </c>
      <c r="AQ5" s="30">
        <v>0</v>
      </c>
      <c r="AR5" s="30">
        <v>0</v>
      </c>
      <c r="AS5" s="30">
        <v>0</v>
      </c>
      <c r="AT5" s="30">
        <v>0</v>
      </c>
      <c r="AU5" s="30">
        <v>0</v>
      </c>
      <c r="AV5" s="30">
        <v>1</v>
      </c>
      <c r="AW5" s="30">
        <v>2</v>
      </c>
      <c r="AX5" s="29" t="s">
        <v>154</v>
      </c>
      <c r="AY5" s="29" t="s">
        <v>555</v>
      </c>
      <c r="AZ5" s="29" t="s">
        <v>556</v>
      </c>
      <c r="BA5" s="30">
        <v>2</v>
      </c>
      <c r="BB5" s="30">
        <v>79</v>
      </c>
      <c r="BC5" s="31">
        <v>10</v>
      </c>
      <c r="BD5" s="31"/>
      <c r="BH5" s="29">
        <v>15.4</v>
      </c>
      <c r="BI5" s="29">
        <v>5.08</v>
      </c>
      <c r="BL5" s="31" t="s">
        <v>155</v>
      </c>
      <c r="BM5" s="29">
        <v>0</v>
      </c>
      <c r="BN5" s="29">
        <v>1</v>
      </c>
      <c r="BO5" s="52" t="s">
        <v>156</v>
      </c>
      <c r="BP5" s="29" t="s">
        <v>139</v>
      </c>
      <c r="BQ5" s="29">
        <v>0</v>
      </c>
    </row>
    <row r="6" spans="1:70" s="42" customFormat="1" x14ac:dyDescent="0.25">
      <c r="A6" s="40"/>
      <c r="B6" s="41">
        <v>394015</v>
      </c>
      <c r="D6" s="42" t="s">
        <v>157</v>
      </c>
      <c r="E6" s="42" t="s">
        <v>158</v>
      </c>
      <c r="F6" s="42">
        <v>1121</v>
      </c>
      <c r="G6" s="42">
        <v>3</v>
      </c>
      <c r="H6" s="42" t="s">
        <v>150</v>
      </c>
      <c r="I6" s="44" t="s">
        <v>159</v>
      </c>
      <c r="J6" s="42">
        <f>VLOOKUP(I6,[1]locations!A:E,3,FALSE)</f>
        <v>102</v>
      </c>
      <c r="K6" s="42" t="str">
        <f>VLOOKUP(I6,[1]locations!A:E,5,FALSE)</f>
        <v>USA</v>
      </c>
      <c r="L6" s="45">
        <v>1</v>
      </c>
      <c r="M6" s="46" t="s">
        <v>160</v>
      </c>
      <c r="N6" s="46" t="s">
        <v>161</v>
      </c>
      <c r="O6" s="47" t="s">
        <v>129</v>
      </c>
      <c r="P6" s="46" t="s">
        <v>130</v>
      </c>
      <c r="Q6" s="46">
        <v>1</v>
      </c>
      <c r="R6" s="46">
        <v>0</v>
      </c>
      <c r="S6" s="46" t="s">
        <v>131</v>
      </c>
      <c r="T6" s="42" t="s">
        <v>132</v>
      </c>
      <c r="U6" s="42">
        <v>1000</v>
      </c>
      <c r="V6" s="42">
        <v>5500</v>
      </c>
      <c r="W6" s="42">
        <v>32</v>
      </c>
      <c r="X6" s="42">
        <v>44</v>
      </c>
      <c r="Z6" s="48" t="s">
        <v>133</v>
      </c>
      <c r="AA6" s="44">
        <v>1999</v>
      </c>
      <c r="AB6" s="42">
        <v>2002</v>
      </c>
      <c r="AC6" s="45">
        <v>0</v>
      </c>
      <c r="AD6" s="46">
        <v>0</v>
      </c>
      <c r="AE6" s="42">
        <v>0</v>
      </c>
      <c r="AF6" s="44" t="s">
        <v>134</v>
      </c>
      <c r="AG6" s="42">
        <v>-14.7</v>
      </c>
      <c r="AH6" s="42">
        <v>-17.100000000000001</v>
      </c>
      <c r="AI6" s="42">
        <v>-12.3</v>
      </c>
      <c r="AJ6" s="44"/>
      <c r="AL6" s="42">
        <v>358504</v>
      </c>
      <c r="AM6" s="42">
        <v>95</v>
      </c>
      <c r="AN6" s="44">
        <v>0</v>
      </c>
      <c r="AO6" s="42">
        <v>1</v>
      </c>
      <c r="AP6" s="42" t="s">
        <v>162</v>
      </c>
      <c r="AQ6" s="42">
        <v>0</v>
      </c>
      <c r="AR6" s="42">
        <v>0</v>
      </c>
      <c r="AS6" s="42">
        <v>0</v>
      </c>
      <c r="AT6" s="42">
        <v>0</v>
      </c>
      <c r="AU6" s="42">
        <v>0</v>
      </c>
      <c r="AV6" s="42">
        <v>1</v>
      </c>
      <c r="AW6" s="42">
        <v>1</v>
      </c>
      <c r="AX6" s="42" t="s">
        <v>163</v>
      </c>
      <c r="AY6" s="42" t="s">
        <v>555</v>
      </c>
      <c r="AZ6" s="42" t="s">
        <v>556</v>
      </c>
      <c r="BA6" s="42">
        <v>2</v>
      </c>
      <c r="BB6" s="42">
        <v>72</v>
      </c>
      <c r="BC6" s="44">
        <v>2.2000000000000002</v>
      </c>
      <c r="BD6" s="44"/>
      <c r="BH6" s="42">
        <v>11.9</v>
      </c>
      <c r="BI6" s="42">
        <v>1.6</v>
      </c>
      <c r="BL6" s="44" t="s">
        <v>164</v>
      </c>
      <c r="BM6" s="42">
        <v>0</v>
      </c>
      <c r="BN6" s="42">
        <v>1</v>
      </c>
      <c r="BP6" s="42" t="s">
        <v>139</v>
      </c>
      <c r="BQ6" s="42">
        <v>0</v>
      </c>
    </row>
    <row r="7" spans="1:70" s="42" customFormat="1" x14ac:dyDescent="0.25">
      <c r="A7" s="40"/>
      <c r="B7" s="41">
        <v>394015</v>
      </c>
      <c r="D7" s="42" t="s">
        <v>157</v>
      </c>
      <c r="E7" s="42" t="s">
        <v>158</v>
      </c>
      <c r="F7" s="42">
        <v>1121</v>
      </c>
      <c r="G7" s="42">
        <v>3</v>
      </c>
      <c r="H7" s="42" t="s">
        <v>150</v>
      </c>
      <c r="I7" s="44" t="s">
        <v>159</v>
      </c>
      <c r="J7" s="42">
        <f>VLOOKUP(I7,[1]locations!A:E,3,FALSE)</f>
        <v>102</v>
      </c>
      <c r="K7" s="42" t="str">
        <f>VLOOKUP(I7,[1]locations!A:E,5,FALSE)</f>
        <v>USA</v>
      </c>
      <c r="L7" s="45">
        <v>1</v>
      </c>
      <c r="M7" s="46" t="s">
        <v>160</v>
      </c>
      <c r="N7" s="46" t="s">
        <v>161</v>
      </c>
      <c r="O7" s="47" t="s">
        <v>129</v>
      </c>
      <c r="P7" s="46" t="s">
        <v>130</v>
      </c>
      <c r="Q7" s="46">
        <v>0</v>
      </c>
      <c r="R7" s="46">
        <v>1</v>
      </c>
      <c r="S7" s="46" t="s">
        <v>131</v>
      </c>
      <c r="T7" s="42" t="s">
        <v>165</v>
      </c>
      <c r="U7" s="42">
        <v>1000</v>
      </c>
      <c r="V7" s="42">
        <v>5500</v>
      </c>
      <c r="W7" s="42">
        <v>32</v>
      </c>
      <c r="X7" s="42">
        <v>44</v>
      </c>
      <c r="Y7" s="42">
        <v>2500</v>
      </c>
      <c r="Z7" s="48" t="s">
        <v>133</v>
      </c>
      <c r="AA7" s="44">
        <v>1999</v>
      </c>
      <c r="AB7" s="42">
        <v>2002</v>
      </c>
      <c r="AC7" s="45">
        <v>0</v>
      </c>
      <c r="AD7" s="46">
        <v>0</v>
      </c>
      <c r="AE7" s="42">
        <v>0</v>
      </c>
      <c r="AF7" s="44" t="s">
        <v>166</v>
      </c>
      <c r="AG7" s="42">
        <v>1.054</v>
      </c>
      <c r="AH7" s="42">
        <v>1.022</v>
      </c>
      <c r="AI7" s="42">
        <v>1.087</v>
      </c>
      <c r="AJ7" s="44"/>
      <c r="AK7" s="42">
        <v>14376</v>
      </c>
      <c r="AL7" s="42">
        <v>358504</v>
      </c>
      <c r="AM7" s="42">
        <v>95</v>
      </c>
      <c r="AN7" s="44">
        <v>0</v>
      </c>
      <c r="AO7" s="42">
        <v>1</v>
      </c>
      <c r="AP7" s="42" t="s">
        <v>162</v>
      </c>
      <c r="AQ7" s="42">
        <v>0</v>
      </c>
      <c r="AR7" s="42">
        <v>0</v>
      </c>
      <c r="AS7" s="42">
        <v>0</v>
      </c>
      <c r="AT7" s="42">
        <v>0</v>
      </c>
      <c r="AU7" s="42">
        <v>0</v>
      </c>
      <c r="AV7" s="42">
        <v>1</v>
      </c>
      <c r="AW7" s="42">
        <v>1</v>
      </c>
      <c r="AX7" s="42" t="s">
        <v>163</v>
      </c>
      <c r="AY7" s="42" t="s">
        <v>555</v>
      </c>
      <c r="AZ7" s="42" t="s">
        <v>556</v>
      </c>
      <c r="BA7" s="42">
        <v>2</v>
      </c>
      <c r="BB7" s="42">
        <v>72</v>
      </c>
      <c r="BC7" s="44">
        <v>2.2000000000000002</v>
      </c>
      <c r="BD7" s="44"/>
      <c r="BH7" s="42">
        <v>11.9</v>
      </c>
      <c r="BI7" s="42">
        <v>1.6</v>
      </c>
      <c r="BL7" s="44" t="s">
        <v>164</v>
      </c>
      <c r="BM7" s="42">
        <v>0</v>
      </c>
      <c r="BN7" s="42">
        <v>1</v>
      </c>
      <c r="BP7" s="42" t="s">
        <v>139</v>
      </c>
      <c r="BQ7" s="42">
        <v>0</v>
      </c>
    </row>
    <row r="8" spans="1:70" s="29" customFormat="1" x14ac:dyDescent="0.25">
      <c r="A8" s="50"/>
      <c r="B8" s="51">
        <v>394026</v>
      </c>
      <c r="D8" s="29" t="s">
        <v>167</v>
      </c>
      <c r="E8" s="56" t="s">
        <v>168</v>
      </c>
      <c r="F8" s="29">
        <v>683</v>
      </c>
      <c r="G8" s="30">
        <v>4</v>
      </c>
      <c r="H8" s="29" t="s">
        <v>150</v>
      </c>
      <c r="I8" s="31" t="s">
        <v>169</v>
      </c>
      <c r="J8" s="30">
        <f>VLOOKUP(I8,[1]locations!A:E,3,FALSE)</f>
        <v>101</v>
      </c>
      <c r="K8" s="30" t="str">
        <f>VLOOKUP(I8,[1]locations!A:E,5,FALSE)</f>
        <v>CAN</v>
      </c>
      <c r="L8" s="32">
        <v>1</v>
      </c>
      <c r="M8" s="33" t="s">
        <v>170</v>
      </c>
      <c r="N8" s="33" t="s">
        <v>171</v>
      </c>
      <c r="O8" s="34" t="s">
        <v>129</v>
      </c>
      <c r="P8" s="33" t="s">
        <v>130</v>
      </c>
      <c r="Q8" s="33">
        <v>1</v>
      </c>
      <c r="R8" s="33">
        <v>1</v>
      </c>
      <c r="S8" s="33" t="s">
        <v>131</v>
      </c>
      <c r="T8" s="29" t="s">
        <v>172</v>
      </c>
      <c r="W8" s="29">
        <v>37</v>
      </c>
      <c r="Y8" s="29">
        <v>2500</v>
      </c>
      <c r="Z8" s="35" t="s">
        <v>133</v>
      </c>
      <c r="AA8" s="36">
        <v>1999</v>
      </c>
      <c r="AB8" s="30">
        <v>2002</v>
      </c>
      <c r="AC8" s="53">
        <v>0</v>
      </c>
      <c r="AD8" s="54">
        <v>0</v>
      </c>
      <c r="AE8" s="30">
        <v>0</v>
      </c>
      <c r="AF8" s="31" t="s">
        <v>166</v>
      </c>
      <c r="AG8" s="29">
        <v>1.03</v>
      </c>
      <c r="AH8" s="29">
        <v>0.99</v>
      </c>
      <c r="AI8" s="29">
        <v>1.07</v>
      </c>
      <c r="AJ8" s="31"/>
      <c r="AK8" s="29">
        <v>874</v>
      </c>
      <c r="AL8" s="29">
        <v>70249</v>
      </c>
      <c r="AM8" s="30">
        <v>95</v>
      </c>
      <c r="AN8" s="36">
        <v>0</v>
      </c>
      <c r="AO8" s="30">
        <v>0</v>
      </c>
      <c r="AP8" s="30" t="s">
        <v>173</v>
      </c>
      <c r="AQ8" s="30">
        <v>0</v>
      </c>
      <c r="AR8" s="30">
        <v>0</v>
      </c>
      <c r="AS8" s="30">
        <v>0</v>
      </c>
      <c r="AT8" s="30">
        <v>0</v>
      </c>
      <c r="AU8" s="30">
        <v>0</v>
      </c>
      <c r="AV8" s="30">
        <v>1</v>
      </c>
      <c r="AW8" s="30">
        <v>0</v>
      </c>
      <c r="AX8" s="29" t="s">
        <v>174</v>
      </c>
      <c r="AY8" s="29" t="s">
        <v>555</v>
      </c>
      <c r="AZ8" s="29" t="s">
        <v>555</v>
      </c>
      <c r="BA8" s="30">
        <v>0</v>
      </c>
      <c r="BB8" s="30">
        <v>100</v>
      </c>
      <c r="BC8" s="31">
        <v>1.1000000000000001</v>
      </c>
      <c r="BD8" s="31">
        <v>1</v>
      </c>
      <c r="BG8" s="29">
        <v>7.6</v>
      </c>
      <c r="BH8" s="29">
        <v>5</v>
      </c>
      <c r="BK8" s="29">
        <v>1.1000000000000001</v>
      </c>
      <c r="BL8" s="31" t="s">
        <v>175</v>
      </c>
      <c r="BM8" s="29">
        <v>0</v>
      </c>
      <c r="BN8" s="29">
        <v>1</v>
      </c>
      <c r="BO8" s="39" t="s">
        <v>176</v>
      </c>
      <c r="BP8" s="29" t="s">
        <v>139</v>
      </c>
      <c r="BQ8" s="29">
        <v>0</v>
      </c>
    </row>
    <row r="9" spans="1:70" s="29" customFormat="1" x14ac:dyDescent="0.25">
      <c r="A9" s="50"/>
      <c r="B9" s="51">
        <v>394026</v>
      </c>
      <c r="D9" s="29" t="s">
        <v>167</v>
      </c>
      <c r="E9" s="56" t="s">
        <v>168</v>
      </c>
      <c r="F9" s="29">
        <v>684</v>
      </c>
      <c r="G9" s="30"/>
      <c r="H9" s="29" t="s">
        <v>150</v>
      </c>
      <c r="I9" s="31" t="s">
        <v>169</v>
      </c>
      <c r="J9" s="30">
        <f>VLOOKUP(I9,[1]locations!A:E,3,FALSE)</f>
        <v>101</v>
      </c>
      <c r="K9" s="30" t="str">
        <f>VLOOKUP(I9,[1]locations!A:E,5,FALSE)</f>
        <v>CAN</v>
      </c>
      <c r="L9" s="32">
        <v>1</v>
      </c>
      <c r="M9" s="33" t="s">
        <v>170</v>
      </c>
      <c r="N9" s="33" t="s">
        <v>171</v>
      </c>
      <c r="O9" s="34" t="s">
        <v>129</v>
      </c>
      <c r="P9" s="33" t="s">
        <v>177</v>
      </c>
      <c r="Q9" s="33">
        <v>1</v>
      </c>
      <c r="R9" s="33">
        <v>1</v>
      </c>
      <c r="S9" s="33" t="s">
        <v>131</v>
      </c>
      <c r="T9" s="29" t="s">
        <v>178</v>
      </c>
      <c r="Y9" s="29">
        <v>37</v>
      </c>
      <c r="Z9" s="35" t="s">
        <v>133</v>
      </c>
      <c r="AA9" s="36">
        <v>1999</v>
      </c>
      <c r="AB9" s="30">
        <v>2002</v>
      </c>
      <c r="AC9" s="53">
        <v>0</v>
      </c>
      <c r="AD9" s="54">
        <v>0</v>
      </c>
      <c r="AE9" s="30">
        <v>0</v>
      </c>
      <c r="AF9" s="31" t="s">
        <v>166</v>
      </c>
      <c r="AG9" s="29">
        <v>1.06</v>
      </c>
      <c r="AH9" s="29">
        <v>1.01</v>
      </c>
      <c r="AI9" s="29">
        <v>1.1100000000000001</v>
      </c>
      <c r="AJ9" s="31"/>
      <c r="AK9" s="29">
        <v>3748</v>
      </c>
      <c r="AL9" s="29">
        <v>70249</v>
      </c>
      <c r="AM9" s="30">
        <v>95</v>
      </c>
      <c r="AN9" s="36">
        <v>0</v>
      </c>
      <c r="AO9" s="30">
        <v>0</v>
      </c>
      <c r="AP9" s="30" t="s">
        <v>173</v>
      </c>
      <c r="AQ9" s="30">
        <v>0</v>
      </c>
      <c r="AR9" s="30">
        <v>0</v>
      </c>
      <c r="AS9" s="30">
        <v>0</v>
      </c>
      <c r="AT9" s="30">
        <v>0</v>
      </c>
      <c r="AU9" s="30">
        <v>0</v>
      </c>
      <c r="AV9" s="30">
        <v>1</v>
      </c>
      <c r="AW9" s="30">
        <v>0</v>
      </c>
      <c r="AX9" s="29" t="s">
        <v>174</v>
      </c>
      <c r="AY9" s="29" t="s">
        <v>555</v>
      </c>
      <c r="AZ9" s="29" t="s">
        <v>555</v>
      </c>
      <c r="BA9" s="30">
        <v>0</v>
      </c>
      <c r="BB9" s="30">
        <v>100</v>
      </c>
      <c r="BC9" s="31">
        <v>1.1000000000000001</v>
      </c>
      <c r="BD9" s="31">
        <v>1</v>
      </c>
      <c r="BG9" s="29">
        <v>7.6</v>
      </c>
      <c r="BH9" s="29">
        <v>5</v>
      </c>
      <c r="BK9" s="29">
        <v>1.1000000000000001</v>
      </c>
      <c r="BL9" s="31" t="s">
        <v>175</v>
      </c>
      <c r="BM9" s="29">
        <v>0</v>
      </c>
      <c r="BN9" s="29">
        <v>1</v>
      </c>
      <c r="BP9" s="29" t="s">
        <v>139</v>
      </c>
      <c r="BQ9" s="29">
        <v>0</v>
      </c>
    </row>
    <row r="10" spans="1:70" s="29" customFormat="1" x14ac:dyDescent="0.25">
      <c r="A10" s="50"/>
      <c r="B10" s="51">
        <v>394026</v>
      </c>
      <c r="D10" s="29" t="s">
        <v>167</v>
      </c>
      <c r="E10" s="56" t="s">
        <v>168</v>
      </c>
      <c r="F10" s="29">
        <v>684</v>
      </c>
      <c r="G10" s="30"/>
      <c r="H10" s="29" t="s">
        <v>150</v>
      </c>
      <c r="I10" s="31" t="s">
        <v>169</v>
      </c>
      <c r="J10" s="30">
        <f>VLOOKUP(I10,[1]locations!A:E,3,FALSE)</f>
        <v>101</v>
      </c>
      <c r="K10" s="30" t="str">
        <f>VLOOKUP(I10,[1]locations!A:E,5,FALSE)</f>
        <v>CAN</v>
      </c>
      <c r="L10" s="32">
        <v>1</v>
      </c>
      <c r="M10" s="33" t="s">
        <v>170</v>
      </c>
      <c r="N10" s="33" t="s">
        <v>171</v>
      </c>
      <c r="O10" s="34" t="s">
        <v>129</v>
      </c>
      <c r="P10" s="33" t="s">
        <v>177</v>
      </c>
      <c r="Q10" s="33">
        <v>1</v>
      </c>
      <c r="R10" s="33">
        <v>0</v>
      </c>
      <c r="S10" s="33" t="s">
        <v>131</v>
      </c>
      <c r="T10" s="29" t="s">
        <v>178</v>
      </c>
      <c r="Y10" s="30">
        <v>35</v>
      </c>
      <c r="Z10" s="35" t="s">
        <v>133</v>
      </c>
      <c r="AA10" s="36">
        <v>1999</v>
      </c>
      <c r="AB10" s="30">
        <v>2002</v>
      </c>
      <c r="AC10" s="53">
        <v>0</v>
      </c>
      <c r="AD10" s="54">
        <v>0</v>
      </c>
      <c r="AE10" s="30">
        <v>0</v>
      </c>
      <c r="AF10" s="31" t="s">
        <v>166</v>
      </c>
      <c r="AG10" s="29">
        <v>1.1200000000000001</v>
      </c>
      <c r="AH10" s="29">
        <v>1.02</v>
      </c>
      <c r="AI10" s="29">
        <v>1.24</v>
      </c>
      <c r="AJ10" s="31"/>
      <c r="AK10" s="29">
        <v>820</v>
      </c>
      <c r="AL10" s="29">
        <v>70249</v>
      </c>
      <c r="AM10" s="30">
        <v>95</v>
      </c>
      <c r="AN10" s="36">
        <v>0</v>
      </c>
      <c r="AO10" s="30">
        <v>0</v>
      </c>
      <c r="AP10" s="30" t="s">
        <v>173</v>
      </c>
      <c r="AQ10" s="30">
        <v>0</v>
      </c>
      <c r="AR10" s="30">
        <v>0</v>
      </c>
      <c r="AS10" s="30">
        <v>0</v>
      </c>
      <c r="AT10" s="30">
        <v>0</v>
      </c>
      <c r="AU10" s="30">
        <v>0</v>
      </c>
      <c r="AV10" s="30">
        <v>1</v>
      </c>
      <c r="AW10" s="30">
        <v>0</v>
      </c>
      <c r="AX10" s="29" t="s">
        <v>174</v>
      </c>
      <c r="AY10" s="29" t="s">
        <v>555</v>
      </c>
      <c r="AZ10" s="29" t="s">
        <v>555</v>
      </c>
      <c r="BA10" s="30">
        <v>0</v>
      </c>
      <c r="BB10" s="30">
        <v>100</v>
      </c>
      <c r="BC10" s="31">
        <v>1.1000000000000001</v>
      </c>
      <c r="BD10" s="31">
        <v>1</v>
      </c>
      <c r="BG10" s="29">
        <v>7.6</v>
      </c>
      <c r="BH10" s="29">
        <v>5</v>
      </c>
      <c r="BK10" s="29">
        <v>1.1000000000000001</v>
      </c>
      <c r="BL10" s="31" t="s">
        <v>175</v>
      </c>
      <c r="BM10" s="29">
        <v>0</v>
      </c>
      <c r="BN10" s="29">
        <v>1</v>
      </c>
      <c r="BO10" s="52" t="s">
        <v>179</v>
      </c>
      <c r="BP10" s="29" t="s">
        <v>139</v>
      </c>
      <c r="BQ10" s="29">
        <v>0</v>
      </c>
    </row>
    <row r="11" spans="1:70" s="29" customFormat="1" x14ac:dyDescent="0.25">
      <c r="A11" s="50"/>
      <c r="B11" s="51">
        <v>394026</v>
      </c>
      <c r="D11" s="29" t="s">
        <v>167</v>
      </c>
      <c r="E11" s="56" t="s">
        <v>168</v>
      </c>
      <c r="F11" s="29">
        <v>684</v>
      </c>
      <c r="G11" s="30">
        <v>7</v>
      </c>
      <c r="H11" s="29" t="s">
        <v>150</v>
      </c>
      <c r="I11" s="31" t="s">
        <v>169</v>
      </c>
      <c r="J11" s="30">
        <f>VLOOKUP(I11,[1]locations!A:E,3,FALSE)</f>
        <v>101</v>
      </c>
      <c r="K11" s="30" t="str">
        <f>VLOOKUP(I11,[1]locations!A:E,5,FALSE)</f>
        <v>CAN</v>
      </c>
      <c r="L11" s="32">
        <v>1</v>
      </c>
      <c r="M11" s="33" t="s">
        <v>170</v>
      </c>
      <c r="N11" s="33" t="s">
        <v>171</v>
      </c>
      <c r="O11" s="34" t="s">
        <v>129</v>
      </c>
      <c r="P11" s="33" t="s">
        <v>177</v>
      </c>
      <c r="Q11" s="33">
        <v>1</v>
      </c>
      <c r="R11" s="33">
        <v>0</v>
      </c>
      <c r="S11" s="33" t="s">
        <v>131</v>
      </c>
      <c r="T11" s="29" t="s">
        <v>178</v>
      </c>
      <c r="Y11" s="30">
        <v>30</v>
      </c>
      <c r="Z11" s="35" t="s">
        <v>133</v>
      </c>
      <c r="AA11" s="36">
        <v>1999</v>
      </c>
      <c r="AB11" s="30">
        <v>2002</v>
      </c>
      <c r="AC11" s="53">
        <v>0</v>
      </c>
      <c r="AD11" s="54">
        <v>0</v>
      </c>
      <c r="AE11" s="30">
        <v>0</v>
      </c>
      <c r="AF11" s="31" t="s">
        <v>166</v>
      </c>
      <c r="AG11" s="29">
        <v>1.1299999999999999</v>
      </c>
      <c r="AH11" s="29">
        <v>0.92</v>
      </c>
      <c r="AI11" s="29">
        <v>1.39</v>
      </c>
      <c r="AJ11" s="31"/>
      <c r="AK11" s="29">
        <v>170</v>
      </c>
      <c r="AL11" s="29">
        <v>70249</v>
      </c>
      <c r="AM11" s="30">
        <v>95</v>
      </c>
      <c r="AN11" s="36">
        <v>0</v>
      </c>
      <c r="AO11" s="30">
        <v>0</v>
      </c>
      <c r="AP11" s="30" t="s">
        <v>173</v>
      </c>
      <c r="AQ11" s="30">
        <v>0</v>
      </c>
      <c r="AR11" s="30">
        <v>0</v>
      </c>
      <c r="AS11" s="30">
        <v>0</v>
      </c>
      <c r="AT11" s="30">
        <v>0</v>
      </c>
      <c r="AU11" s="30">
        <v>0</v>
      </c>
      <c r="AV11" s="30">
        <v>1</v>
      </c>
      <c r="AW11" s="30">
        <v>0</v>
      </c>
      <c r="AX11" s="29" t="s">
        <v>174</v>
      </c>
      <c r="AY11" s="29" t="s">
        <v>555</v>
      </c>
      <c r="AZ11" s="29" t="s">
        <v>555</v>
      </c>
      <c r="BA11" s="30">
        <v>0</v>
      </c>
      <c r="BB11" s="30">
        <v>100</v>
      </c>
      <c r="BC11" s="31">
        <v>1.1000000000000001</v>
      </c>
      <c r="BD11" s="31">
        <v>1</v>
      </c>
      <c r="BG11" s="29">
        <v>7.6</v>
      </c>
      <c r="BH11" s="29">
        <v>5</v>
      </c>
      <c r="BK11" s="29">
        <v>1.1000000000000001</v>
      </c>
      <c r="BL11" s="31" t="s">
        <v>175</v>
      </c>
      <c r="BM11" s="29">
        <v>0</v>
      </c>
      <c r="BN11" s="29">
        <v>1</v>
      </c>
      <c r="BO11" s="52" t="s">
        <v>179</v>
      </c>
      <c r="BP11" s="29" t="s">
        <v>139</v>
      </c>
      <c r="BQ11" s="29">
        <v>0</v>
      </c>
    </row>
    <row r="12" spans="1:70" s="42" customFormat="1" x14ac:dyDescent="0.25">
      <c r="A12" s="40"/>
      <c r="B12" s="41">
        <v>394028</v>
      </c>
      <c r="D12" s="42" t="s">
        <v>180</v>
      </c>
      <c r="E12" s="42" t="s">
        <v>181</v>
      </c>
      <c r="F12" s="42">
        <v>888</v>
      </c>
      <c r="G12" s="42">
        <v>3</v>
      </c>
      <c r="H12" s="42" t="s">
        <v>150</v>
      </c>
      <c r="I12" s="44" t="s">
        <v>159</v>
      </c>
      <c r="J12" s="57" t="s">
        <v>182</v>
      </c>
      <c r="K12" s="42" t="e">
        <f ca="1">INDEX([1]locations!I:I,MATCH((INDIRECT("I"&amp;ROW())),[1]locations!E:E,0))</f>
        <v>#N/A</v>
      </c>
      <c r="L12" s="45">
        <v>1</v>
      </c>
      <c r="M12" s="46" t="s">
        <v>183</v>
      </c>
      <c r="N12" s="46" t="s">
        <v>184</v>
      </c>
      <c r="O12" s="47" t="s">
        <v>129</v>
      </c>
      <c r="P12" s="46" t="s">
        <v>130</v>
      </c>
      <c r="Q12" s="46">
        <v>1</v>
      </c>
      <c r="R12" s="46">
        <v>0</v>
      </c>
      <c r="S12" s="46" t="s">
        <v>131</v>
      </c>
      <c r="T12" s="42" t="s">
        <v>132</v>
      </c>
      <c r="U12" s="42">
        <v>1000</v>
      </c>
      <c r="V12" s="42">
        <v>5500</v>
      </c>
      <c r="W12" s="42">
        <v>37</v>
      </c>
      <c r="X12" s="42">
        <v>44</v>
      </c>
      <c r="Z12" s="48" t="s">
        <v>133</v>
      </c>
      <c r="AA12" s="44">
        <v>2000</v>
      </c>
      <c r="AB12" s="42">
        <v>2004</v>
      </c>
      <c r="AC12" s="45">
        <v>0</v>
      </c>
      <c r="AD12" s="46">
        <v>0</v>
      </c>
      <c r="AE12" s="42">
        <v>0</v>
      </c>
      <c r="AF12" s="44" t="s">
        <v>134</v>
      </c>
      <c r="AG12" s="42">
        <v>-3</v>
      </c>
      <c r="AH12" s="42">
        <v>-9</v>
      </c>
      <c r="AI12" s="42">
        <v>2</v>
      </c>
      <c r="AJ12" s="44"/>
      <c r="AL12" s="42">
        <v>76788</v>
      </c>
      <c r="AM12" s="42">
        <v>95</v>
      </c>
      <c r="AN12" s="44">
        <v>0</v>
      </c>
      <c r="AO12" s="42">
        <v>1</v>
      </c>
      <c r="AP12" s="42" t="s">
        <v>162</v>
      </c>
      <c r="AQ12" s="42">
        <v>0</v>
      </c>
      <c r="AR12" s="42">
        <v>0</v>
      </c>
      <c r="AS12" s="42">
        <v>0</v>
      </c>
      <c r="AT12" s="42">
        <v>0</v>
      </c>
      <c r="AU12" s="42">
        <v>0</v>
      </c>
      <c r="AV12" s="42">
        <v>1</v>
      </c>
      <c r="AW12" s="42">
        <v>1</v>
      </c>
      <c r="AX12" s="42" t="s">
        <v>185</v>
      </c>
      <c r="AY12" s="42" t="s">
        <v>555</v>
      </c>
      <c r="AZ12" s="42" t="s">
        <v>556</v>
      </c>
      <c r="BA12" s="42">
        <v>2</v>
      </c>
      <c r="BB12" s="42">
        <v>33</v>
      </c>
      <c r="BC12" s="44">
        <v>3.6</v>
      </c>
      <c r="BD12" s="44"/>
      <c r="BH12" s="42">
        <v>14</v>
      </c>
      <c r="BI12" s="42">
        <v>2.13</v>
      </c>
      <c r="BK12" s="42">
        <v>3.6</v>
      </c>
      <c r="BL12" s="44" t="s">
        <v>186</v>
      </c>
      <c r="BM12" s="42">
        <v>0</v>
      </c>
      <c r="BN12" s="42">
        <v>1</v>
      </c>
      <c r="BP12" s="42" t="s">
        <v>139</v>
      </c>
      <c r="BQ12" s="42">
        <v>0</v>
      </c>
    </row>
    <row r="13" spans="1:70" s="42" customFormat="1" x14ac:dyDescent="0.25">
      <c r="A13" s="40"/>
      <c r="B13" s="41">
        <v>394028</v>
      </c>
      <c r="D13" s="42" t="s">
        <v>180</v>
      </c>
      <c r="E13" s="42" t="s">
        <v>181</v>
      </c>
      <c r="F13" s="42">
        <v>888</v>
      </c>
      <c r="G13" s="42">
        <v>3</v>
      </c>
      <c r="H13" s="42" t="s">
        <v>150</v>
      </c>
      <c r="I13" s="44" t="s">
        <v>159</v>
      </c>
      <c r="J13" s="57" t="s">
        <v>182</v>
      </c>
      <c r="K13" s="42" t="e">
        <f ca="1">INDEX([1]locations!I:I,MATCH((INDIRECT("I"&amp;ROW())),[1]locations!E:E,0))</f>
        <v>#N/A</v>
      </c>
      <c r="L13" s="45">
        <v>1</v>
      </c>
      <c r="M13" s="46" t="s">
        <v>183</v>
      </c>
      <c r="N13" s="46" t="s">
        <v>184</v>
      </c>
      <c r="O13" s="47" t="s">
        <v>129</v>
      </c>
      <c r="P13" s="46" t="s">
        <v>130</v>
      </c>
      <c r="Q13" s="46">
        <v>0</v>
      </c>
      <c r="R13" s="46">
        <v>1</v>
      </c>
      <c r="S13" s="46" t="s">
        <v>131</v>
      </c>
      <c r="T13" s="42" t="s">
        <v>187</v>
      </c>
      <c r="U13" s="42">
        <v>1000</v>
      </c>
      <c r="V13" s="42">
        <v>5500</v>
      </c>
      <c r="W13" s="42">
        <v>37</v>
      </c>
      <c r="X13" s="42">
        <v>44</v>
      </c>
      <c r="Y13" s="42">
        <v>2500</v>
      </c>
      <c r="Z13" s="48" t="s">
        <v>133</v>
      </c>
      <c r="AA13" s="44">
        <v>2000</v>
      </c>
      <c r="AB13" s="42">
        <v>2004</v>
      </c>
      <c r="AC13" s="45">
        <v>0</v>
      </c>
      <c r="AD13" s="46">
        <v>0</v>
      </c>
      <c r="AE13" s="42">
        <v>0</v>
      </c>
      <c r="AF13" s="44" t="s">
        <v>188</v>
      </c>
      <c r="AG13" s="42">
        <v>1.07</v>
      </c>
      <c r="AH13" s="42">
        <v>0.99</v>
      </c>
      <c r="AI13" s="42">
        <v>1.17</v>
      </c>
      <c r="AJ13" s="44"/>
      <c r="AK13" s="42">
        <v>1689</v>
      </c>
      <c r="AL13" s="42">
        <v>76788</v>
      </c>
      <c r="AM13" s="42">
        <v>95</v>
      </c>
      <c r="AN13" s="44">
        <v>0</v>
      </c>
      <c r="AO13" s="42">
        <v>1</v>
      </c>
      <c r="AP13" s="42" t="s">
        <v>162</v>
      </c>
      <c r="AQ13" s="42">
        <v>0</v>
      </c>
      <c r="AR13" s="42">
        <v>0</v>
      </c>
      <c r="AS13" s="42">
        <v>0</v>
      </c>
      <c r="AT13" s="42">
        <v>0</v>
      </c>
      <c r="AU13" s="42">
        <v>0</v>
      </c>
      <c r="AV13" s="42">
        <v>1</v>
      </c>
      <c r="AW13" s="42">
        <v>1</v>
      </c>
      <c r="AX13" s="42" t="s">
        <v>185</v>
      </c>
      <c r="AY13" s="42" t="s">
        <v>555</v>
      </c>
      <c r="AZ13" s="42" t="s">
        <v>556</v>
      </c>
      <c r="BA13" s="42">
        <v>2</v>
      </c>
      <c r="BB13" s="42">
        <v>33</v>
      </c>
      <c r="BC13" s="44">
        <v>3.6</v>
      </c>
      <c r="BD13" s="44"/>
      <c r="BH13" s="42">
        <v>14</v>
      </c>
      <c r="BI13" s="42">
        <v>2.13</v>
      </c>
      <c r="BK13" s="42">
        <v>3.6</v>
      </c>
      <c r="BL13" s="44" t="s">
        <v>186</v>
      </c>
      <c r="BM13" s="42">
        <v>0</v>
      </c>
      <c r="BN13" s="42">
        <v>1</v>
      </c>
      <c r="BO13" s="42" t="s">
        <v>189</v>
      </c>
      <c r="BP13" s="42" t="s">
        <v>139</v>
      </c>
      <c r="BQ13" s="42">
        <v>0</v>
      </c>
    </row>
    <row r="14" spans="1:70" s="29" customFormat="1" hidden="1" x14ac:dyDescent="0.25">
      <c r="A14" s="28"/>
      <c r="B14" s="29">
        <v>394031</v>
      </c>
      <c r="D14" s="29" t="s">
        <v>190</v>
      </c>
      <c r="E14" s="29" t="s">
        <v>191</v>
      </c>
      <c r="F14" s="29">
        <v>473</v>
      </c>
      <c r="G14" s="30"/>
      <c r="H14" s="29" t="s">
        <v>150</v>
      </c>
      <c r="I14" s="31" t="s">
        <v>192</v>
      </c>
      <c r="J14" s="30" t="e">
        <f ca="1">INDEX([1]locations!G:G,MATCH((INDIRECT("I"&amp;ROW())),[1]locations!E:E,0))</f>
        <v>#N/A</v>
      </c>
      <c r="K14" s="30" t="e">
        <f ca="1">INDEX([1]locations!I:I,MATCH((INDIRECT("I"&amp;ROW())),[1]locations!E:E,0))</f>
        <v>#N/A</v>
      </c>
      <c r="L14" s="32">
        <v>0</v>
      </c>
      <c r="M14" s="33"/>
      <c r="N14" s="33" t="s">
        <v>193</v>
      </c>
      <c r="O14" s="34" t="s">
        <v>129</v>
      </c>
      <c r="P14" s="33" t="s">
        <v>130</v>
      </c>
      <c r="Q14" s="33"/>
      <c r="R14" s="33">
        <v>1</v>
      </c>
      <c r="S14" s="33" t="s">
        <v>131</v>
      </c>
      <c r="T14" s="29" t="s">
        <v>132</v>
      </c>
      <c r="U14" s="29">
        <v>1000</v>
      </c>
      <c r="V14" s="29">
        <v>5500</v>
      </c>
      <c r="W14" s="29">
        <v>32</v>
      </c>
      <c r="X14" s="29">
        <v>44</v>
      </c>
      <c r="Z14" s="35" t="s">
        <v>133</v>
      </c>
      <c r="AA14" s="36">
        <v>2000</v>
      </c>
      <c r="AB14" s="30">
        <v>2002</v>
      </c>
      <c r="AC14" s="53">
        <v>0</v>
      </c>
      <c r="AD14" s="54">
        <v>0</v>
      </c>
      <c r="AE14" s="55">
        <v>0</v>
      </c>
      <c r="AF14" s="29" t="s">
        <v>134</v>
      </c>
      <c r="AG14" s="29">
        <v>-4.5999999999999996</v>
      </c>
      <c r="AH14" s="29">
        <v>-6.8</v>
      </c>
      <c r="AI14" s="37">
        <v>-2.2999999999999998</v>
      </c>
      <c r="AL14" s="29">
        <v>174933</v>
      </c>
      <c r="AM14" s="30">
        <v>95</v>
      </c>
      <c r="AN14" s="36">
        <v>0</v>
      </c>
      <c r="AO14" s="30"/>
      <c r="AP14" s="30"/>
      <c r="AQ14" s="30">
        <v>0</v>
      </c>
      <c r="AR14" s="30"/>
      <c r="AS14" s="30">
        <v>0</v>
      </c>
      <c r="AT14" s="30">
        <v>0</v>
      </c>
      <c r="AU14" s="30">
        <v>0</v>
      </c>
      <c r="AV14" s="30">
        <v>1</v>
      </c>
      <c r="AW14" s="30"/>
      <c r="AX14" s="29" t="s">
        <v>194</v>
      </c>
      <c r="BA14" s="30"/>
      <c r="BB14" s="30"/>
      <c r="BC14" s="37">
        <v>1.6</v>
      </c>
      <c r="BH14" s="29">
        <v>15.7</v>
      </c>
      <c r="BI14" s="29">
        <v>1.6</v>
      </c>
      <c r="BJ14" s="29">
        <v>15.7</v>
      </c>
      <c r="BK14" s="37">
        <v>1.6</v>
      </c>
      <c r="BL14" s="29" t="s">
        <v>195</v>
      </c>
      <c r="BM14" s="29">
        <v>0</v>
      </c>
      <c r="BN14" s="29">
        <v>1</v>
      </c>
      <c r="BP14" s="29" t="s">
        <v>139</v>
      </c>
      <c r="BQ14" s="29">
        <v>1</v>
      </c>
      <c r="BR14" s="29" t="s">
        <v>196</v>
      </c>
    </row>
    <row r="15" spans="1:70" s="42" customFormat="1" x14ac:dyDescent="0.25">
      <c r="A15" s="40"/>
      <c r="B15" s="41">
        <v>397880</v>
      </c>
      <c r="D15" s="42" t="s">
        <v>197</v>
      </c>
      <c r="E15" s="43" t="s">
        <v>198</v>
      </c>
      <c r="F15" s="42">
        <v>2195</v>
      </c>
      <c r="G15" s="42">
        <v>2</v>
      </c>
      <c r="H15" s="42" t="s">
        <v>150</v>
      </c>
      <c r="I15" s="44" t="s">
        <v>192</v>
      </c>
      <c r="J15" s="42" t="e">
        <f ca="1">INDEX([1]locations!G:G,MATCH((INDIRECT("I"&amp;ROW())),[1]locations!E:E,0))</f>
        <v>#N/A</v>
      </c>
      <c r="K15" s="42" t="e">
        <f ca="1">INDEX([1]locations!I:I,MATCH((INDIRECT("I"&amp;ROW())),[1]locations!E:E,0))</f>
        <v>#N/A</v>
      </c>
      <c r="L15" s="45">
        <v>0</v>
      </c>
      <c r="M15" s="46"/>
      <c r="N15" s="46" t="s">
        <v>199</v>
      </c>
      <c r="O15" s="47" t="s">
        <v>129</v>
      </c>
      <c r="P15" s="46" t="s">
        <v>130</v>
      </c>
      <c r="Q15" s="46">
        <v>1</v>
      </c>
      <c r="R15" s="46">
        <v>0</v>
      </c>
      <c r="S15" s="46" t="s">
        <v>131</v>
      </c>
      <c r="T15" s="42" t="s">
        <v>132</v>
      </c>
      <c r="U15" s="42">
        <v>1000</v>
      </c>
      <c r="V15" s="42">
        <v>5500</v>
      </c>
      <c r="W15" s="42">
        <v>32</v>
      </c>
      <c r="X15" s="42">
        <v>44</v>
      </c>
      <c r="Z15" s="48" t="s">
        <v>133</v>
      </c>
      <c r="AA15" s="44">
        <v>1999</v>
      </c>
      <c r="AB15" s="42">
        <v>2002</v>
      </c>
      <c r="AC15" s="45">
        <v>0</v>
      </c>
      <c r="AD15" s="46">
        <v>0</v>
      </c>
      <c r="AE15" s="42">
        <v>0</v>
      </c>
      <c r="AF15" s="44" t="s">
        <v>134</v>
      </c>
      <c r="AG15" s="42">
        <v>-4.5999999999999996</v>
      </c>
      <c r="AH15" s="42">
        <v>-5.84</v>
      </c>
      <c r="AI15" s="42">
        <v>-3.36</v>
      </c>
      <c r="AJ15" s="44"/>
      <c r="AL15" s="42">
        <v>195141</v>
      </c>
      <c r="AM15" s="42">
        <v>95</v>
      </c>
      <c r="AN15" s="44">
        <v>0</v>
      </c>
      <c r="AO15" s="42">
        <v>1</v>
      </c>
      <c r="AP15" s="42" t="s">
        <v>200</v>
      </c>
      <c r="AQ15" s="42">
        <v>0</v>
      </c>
      <c r="AR15" s="42">
        <v>0</v>
      </c>
      <c r="AS15" s="42">
        <v>0</v>
      </c>
      <c r="AT15" s="42">
        <v>0</v>
      </c>
      <c r="AU15" s="42">
        <v>0</v>
      </c>
      <c r="AV15" s="42">
        <v>1</v>
      </c>
      <c r="AW15" s="42">
        <v>1</v>
      </c>
      <c r="AX15" s="42" t="s">
        <v>201</v>
      </c>
      <c r="AY15" s="42" t="s">
        <v>555</v>
      </c>
      <c r="AZ15" s="42" t="s">
        <v>556</v>
      </c>
      <c r="BA15" s="42">
        <v>2</v>
      </c>
      <c r="BB15" s="42">
        <v>56</v>
      </c>
      <c r="BC15" s="44">
        <v>1.6</v>
      </c>
      <c r="BD15" s="44"/>
      <c r="BH15" s="42">
        <v>15.7</v>
      </c>
      <c r="BI15" s="42">
        <v>1.6</v>
      </c>
      <c r="BJ15" s="42">
        <v>15.7</v>
      </c>
      <c r="BK15" s="42">
        <v>1.6</v>
      </c>
      <c r="BL15" s="44" t="s">
        <v>202</v>
      </c>
      <c r="BM15" s="42">
        <v>0</v>
      </c>
      <c r="BN15" s="42">
        <v>1</v>
      </c>
      <c r="BP15" s="42" t="s">
        <v>139</v>
      </c>
      <c r="BQ15" s="42">
        <v>0</v>
      </c>
    </row>
    <row r="16" spans="1:70" s="29" customFormat="1" x14ac:dyDescent="0.25">
      <c r="A16" s="50"/>
      <c r="B16" s="51">
        <v>394033</v>
      </c>
      <c r="D16" s="29" t="s">
        <v>203</v>
      </c>
      <c r="E16" s="56" t="s">
        <v>204</v>
      </c>
      <c r="F16" s="29">
        <v>6</v>
      </c>
      <c r="G16" s="30">
        <v>3</v>
      </c>
      <c r="H16" s="29" t="s">
        <v>150</v>
      </c>
      <c r="I16" s="31" t="s">
        <v>151</v>
      </c>
      <c r="J16" s="30">
        <f>VLOOKUP(I16,[1]locations!A:E,3,FALSE)</f>
        <v>527</v>
      </c>
      <c r="K16" s="30" t="str">
        <f>VLOOKUP(I16,[1]locations!A:E,5,FALSE)</f>
        <v>USA_527</v>
      </c>
      <c r="L16" s="32">
        <v>0</v>
      </c>
      <c r="M16" s="33"/>
      <c r="N16" s="29" t="s">
        <v>205</v>
      </c>
      <c r="O16" s="34" t="s">
        <v>129</v>
      </c>
      <c r="P16" s="33" t="s">
        <v>130</v>
      </c>
      <c r="Q16" s="33">
        <v>1</v>
      </c>
      <c r="R16" s="33">
        <v>0</v>
      </c>
      <c r="S16" s="33" t="s">
        <v>131</v>
      </c>
      <c r="T16" s="29" t="s">
        <v>132</v>
      </c>
      <c r="W16" s="29">
        <v>37</v>
      </c>
      <c r="X16" s="29">
        <v>44</v>
      </c>
      <c r="Z16" s="35" t="s">
        <v>133</v>
      </c>
      <c r="AA16" s="36">
        <v>1996</v>
      </c>
      <c r="AB16" s="30">
        <v>2006</v>
      </c>
      <c r="AC16" s="53">
        <v>0</v>
      </c>
      <c r="AD16" s="54">
        <v>0</v>
      </c>
      <c r="AE16" s="30">
        <v>0</v>
      </c>
      <c r="AF16" s="31" t="s">
        <v>134</v>
      </c>
      <c r="AG16" s="29">
        <v>-9.1999999999999993</v>
      </c>
      <c r="AH16" s="29">
        <v>-12.5</v>
      </c>
      <c r="AI16" s="29">
        <v>-5.9</v>
      </c>
      <c r="AJ16" s="31"/>
      <c r="AL16" s="29">
        <v>3545177</v>
      </c>
      <c r="AM16" s="30">
        <v>95</v>
      </c>
      <c r="AN16" s="36">
        <v>0</v>
      </c>
      <c r="AO16" s="30">
        <v>1</v>
      </c>
      <c r="AP16" s="30" t="s">
        <v>206</v>
      </c>
      <c r="AQ16" s="30">
        <v>0</v>
      </c>
      <c r="AR16" s="30">
        <v>0</v>
      </c>
      <c r="AS16" s="30">
        <v>0</v>
      </c>
      <c r="AT16" s="30">
        <v>0</v>
      </c>
      <c r="AU16" s="30">
        <v>0</v>
      </c>
      <c r="AV16" s="30">
        <v>1</v>
      </c>
      <c r="AW16" s="30">
        <v>2</v>
      </c>
      <c r="AX16" s="29" t="s">
        <v>207</v>
      </c>
      <c r="AY16" s="29" t="s">
        <v>555</v>
      </c>
      <c r="AZ16" s="29" t="s">
        <v>557</v>
      </c>
      <c r="BA16" s="30">
        <v>2</v>
      </c>
      <c r="BB16" s="30">
        <v>74</v>
      </c>
      <c r="BC16" s="31">
        <v>10</v>
      </c>
      <c r="BD16" s="31"/>
      <c r="BH16" s="29">
        <v>16.7</v>
      </c>
      <c r="BI16" s="29">
        <v>5.5</v>
      </c>
      <c r="BK16" s="29">
        <v>9</v>
      </c>
      <c r="BL16" s="31" t="s">
        <v>208</v>
      </c>
      <c r="BM16" s="29">
        <v>0</v>
      </c>
      <c r="BN16" s="29">
        <v>1</v>
      </c>
      <c r="BO16" s="30"/>
      <c r="BP16" s="29" t="s">
        <v>139</v>
      </c>
      <c r="BQ16" s="29">
        <v>0</v>
      </c>
    </row>
    <row r="17" spans="1:70" s="29" customFormat="1" x14ac:dyDescent="0.25">
      <c r="A17" s="50"/>
      <c r="B17" s="51">
        <v>394033</v>
      </c>
      <c r="D17" s="29" t="s">
        <v>203</v>
      </c>
      <c r="E17" s="56" t="s">
        <v>204</v>
      </c>
      <c r="F17" s="29">
        <v>6</v>
      </c>
      <c r="G17" s="30">
        <v>3</v>
      </c>
      <c r="H17" s="29" t="s">
        <v>150</v>
      </c>
      <c r="I17" s="31" t="s">
        <v>151</v>
      </c>
      <c r="J17" s="30">
        <f>VLOOKUP(I17,[1]locations!A:E,3,FALSE)</f>
        <v>527</v>
      </c>
      <c r="K17" s="30" t="str">
        <f>VLOOKUP(I17,[1]locations!A:E,5,FALSE)</f>
        <v>USA_527</v>
      </c>
      <c r="L17" s="32">
        <v>0</v>
      </c>
      <c r="M17" s="33"/>
      <c r="N17" s="29" t="s">
        <v>205</v>
      </c>
      <c r="O17" s="34" t="s">
        <v>129</v>
      </c>
      <c r="P17" s="33" t="s">
        <v>130</v>
      </c>
      <c r="Q17" s="33">
        <v>0</v>
      </c>
      <c r="R17" s="33">
        <v>1</v>
      </c>
      <c r="S17" s="33" t="s">
        <v>131</v>
      </c>
      <c r="T17" s="29" t="s">
        <v>209</v>
      </c>
      <c r="W17" s="29">
        <v>37</v>
      </c>
      <c r="X17" s="29">
        <v>44</v>
      </c>
      <c r="Y17" s="29">
        <v>2500</v>
      </c>
      <c r="Z17" s="35" t="s">
        <v>133</v>
      </c>
      <c r="AA17" s="36">
        <v>1996</v>
      </c>
      <c r="AB17" s="30">
        <v>2006</v>
      </c>
      <c r="AC17" s="53">
        <v>0</v>
      </c>
      <c r="AD17" s="54">
        <v>0</v>
      </c>
      <c r="AE17" s="30">
        <v>0</v>
      </c>
      <c r="AF17" s="31" t="s">
        <v>166</v>
      </c>
      <c r="AG17" s="29">
        <v>1.04</v>
      </c>
      <c r="AH17" s="29">
        <v>0.99</v>
      </c>
      <c r="AI17" s="29">
        <v>1.0900000000000001</v>
      </c>
      <c r="AJ17" s="31"/>
      <c r="AK17" s="29">
        <v>81539</v>
      </c>
      <c r="AL17" s="29">
        <v>3545177</v>
      </c>
      <c r="AM17" s="30">
        <v>95</v>
      </c>
      <c r="AN17" s="36">
        <v>0</v>
      </c>
      <c r="AO17" s="30">
        <v>1</v>
      </c>
      <c r="AP17" s="30" t="s">
        <v>206</v>
      </c>
      <c r="AQ17" s="30">
        <v>0</v>
      </c>
      <c r="AR17" s="30">
        <v>0</v>
      </c>
      <c r="AS17" s="30">
        <v>0</v>
      </c>
      <c r="AT17" s="30">
        <v>0</v>
      </c>
      <c r="AU17" s="30">
        <v>0</v>
      </c>
      <c r="AV17" s="30">
        <v>1</v>
      </c>
      <c r="AW17" s="30">
        <v>2</v>
      </c>
      <c r="AX17" s="29" t="s">
        <v>207</v>
      </c>
      <c r="AY17" s="29" t="s">
        <v>555</v>
      </c>
      <c r="AZ17" s="29" t="s">
        <v>557</v>
      </c>
      <c r="BA17" s="30">
        <v>2</v>
      </c>
      <c r="BB17" s="30">
        <v>74</v>
      </c>
      <c r="BC17" s="31">
        <v>10</v>
      </c>
      <c r="BD17" s="31"/>
      <c r="BH17" s="29">
        <v>16.7</v>
      </c>
      <c r="BI17" s="29">
        <v>5.5</v>
      </c>
      <c r="BK17" s="29">
        <v>9</v>
      </c>
      <c r="BL17" s="31" t="s">
        <v>208</v>
      </c>
      <c r="BM17" s="29">
        <v>0</v>
      </c>
      <c r="BN17" s="29">
        <v>1</v>
      </c>
      <c r="BO17" s="30"/>
      <c r="BP17" s="29" t="s">
        <v>139</v>
      </c>
      <c r="BQ17" s="29">
        <v>0</v>
      </c>
    </row>
    <row r="18" spans="1:70" s="42" customFormat="1" x14ac:dyDescent="0.25">
      <c r="A18" s="40"/>
      <c r="B18" s="41">
        <v>394072</v>
      </c>
      <c r="D18" s="42" t="s">
        <v>210</v>
      </c>
      <c r="E18" s="42" t="s">
        <v>211</v>
      </c>
      <c r="F18" s="42">
        <v>734</v>
      </c>
      <c r="G18" s="42" t="s">
        <v>212</v>
      </c>
      <c r="H18" s="42" t="s">
        <v>150</v>
      </c>
      <c r="I18" s="44" t="s">
        <v>213</v>
      </c>
      <c r="J18" s="42">
        <f>VLOOKUP(I18,[1]locations!A:E,3,FALSE)</f>
        <v>533</v>
      </c>
      <c r="K18" s="42" t="str">
        <f>VLOOKUP(I18,[1]locations!A:E,5,FALSE)</f>
        <v>USA_533</v>
      </c>
      <c r="L18" s="45">
        <v>1</v>
      </c>
      <c r="M18" s="46" t="s">
        <v>214</v>
      </c>
      <c r="N18" s="46" t="s">
        <v>215</v>
      </c>
      <c r="O18" s="47" t="s">
        <v>129</v>
      </c>
      <c r="P18" s="46" t="s">
        <v>130</v>
      </c>
      <c r="Q18" s="46">
        <v>1</v>
      </c>
      <c r="R18" s="46">
        <v>0</v>
      </c>
      <c r="S18" s="46" t="s">
        <v>131</v>
      </c>
      <c r="T18" s="42" t="s">
        <v>216</v>
      </c>
      <c r="W18" s="42">
        <v>37</v>
      </c>
      <c r="Z18" s="48" t="s">
        <v>133</v>
      </c>
      <c r="AA18" s="44">
        <v>1994</v>
      </c>
      <c r="AB18" s="42">
        <v>2004</v>
      </c>
      <c r="AC18" s="45">
        <v>0</v>
      </c>
      <c r="AD18" s="46">
        <v>0</v>
      </c>
      <c r="AE18" s="42">
        <v>0</v>
      </c>
      <c r="AF18" s="44" t="s">
        <v>134</v>
      </c>
      <c r="AG18" s="42">
        <v>7.6</v>
      </c>
      <c r="AH18" s="42">
        <v>-9</v>
      </c>
      <c r="AI18" s="42">
        <v>24.2</v>
      </c>
      <c r="AJ18" s="44"/>
      <c r="AL18" s="42">
        <v>243481</v>
      </c>
      <c r="AM18" s="42">
        <v>95</v>
      </c>
      <c r="AN18" s="44">
        <v>0</v>
      </c>
      <c r="AO18" s="42">
        <v>1</v>
      </c>
      <c r="AP18" s="42" t="s">
        <v>217</v>
      </c>
      <c r="AQ18" s="42">
        <v>0</v>
      </c>
      <c r="AR18" s="42">
        <v>0</v>
      </c>
      <c r="AS18" s="42">
        <v>0</v>
      </c>
      <c r="AT18" s="42">
        <v>0</v>
      </c>
      <c r="AU18" s="42">
        <v>0</v>
      </c>
      <c r="AV18" s="42">
        <v>1</v>
      </c>
      <c r="AW18" s="42">
        <v>1</v>
      </c>
      <c r="AX18" s="42" t="s">
        <v>218</v>
      </c>
      <c r="AY18" s="42" t="s">
        <v>555</v>
      </c>
      <c r="AZ18" s="42" t="s">
        <v>556</v>
      </c>
      <c r="BA18" s="42">
        <v>2</v>
      </c>
      <c r="BB18" s="42">
        <v>55</v>
      </c>
      <c r="BC18" s="44">
        <v>4</v>
      </c>
      <c r="BD18" s="44"/>
      <c r="BH18" s="42">
        <v>16.399999999999999</v>
      </c>
      <c r="BI18" s="42">
        <v>3.1</v>
      </c>
      <c r="BK18" s="42">
        <v>4</v>
      </c>
      <c r="BL18" s="44" t="s">
        <v>219</v>
      </c>
      <c r="BM18" s="42">
        <v>0</v>
      </c>
      <c r="BN18" s="42">
        <v>1</v>
      </c>
      <c r="BO18" s="42" t="s">
        <v>220</v>
      </c>
      <c r="BP18" s="42" t="s">
        <v>139</v>
      </c>
      <c r="BQ18" s="42">
        <v>0</v>
      </c>
    </row>
    <row r="19" spans="1:70" s="29" customFormat="1" x14ac:dyDescent="0.25">
      <c r="A19" s="50"/>
      <c r="B19" s="51">
        <v>394136</v>
      </c>
      <c r="D19" s="29" t="s">
        <v>221</v>
      </c>
      <c r="E19" s="29" t="s">
        <v>222</v>
      </c>
      <c r="F19" s="29">
        <v>129</v>
      </c>
      <c r="G19" s="30">
        <v>4</v>
      </c>
      <c r="H19" s="29" t="s">
        <v>125</v>
      </c>
      <c r="I19" s="31" t="s">
        <v>223</v>
      </c>
      <c r="J19" s="30">
        <f>VLOOKUP(I19,[1]locations!A:E,3,FALSE)</f>
        <v>89</v>
      </c>
      <c r="K19" s="30" t="str">
        <f>VLOOKUP(I19,[1]locations!A:E,5,FALSE)</f>
        <v>NLD</v>
      </c>
      <c r="L19" s="32">
        <v>1</v>
      </c>
      <c r="M19" s="33" t="s">
        <v>224</v>
      </c>
      <c r="N19" s="33" t="s">
        <v>225</v>
      </c>
      <c r="O19" s="34" t="s">
        <v>129</v>
      </c>
      <c r="P19" s="33" t="s">
        <v>130</v>
      </c>
      <c r="Q19" s="33">
        <v>1</v>
      </c>
      <c r="R19" s="33">
        <v>0</v>
      </c>
      <c r="S19" s="33" t="s">
        <v>131</v>
      </c>
      <c r="T19" s="29" t="s">
        <v>216</v>
      </c>
      <c r="W19" s="29">
        <v>37</v>
      </c>
      <c r="Z19" s="35" t="s">
        <v>133</v>
      </c>
      <c r="AA19" s="36">
        <v>1996</v>
      </c>
      <c r="AB19" s="30">
        <v>2000</v>
      </c>
      <c r="AC19" s="53">
        <v>0</v>
      </c>
      <c r="AD19" s="54">
        <v>0</v>
      </c>
      <c r="AE19" s="30">
        <v>0</v>
      </c>
      <c r="AF19" s="31" t="s">
        <v>134</v>
      </c>
      <c r="AG19" s="29">
        <v>30</v>
      </c>
      <c r="AH19" s="29">
        <v>-7.1</v>
      </c>
      <c r="AI19" s="29">
        <v>67.099999999999994</v>
      </c>
      <c r="AJ19" s="31"/>
      <c r="AL19" s="29">
        <v>3408</v>
      </c>
      <c r="AM19" s="30">
        <v>95</v>
      </c>
      <c r="AN19" s="36">
        <v>0</v>
      </c>
      <c r="AO19" s="30">
        <v>0</v>
      </c>
      <c r="AP19" s="30" t="s">
        <v>226</v>
      </c>
      <c r="AQ19" s="30">
        <v>0</v>
      </c>
      <c r="AR19" s="30">
        <v>0</v>
      </c>
      <c r="AS19" s="30">
        <v>0</v>
      </c>
      <c r="AT19" s="30">
        <v>0</v>
      </c>
      <c r="AU19" s="30">
        <v>0</v>
      </c>
      <c r="AV19" s="30">
        <v>1</v>
      </c>
      <c r="AW19" s="30">
        <v>1</v>
      </c>
      <c r="AX19" s="29" t="s">
        <v>227</v>
      </c>
      <c r="AY19" s="29" t="s">
        <v>555</v>
      </c>
      <c r="AZ19" s="29" t="s">
        <v>556</v>
      </c>
      <c r="BA19" s="30">
        <v>1</v>
      </c>
      <c r="BB19" s="30">
        <v>86</v>
      </c>
      <c r="BC19" s="31">
        <v>4.5999999999999996</v>
      </c>
      <c r="BD19" s="31">
        <v>14.2</v>
      </c>
      <c r="BG19" s="29">
        <v>33</v>
      </c>
      <c r="BH19" s="29">
        <v>20.100000000000001</v>
      </c>
      <c r="BJ19" s="29">
        <v>20.3</v>
      </c>
      <c r="BK19" s="29">
        <f>22.3-17.7</f>
        <v>4.6000000000000014</v>
      </c>
      <c r="BL19" s="31" t="s">
        <v>228</v>
      </c>
      <c r="BM19" s="29">
        <v>0</v>
      </c>
      <c r="BN19" s="29">
        <v>1</v>
      </c>
      <c r="BP19" s="29" t="s">
        <v>139</v>
      </c>
      <c r="BQ19" s="29">
        <v>0</v>
      </c>
    </row>
    <row r="20" spans="1:70" s="29" customFormat="1" x14ac:dyDescent="0.25">
      <c r="A20" s="50"/>
      <c r="B20" s="51">
        <v>394136</v>
      </c>
      <c r="D20" s="29" t="s">
        <v>221</v>
      </c>
      <c r="E20" s="29" t="s">
        <v>222</v>
      </c>
      <c r="F20" s="29">
        <v>129</v>
      </c>
      <c r="G20" s="30">
        <v>4</v>
      </c>
      <c r="H20" s="29" t="s">
        <v>125</v>
      </c>
      <c r="I20" s="31" t="s">
        <v>223</v>
      </c>
      <c r="J20" s="30">
        <f>VLOOKUP(I20,[1]locations!A:E,3,FALSE)</f>
        <v>89</v>
      </c>
      <c r="K20" s="30" t="str">
        <f>VLOOKUP(I20,[1]locations!A:E,5,FALSE)</f>
        <v>NLD</v>
      </c>
      <c r="L20" s="32">
        <v>1</v>
      </c>
      <c r="M20" s="33" t="s">
        <v>224</v>
      </c>
      <c r="N20" s="33" t="s">
        <v>225</v>
      </c>
      <c r="O20" s="34" t="s">
        <v>129</v>
      </c>
      <c r="P20" s="33" t="s">
        <v>177</v>
      </c>
      <c r="Q20" s="33">
        <v>1</v>
      </c>
      <c r="R20" s="33">
        <v>1</v>
      </c>
      <c r="S20" s="33" t="s">
        <v>131</v>
      </c>
      <c r="T20" s="29" t="s">
        <v>178</v>
      </c>
      <c r="X20" s="29">
        <v>43</v>
      </c>
      <c r="Y20" s="29">
        <v>37</v>
      </c>
      <c r="Z20" s="35" t="s">
        <v>133</v>
      </c>
      <c r="AA20" s="36">
        <v>1996</v>
      </c>
      <c r="AB20" s="30">
        <v>2000</v>
      </c>
      <c r="AC20" s="53">
        <v>0</v>
      </c>
      <c r="AD20" s="54">
        <v>0</v>
      </c>
      <c r="AE20" s="30">
        <v>0</v>
      </c>
      <c r="AF20" s="31" t="s">
        <v>166</v>
      </c>
      <c r="AG20" s="29">
        <v>1.22</v>
      </c>
      <c r="AH20" s="29">
        <v>0.83</v>
      </c>
      <c r="AI20" s="29">
        <v>1.8</v>
      </c>
      <c r="AJ20" s="31"/>
      <c r="AK20" s="29">
        <v>165</v>
      </c>
      <c r="AL20" s="29">
        <v>3853</v>
      </c>
      <c r="AM20" s="30">
        <v>95</v>
      </c>
      <c r="AN20" s="36">
        <v>0</v>
      </c>
      <c r="AO20" s="30">
        <v>0</v>
      </c>
      <c r="AP20" s="30" t="s">
        <v>226</v>
      </c>
      <c r="AQ20" s="30">
        <v>0</v>
      </c>
      <c r="AR20" s="30">
        <v>0</v>
      </c>
      <c r="AS20" s="30">
        <v>0</v>
      </c>
      <c r="AT20" s="30">
        <v>0</v>
      </c>
      <c r="AU20" s="30">
        <v>0</v>
      </c>
      <c r="AV20" s="30">
        <v>1</v>
      </c>
      <c r="AW20" s="30">
        <v>1</v>
      </c>
      <c r="AX20" s="29" t="s">
        <v>229</v>
      </c>
      <c r="AY20" s="29" t="s">
        <v>555</v>
      </c>
      <c r="AZ20" s="29" t="s">
        <v>556</v>
      </c>
      <c r="BA20" s="30">
        <v>0</v>
      </c>
      <c r="BB20" s="30">
        <v>97</v>
      </c>
      <c r="BC20" s="31">
        <v>4.5999999999999996</v>
      </c>
      <c r="BD20" s="31">
        <v>14.2</v>
      </c>
      <c r="BG20" s="29">
        <v>33</v>
      </c>
      <c r="BH20" s="29">
        <v>20.100000000000001</v>
      </c>
      <c r="BJ20" s="29">
        <v>20.3</v>
      </c>
      <c r="BK20" s="29">
        <f>22.3-17.7</f>
        <v>4.6000000000000014</v>
      </c>
      <c r="BL20" s="31" t="s">
        <v>228</v>
      </c>
      <c r="BM20" s="29">
        <v>0</v>
      </c>
      <c r="BN20" s="29">
        <v>1</v>
      </c>
      <c r="BP20" s="29" t="s">
        <v>139</v>
      </c>
      <c r="BQ20" s="29">
        <v>0</v>
      </c>
    </row>
    <row r="21" spans="1:70" s="42" customFormat="1" x14ac:dyDescent="0.25">
      <c r="A21" s="40"/>
      <c r="B21" s="41">
        <v>394138</v>
      </c>
      <c r="D21" s="42" t="s">
        <v>230</v>
      </c>
      <c r="E21" s="42" t="s">
        <v>231</v>
      </c>
      <c r="F21" s="42" t="s">
        <v>232</v>
      </c>
      <c r="G21" s="42" t="s">
        <v>233</v>
      </c>
      <c r="H21" s="42" t="s">
        <v>150</v>
      </c>
      <c r="I21" s="44" t="s">
        <v>151</v>
      </c>
      <c r="J21" s="42">
        <f>VLOOKUP(I21,[1]locations!A:E,3,FALSE)</f>
        <v>527</v>
      </c>
      <c r="K21" s="42" t="str">
        <f>VLOOKUP(I21,[1]locations!A:E,5,FALSE)</f>
        <v>USA_527</v>
      </c>
      <c r="L21" s="45">
        <v>1</v>
      </c>
      <c r="M21" s="46" t="s">
        <v>234</v>
      </c>
      <c r="N21" s="46" t="s">
        <v>235</v>
      </c>
      <c r="O21" s="47" t="s">
        <v>129</v>
      </c>
      <c r="P21" s="46" t="s">
        <v>177</v>
      </c>
      <c r="Q21" s="46">
        <v>1</v>
      </c>
      <c r="R21" s="46">
        <v>1</v>
      </c>
      <c r="S21" s="46" t="s">
        <v>131</v>
      </c>
      <c r="T21" s="42" t="s">
        <v>178</v>
      </c>
      <c r="U21" s="42">
        <v>500</v>
      </c>
      <c r="V21" s="42">
        <v>5000</v>
      </c>
      <c r="W21" s="42">
        <v>20</v>
      </c>
      <c r="X21" s="42">
        <f>320/7</f>
        <v>45.714285714285715</v>
      </c>
      <c r="Y21" s="42">
        <v>37</v>
      </c>
      <c r="Z21" s="48" t="s">
        <v>133</v>
      </c>
      <c r="AA21" s="44">
        <v>2004</v>
      </c>
      <c r="AB21" s="42">
        <v>2006</v>
      </c>
      <c r="AC21" s="45">
        <v>0</v>
      </c>
      <c r="AD21" s="46">
        <v>0</v>
      </c>
      <c r="AE21" s="42">
        <v>0</v>
      </c>
      <c r="AF21" s="44" t="s">
        <v>166</v>
      </c>
      <c r="AG21" s="42">
        <v>0.91</v>
      </c>
      <c r="AH21" s="42">
        <v>0.88</v>
      </c>
      <c r="AI21" s="42">
        <v>0.94</v>
      </c>
      <c r="AJ21" s="44"/>
      <c r="AK21" s="42">
        <v>10265</v>
      </c>
      <c r="AL21" s="42">
        <v>111203</v>
      </c>
      <c r="AM21" s="42">
        <v>95</v>
      </c>
      <c r="AN21" s="44">
        <v>0</v>
      </c>
      <c r="AO21" s="42">
        <v>1</v>
      </c>
      <c r="AP21" s="42" t="s">
        <v>236</v>
      </c>
      <c r="AQ21" s="42">
        <v>0</v>
      </c>
      <c r="AR21" s="42">
        <v>0</v>
      </c>
      <c r="AS21" s="42">
        <v>0</v>
      </c>
      <c r="AT21" s="42">
        <v>0</v>
      </c>
      <c r="AU21" s="42">
        <v>0</v>
      </c>
      <c r="AV21" s="42">
        <v>1</v>
      </c>
      <c r="AW21" s="42">
        <v>2</v>
      </c>
      <c r="AX21" s="42" t="s">
        <v>237</v>
      </c>
      <c r="AY21" s="42" t="s">
        <v>555</v>
      </c>
      <c r="AZ21" s="42" t="s">
        <v>556</v>
      </c>
      <c r="BA21" s="42">
        <v>2</v>
      </c>
      <c r="BB21" s="42">
        <v>46</v>
      </c>
      <c r="BC21" s="44">
        <v>2.6</v>
      </c>
      <c r="BD21" s="44"/>
      <c r="BH21" s="42">
        <v>18</v>
      </c>
      <c r="BI21" s="42">
        <v>2.1</v>
      </c>
      <c r="BK21" s="42">
        <v>2.6</v>
      </c>
      <c r="BL21" s="44" t="s">
        <v>238</v>
      </c>
      <c r="BM21" s="42">
        <v>0</v>
      </c>
      <c r="BN21" s="42">
        <v>1</v>
      </c>
      <c r="BO21" s="42" t="s">
        <v>239</v>
      </c>
      <c r="BP21" s="42" t="s">
        <v>139</v>
      </c>
      <c r="BQ21" s="42">
        <v>0</v>
      </c>
    </row>
    <row r="22" spans="1:70" s="29" customFormat="1" x14ac:dyDescent="0.25">
      <c r="A22" s="50"/>
      <c r="B22" s="51">
        <v>394140</v>
      </c>
      <c r="D22" s="29" t="s">
        <v>240</v>
      </c>
      <c r="E22" s="29" t="s">
        <v>241</v>
      </c>
      <c r="F22" s="29">
        <v>23</v>
      </c>
      <c r="G22" s="30">
        <v>3</v>
      </c>
      <c r="H22" s="29" t="s">
        <v>150</v>
      </c>
      <c r="I22" s="31" t="s">
        <v>242</v>
      </c>
      <c r="J22" s="30">
        <f>VLOOKUP(I22,[1]locations!A:E,3,FALSE)</f>
        <v>566</v>
      </c>
      <c r="K22" s="30" t="str">
        <f>VLOOKUP(I22,[1]locations!A:E,5,FALSE)</f>
        <v>USA_566</v>
      </c>
      <c r="L22" s="32">
        <v>1</v>
      </c>
      <c r="M22" s="33" t="s">
        <v>243</v>
      </c>
      <c r="N22" s="33" t="s">
        <v>244</v>
      </c>
      <c r="O22" s="34" t="s">
        <v>129</v>
      </c>
      <c r="P22" s="33" t="s">
        <v>130</v>
      </c>
      <c r="Q22" s="33">
        <v>1</v>
      </c>
      <c r="R22" s="33">
        <v>0</v>
      </c>
      <c r="S22" s="33" t="s">
        <v>131</v>
      </c>
      <c r="T22" s="29" t="s">
        <v>216</v>
      </c>
      <c r="U22" s="29">
        <v>1000</v>
      </c>
      <c r="V22" s="29">
        <v>5500</v>
      </c>
      <c r="W22" s="29">
        <v>37</v>
      </c>
      <c r="X22" s="29">
        <v>44</v>
      </c>
      <c r="Z22" s="35" t="s">
        <v>133</v>
      </c>
      <c r="AA22" s="36">
        <v>1998</v>
      </c>
      <c r="AB22" s="30">
        <v>2004</v>
      </c>
      <c r="AC22" s="53">
        <v>0</v>
      </c>
      <c r="AD22" s="54">
        <v>0</v>
      </c>
      <c r="AE22" s="30">
        <v>0</v>
      </c>
      <c r="AF22" s="31" t="s">
        <v>134</v>
      </c>
      <c r="AG22" s="29">
        <v>2.4900000000000002</v>
      </c>
      <c r="AH22" s="29">
        <v>0.57999999999999996</v>
      </c>
      <c r="AI22" s="29">
        <v>4.41</v>
      </c>
      <c r="AJ22" s="31"/>
      <c r="AL22" s="29">
        <v>759465</v>
      </c>
      <c r="AM22" s="30">
        <v>95</v>
      </c>
      <c r="AN22" s="36">
        <v>0</v>
      </c>
      <c r="AO22" s="30">
        <v>1</v>
      </c>
      <c r="AP22" s="30" t="s">
        <v>245</v>
      </c>
      <c r="AQ22" s="30">
        <v>0</v>
      </c>
      <c r="AR22" s="30">
        <v>0</v>
      </c>
      <c r="AS22" s="30">
        <v>0</v>
      </c>
      <c r="AT22" s="30">
        <v>0</v>
      </c>
      <c r="AU22" s="30">
        <v>0</v>
      </c>
      <c r="AV22" s="30">
        <v>1</v>
      </c>
      <c r="AW22" s="30">
        <v>1</v>
      </c>
      <c r="AX22" s="29" t="s">
        <v>246</v>
      </c>
      <c r="AY22" s="29" t="s">
        <v>555</v>
      </c>
      <c r="AZ22" s="29" t="s">
        <v>556</v>
      </c>
      <c r="BA22" s="30">
        <v>2</v>
      </c>
      <c r="BB22" s="30">
        <v>66</v>
      </c>
      <c r="BC22" s="31">
        <v>1</v>
      </c>
      <c r="BD22" s="31"/>
      <c r="BH22" s="29">
        <v>12.6</v>
      </c>
      <c r="BI22" s="29">
        <v>1</v>
      </c>
      <c r="BK22" s="29">
        <v>1</v>
      </c>
      <c r="BL22" s="31" t="s">
        <v>247</v>
      </c>
      <c r="BM22" s="29">
        <v>0</v>
      </c>
      <c r="BN22" s="29">
        <v>1</v>
      </c>
      <c r="BP22" s="29" t="s">
        <v>139</v>
      </c>
      <c r="BQ22" s="29">
        <v>0</v>
      </c>
    </row>
    <row r="23" spans="1:70" s="42" customFormat="1" x14ac:dyDescent="0.25">
      <c r="A23" s="40"/>
      <c r="B23" s="41">
        <v>394142</v>
      </c>
      <c r="D23" s="42" t="s">
        <v>248</v>
      </c>
      <c r="E23" s="42" t="s">
        <v>249</v>
      </c>
      <c r="F23" s="42">
        <v>9</v>
      </c>
      <c r="G23" s="42">
        <v>3</v>
      </c>
      <c r="H23" s="42" t="s">
        <v>150</v>
      </c>
      <c r="I23" s="44" t="s">
        <v>151</v>
      </c>
      <c r="J23" s="42">
        <f>VLOOKUP(I23,[1]locations!A:E,3,FALSE)</f>
        <v>527</v>
      </c>
      <c r="K23" s="42" t="str">
        <f>VLOOKUP(I23,[1]locations!A:E,5,FALSE)</f>
        <v>USA_527</v>
      </c>
      <c r="L23" s="45">
        <v>1</v>
      </c>
      <c r="M23" s="46" t="s">
        <v>250</v>
      </c>
      <c r="N23" s="46" t="s">
        <v>251</v>
      </c>
      <c r="O23" s="47" t="s">
        <v>129</v>
      </c>
      <c r="P23" s="46" t="s">
        <v>130</v>
      </c>
      <c r="Q23" s="46">
        <v>1</v>
      </c>
      <c r="R23" s="46">
        <v>0</v>
      </c>
      <c r="S23" s="46" t="s">
        <v>131</v>
      </c>
      <c r="T23" s="42" t="s">
        <v>216</v>
      </c>
      <c r="W23" s="42">
        <v>37</v>
      </c>
      <c r="X23" s="42">
        <v>44</v>
      </c>
      <c r="Z23" s="48" t="s">
        <v>133</v>
      </c>
      <c r="AA23" s="44">
        <v>1997</v>
      </c>
      <c r="AB23" s="42">
        <v>2006</v>
      </c>
      <c r="AC23" s="45">
        <v>0</v>
      </c>
      <c r="AD23" s="46">
        <v>0</v>
      </c>
      <c r="AE23" s="42">
        <v>0</v>
      </c>
      <c r="AF23" s="44" t="s">
        <v>134</v>
      </c>
      <c r="AG23" s="42">
        <v>26.83</v>
      </c>
      <c r="AH23" s="42">
        <v>21.56</v>
      </c>
      <c r="AI23" s="42">
        <v>32.11</v>
      </c>
      <c r="AJ23" s="44"/>
      <c r="AL23" s="42">
        <v>61623</v>
      </c>
      <c r="AM23" s="42">
        <v>95</v>
      </c>
      <c r="AN23" s="44">
        <v>0</v>
      </c>
      <c r="AO23" s="42">
        <v>1</v>
      </c>
      <c r="AP23" s="42" t="s">
        <v>252</v>
      </c>
      <c r="AQ23" s="42">
        <v>0</v>
      </c>
      <c r="AR23" s="42">
        <v>0</v>
      </c>
      <c r="AS23" s="42">
        <v>0</v>
      </c>
      <c r="AT23" s="42">
        <v>0</v>
      </c>
      <c r="AU23" s="42">
        <v>0</v>
      </c>
      <c r="AV23" s="42">
        <v>1</v>
      </c>
      <c r="AW23" s="42">
        <v>2</v>
      </c>
      <c r="AX23" s="42" t="s">
        <v>253</v>
      </c>
      <c r="AY23" s="42" t="s">
        <v>556</v>
      </c>
      <c r="AZ23" s="42" t="s">
        <v>555</v>
      </c>
      <c r="BA23" s="42">
        <v>2</v>
      </c>
      <c r="BB23" s="42">
        <v>65</v>
      </c>
      <c r="BC23" s="44">
        <v>5.0999999999999996</v>
      </c>
      <c r="BD23" s="44"/>
      <c r="BH23" s="42">
        <v>17.47</v>
      </c>
      <c r="BI23" s="42">
        <v>3.48</v>
      </c>
      <c r="BK23" s="42">
        <v>5.0999999999999996</v>
      </c>
      <c r="BL23" s="44" t="s">
        <v>254</v>
      </c>
      <c r="BM23" s="42">
        <v>0</v>
      </c>
      <c r="BN23" s="42">
        <v>1</v>
      </c>
      <c r="BO23" s="42" t="s">
        <v>255</v>
      </c>
      <c r="BP23" s="42" t="s">
        <v>139</v>
      </c>
      <c r="BQ23" s="42">
        <v>0</v>
      </c>
    </row>
    <row r="24" spans="1:70" s="42" customFormat="1" x14ac:dyDescent="0.25">
      <c r="A24" s="40"/>
      <c r="B24" s="41">
        <v>394142</v>
      </c>
      <c r="D24" s="42" t="s">
        <v>248</v>
      </c>
      <c r="E24" s="42" t="s">
        <v>249</v>
      </c>
      <c r="F24" s="42">
        <v>9</v>
      </c>
      <c r="G24" s="42">
        <v>3</v>
      </c>
      <c r="H24" s="42" t="s">
        <v>150</v>
      </c>
      <c r="I24" s="44" t="s">
        <v>151</v>
      </c>
      <c r="J24" s="42">
        <f>VLOOKUP(I24,[1]locations!A:E,3,FALSE)</f>
        <v>527</v>
      </c>
      <c r="K24" s="42" t="str">
        <f>VLOOKUP(I24,[1]locations!A:E,5,FALSE)</f>
        <v>USA_527</v>
      </c>
      <c r="L24" s="45">
        <v>1</v>
      </c>
      <c r="M24" s="46" t="s">
        <v>250</v>
      </c>
      <c r="N24" s="46" t="s">
        <v>251</v>
      </c>
      <c r="O24" s="47" t="s">
        <v>129</v>
      </c>
      <c r="P24" s="46" t="s">
        <v>130</v>
      </c>
      <c r="Q24" s="46">
        <v>0</v>
      </c>
      <c r="R24" s="46">
        <v>1</v>
      </c>
      <c r="S24" s="46" t="s">
        <v>131</v>
      </c>
      <c r="T24" s="42" t="s">
        <v>256</v>
      </c>
      <c r="W24" s="42">
        <v>37</v>
      </c>
      <c r="X24" s="42">
        <v>44</v>
      </c>
      <c r="Y24" s="42">
        <v>2500</v>
      </c>
      <c r="Z24" s="48" t="s">
        <v>133</v>
      </c>
      <c r="AA24" s="44">
        <v>1997</v>
      </c>
      <c r="AB24" s="42">
        <v>2006</v>
      </c>
      <c r="AC24" s="45">
        <v>0</v>
      </c>
      <c r="AD24" s="46">
        <v>0</v>
      </c>
      <c r="AE24" s="42">
        <v>0</v>
      </c>
      <c r="AF24" s="44" t="s">
        <v>166</v>
      </c>
      <c r="AG24" s="42">
        <v>0.93</v>
      </c>
      <c r="AH24" s="42">
        <v>0.84</v>
      </c>
      <c r="AI24" s="42">
        <v>1.02</v>
      </c>
      <c r="AJ24" s="44"/>
      <c r="AK24" s="42">
        <v>1060</v>
      </c>
      <c r="AL24" s="42">
        <v>61623</v>
      </c>
      <c r="AM24" s="42">
        <v>95</v>
      </c>
      <c r="AN24" s="44">
        <v>0</v>
      </c>
      <c r="AO24" s="42">
        <v>1</v>
      </c>
      <c r="AP24" s="42" t="s">
        <v>252</v>
      </c>
      <c r="AQ24" s="42">
        <v>0</v>
      </c>
      <c r="AR24" s="42">
        <v>0</v>
      </c>
      <c r="AS24" s="42">
        <v>0</v>
      </c>
      <c r="AT24" s="42">
        <v>0</v>
      </c>
      <c r="AU24" s="42">
        <v>0</v>
      </c>
      <c r="AV24" s="42">
        <v>1</v>
      </c>
      <c r="AW24" s="42">
        <v>2</v>
      </c>
      <c r="AX24" s="42" t="s">
        <v>253</v>
      </c>
      <c r="AY24" s="42" t="s">
        <v>556</v>
      </c>
      <c r="AZ24" s="42" t="s">
        <v>555</v>
      </c>
      <c r="BA24" s="42">
        <v>2</v>
      </c>
      <c r="BB24" s="42">
        <v>59</v>
      </c>
      <c r="BC24" s="44">
        <v>5.0999999999999996</v>
      </c>
      <c r="BD24" s="44"/>
      <c r="BH24" s="42">
        <v>17.47</v>
      </c>
      <c r="BI24" s="42">
        <v>3.48</v>
      </c>
      <c r="BK24" s="42">
        <v>5.0999999999999996</v>
      </c>
      <c r="BL24" s="44" t="s">
        <v>254</v>
      </c>
      <c r="BM24" s="42">
        <v>0</v>
      </c>
      <c r="BN24" s="42">
        <v>1</v>
      </c>
      <c r="BP24" s="42" t="s">
        <v>139</v>
      </c>
      <c r="BQ24" s="42">
        <v>0</v>
      </c>
    </row>
    <row r="25" spans="1:70" s="29" customFormat="1" x14ac:dyDescent="0.25">
      <c r="A25" s="50"/>
      <c r="B25" s="51">
        <v>394144</v>
      </c>
      <c r="D25" s="29" t="s">
        <v>257</v>
      </c>
      <c r="E25" s="29" t="s">
        <v>258</v>
      </c>
      <c r="F25" s="29">
        <v>47</v>
      </c>
      <c r="G25" s="30">
        <v>4</v>
      </c>
      <c r="H25" s="29" t="s">
        <v>150</v>
      </c>
      <c r="I25" s="31" t="s">
        <v>151</v>
      </c>
      <c r="J25" s="30">
        <f>VLOOKUP(I25,[1]locations!A:E,3,FALSE)</f>
        <v>527</v>
      </c>
      <c r="K25" s="30" t="str">
        <f>VLOOKUP(I25,[1]locations!A:E,5,FALSE)</f>
        <v>USA_527</v>
      </c>
      <c r="L25" s="32">
        <v>1</v>
      </c>
      <c r="M25" s="33" t="s">
        <v>259</v>
      </c>
      <c r="N25" s="33" t="s">
        <v>260</v>
      </c>
      <c r="O25" s="34" t="s">
        <v>129</v>
      </c>
      <c r="P25" s="33" t="s">
        <v>130</v>
      </c>
      <c r="Q25" s="33">
        <v>1</v>
      </c>
      <c r="R25" s="33">
        <v>0</v>
      </c>
      <c r="S25" s="33" t="s">
        <v>131</v>
      </c>
      <c r="T25" s="29" t="s">
        <v>216</v>
      </c>
      <c r="W25" s="29">
        <v>37</v>
      </c>
      <c r="X25" s="29">
        <v>44</v>
      </c>
      <c r="Z25" s="35" t="s">
        <v>133</v>
      </c>
      <c r="AA25" s="36">
        <v>2000</v>
      </c>
      <c r="AB25" s="30">
        <v>2006</v>
      </c>
      <c r="AC25" s="53">
        <v>0</v>
      </c>
      <c r="AD25" s="54">
        <v>0</v>
      </c>
      <c r="AE25" s="30">
        <v>0</v>
      </c>
      <c r="AF25" s="31" t="s">
        <v>134</v>
      </c>
      <c r="AG25" s="29">
        <v>-7</v>
      </c>
      <c r="AH25" s="29">
        <v>-9</v>
      </c>
      <c r="AI25" s="29">
        <v>-4</v>
      </c>
      <c r="AJ25" s="31"/>
      <c r="AL25" s="29">
        <v>646296</v>
      </c>
      <c r="AM25" s="30">
        <v>95</v>
      </c>
      <c r="AN25" s="36">
        <v>0</v>
      </c>
      <c r="AO25" s="30">
        <v>1</v>
      </c>
      <c r="AP25" s="30" t="s">
        <v>261</v>
      </c>
      <c r="AQ25" s="30">
        <v>0</v>
      </c>
      <c r="AR25" s="30">
        <v>0</v>
      </c>
      <c r="AS25" s="30">
        <v>0</v>
      </c>
      <c r="AT25" s="30">
        <v>0</v>
      </c>
      <c r="AU25" s="30">
        <v>0</v>
      </c>
      <c r="AV25" s="30">
        <v>1</v>
      </c>
      <c r="AW25" s="30">
        <v>2</v>
      </c>
      <c r="AX25" s="29" t="s">
        <v>262</v>
      </c>
      <c r="AY25" s="29" t="s">
        <v>555</v>
      </c>
      <c r="AZ25" s="29" t="s">
        <v>557</v>
      </c>
      <c r="BA25" s="30">
        <v>2</v>
      </c>
      <c r="BB25" s="30">
        <v>60</v>
      </c>
      <c r="BC25" s="31">
        <v>7.5629999999999997</v>
      </c>
      <c r="BD25" s="31"/>
      <c r="BH25" s="29">
        <v>18.7</v>
      </c>
      <c r="BI25" s="29">
        <v>5</v>
      </c>
      <c r="BL25" s="31" t="s">
        <v>263</v>
      </c>
      <c r="BM25" s="29">
        <v>0</v>
      </c>
      <c r="BN25" s="29">
        <v>1</v>
      </c>
      <c r="BP25" s="29" t="s">
        <v>139</v>
      </c>
      <c r="BQ25" s="29">
        <v>0</v>
      </c>
    </row>
    <row r="26" spans="1:70" s="29" customFormat="1" x14ac:dyDescent="0.25">
      <c r="A26" s="50"/>
      <c r="B26" s="51">
        <v>394144</v>
      </c>
      <c r="D26" s="29" t="s">
        <v>257</v>
      </c>
      <c r="E26" s="29" t="s">
        <v>258</v>
      </c>
      <c r="F26" s="29">
        <v>47</v>
      </c>
      <c r="G26" s="30">
        <v>4</v>
      </c>
      <c r="H26" s="29" t="s">
        <v>150</v>
      </c>
      <c r="I26" s="31" t="s">
        <v>151</v>
      </c>
      <c r="J26" s="30">
        <f>VLOOKUP(I26,[1]locations!A:E,3,FALSE)</f>
        <v>527</v>
      </c>
      <c r="K26" s="30" t="str">
        <f>VLOOKUP(I26,[1]locations!A:E,5,FALSE)</f>
        <v>USA_527</v>
      </c>
      <c r="L26" s="32">
        <v>1</v>
      </c>
      <c r="M26" s="33" t="s">
        <v>259</v>
      </c>
      <c r="N26" s="33" t="s">
        <v>260</v>
      </c>
      <c r="O26" s="34" t="s">
        <v>129</v>
      </c>
      <c r="P26" s="33" t="s">
        <v>130</v>
      </c>
      <c r="Q26" s="33">
        <v>0</v>
      </c>
      <c r="R26" s="33">
        <v>1</v>
      </c>
      <c r="S26" s="33" t="s">
        <v>131</v>
      </c>
      <c r="T26" s="29" t="s">
        <v>256</v>
      </c>
      <c r="U26" s="32"/>
      <c r="V26" s="32"/>
      <c r="W26" s="29">
        <v>37</v>
      </c>
      <c r="X26" s="29">
        <v>44</v>
      </c>
      <c r="Y26" s="29">
        <v>2500</v>
      </c>
      <c r="Z26" s="35" t="s">
        <v>133</v>
      </c>
      <c r="AA26" s="36">
        <v>2000</v>
      </c>
      <c r="AB26" s="30">
        <v>2006</v>
      </c>
      <c r="AC26" s="53">
        <v>0</v>
      </c>
      <c r="AD26" s="54">
        <v>0</v>
      </c>
      <c r="AE26" s="30">
        <v>0</v>
      </c>
      <c r="AF26" s="31" t="s">
        <v>166</v>
      </c>
      <c r="AG26" s="29">
        <v>1.01</v>
      </c>
      <c r="AH26" s="29">
        <v>0.98</v>
      </c>
      <c r="AI26" s="29">
        <v>1.05</v>
      </c>
      <c r="AJ26" s="31"/>
      <c r="AK26" s="29">
        <v>15511.104000000001</v>
      </c>
      <c r="AL26" s="29">
        <v>646296</v>
      </c>
      <c r="AM26" s="30">
        <v>95</v>
      </c>
      <c r="AN26" s="36">
        <v>0</v>
      </c>
      <c r="AO26" s="30">
        <v>1</v>
      </c>
      <c r="AP26" s="30" t="s">
        <v>261</v>
      </c>
      <c r="AQ26" s="30">
        <v>0</v>
      </c>
      <c r="AR26" s="30">
        <v>0</v>
      </c>
      <c r="AS26" s="30">
        <v>0</v>
      </c>
      <c r="AT26" s="30">
        <v>0</v>
      </c>
      <c r="AU26" s="30">
        <v>0</v>
      </c>
      <c r="AV26" s="30">
        <v>1</v>
      </c>
      <c r="AW26" s="30">
        <v>2</v>
      </c>
      <c r="AX26" s="29" t="s">
        <v>262</v>
      </c>
      <c r="AY26" s="29" t="s">
        <v>555</v>
      </c>
      <c r="AZ26" s="29" t="s">
        <v>557</v>
      </c>
      <c r="BA26" s="30">
        <v>2</v>
      </c>
      <c r="BB26" s="30">
        <v>60</v>
      </c>
      <c r="BC26" s="31">
        <v>7.5629999999999997</v>
      </c>
      <c r="BD26" s="31"/>
      <c r="BH26" s="29">
        <v>18.7</v>
      </c>
      <c r="BI26" s="29">
        <v>5</v>
      </c>
      <c r="BL26" s="31" t="s">
        <v>263</v>
      </c>
      <c r="BM26" s="29">
        <v>0</v>
      </c>
      <c r="BN26" s="29">
        <v>1</v>
      </c>
      <c r="BP26" s="29" t="s">
        <v>139</v>
      </c>
      <c r="BQ26" s="29">
        <v>0</v>
      </c>
    </row>
    <row r="27" spans="1:70" s="42" customFormat="1" x14ac:dyDescent="0.25">
      <c r="A27" s="40"/>
      <c r="B27" s="41">
        <v>394146</v>
      </c>
      <c r="D27" s="42" t="s">
        <v>264</v>
      </c>
      <c r="E27" s="43" t="s">
        <v>265</v>
      </c>
      <c r="F27" s="42">
        <v>355</v>
      </c>
      <c r="G27" s="42">
        <v>3</v>
      </c>
      <c r="H27" s="42" t="s">
        <v>150</v>
      </c>
      <c r="I27" s="44" t="s">
        <v>169</v>
      </c>
      <c r="J27" s="42">
        <f>VLOOKUP(I27,[1]locations!A:E,3,FALSE)</f>
        <v>101</v>
      </c>
      <c r="K27" s="42" t="str">
        <f>VLOOKUP(I27,[1]locations!A:E,5,FALSE)</f>
        <v>CAN</v>
      </c>
      <c r="L27" s="45">
        <v>1</v>
      </c>
      <c r="M27" s="46" t="s">
        <v>266</v>
      </c>
      <c r="N27" s="46" t="s">
        <v>267</v>
      </c>
      <c r="O27" s="47" t="s">
        <v>129</v>
      </c>
      <c r="P27" s="46" t="s">
        <v>130</v>
      </c>
      <c r="Q27" s="46">
        <v>1</v>
      </c>
      <c r="R27" s="46">
        <v>0</v>
      </c>
      <c r="S27" s="46" t="s">
        <v>131</v>
      </c>
      <c r="T27" s="42" t="s">
        <v>216</v>
      </c>
      <c r="W27" s="42">
        <v>37</v>
      </c>
      <c r="Z27" s="48" t="s">
        <v>133</v>
      </c>
      <c r="AA27" s="44">
        <v>1999</v>
      </c>
      <c r="AB27" s="42">
        <v>2002</v>
      </c>
      <c r="AC27" s="45">
        <v>0</v>
      </c>
      <c r="AD27" s="46">
        <v>0</v>
      </c>
      <c r="AE27" s="42">
        <v>0</v>
      </c>
      <c r="AF27" s="44" t="s">
        <v>134</v>
      </c>
      <c r="AG27" s="42">
        <v>-3.1</v>
      </c>
      <c r="AH27" s="42">
        <v>-5.0999999999999996</v>
      </c>
      <c r="AI27" s="42">
        <v>-1.1000000000000001</v>
      </c>
      <c r="AJ27" s="44"/>
      <c r="AL27" s="42">
        <v>68238</v>
      </c>
      <c r="AM27" s="42">
        <v>95</v>
      </c>
      <c r="AN27" s="44">
        <v>0</v>
      </c>
      <c r="AO27" s="42">
        <v>0</v>
      </c>
      <c r="AP27" s="42" t="s">
        <v>173</v>
      </c>
      <c r="AQ27" s="42">
        <v>0</v>
      </c>
      <c r="AR27" s="42">
        <v>0</v>
      </c>
      <c r="AS27" s="42">
        <v>0</v>
      </c>
      <c r="AT27" s="42">
        <v>0</v>
      </c>
      <c r="AU27" s="42">
        <v>0</v>
      </c>
      <c r="AV27" s="42">
        <v>1</v>
      </c>
      <c r="AW27" s="42">
        <v>0</v>
      </c>
      <c r="AX27" s="42" t="s">
        <v>268</v>
      </c>
      <c r="AY27" s="42" t="s">
        <v>555</v>
      </c>
      <c r="AZ27" s="42" t="s">
        <v>555</v>
      </c>
      <c r="BA27" s="42">
        <v>2</v>
      </c>
      <c r="BB27" s="42">
        <v>84</v>
      </c>
      <c r="BC27" s="44">
        <v>1</v>
      </c>
      <c r="BD27" s="44">
        <v>0</v>
      </c>
      <c r="BG27" s="42">
        <v>11.3</v>
      </c>
      <c r="BH27" s="42">
        <v>4.0999999999999996</v>
      </c>
      <c r="BI27" s="42">
        <v>1.7</v>
      </c>
      <c r="BJ27" s="42">
        <v>4</v>
      </c>
      <c r="BK27" s="42">
        <f>4.7-3.2</f>
        <v>1.5</v>
      </c>
      <c r="BL27" s="44" t="s">
        <v>269</v>
      </c>
      <c r="BM27" s="42">
        <v>0</v>
      </c>
      <c r="BN27" s="42">
        <v>1</v>
      </c>
      <c r="BP27" s="42" t="s">
        <v>139</v>
      </c>
      <c r="BQ27" s="42">
        <v>0</v>
      </c>
    </row>
    <row r="28" spans="1:70" s="42" customFormat="1" hidden="1" x14ac:dyDescent="0.25">
      <c r="A28" s="58"/>
      <c r="B28" s="42">
        <v>394146</v>
      </c>
      <c r="D28" s="42" t="s">
        <v>264</v>
      </c>
      <c r="E28" s="43" t="s">
        <v>265</v>
      </c>
      <c r="F28" s="42">
        <v>355</v>
      </c>
      <c r="G28" s="42">
        <v>3</v>
      </c>
      <c r="H28" s="42" t="s">
        <v>150</v>
      </c>
      <c r="I28" s="44" t="s">
        <v>169</v>
      </c>
      <c r="J28" s="42">
        <f>VLOOKUP(I28,[1]locations!A:E,3,FALSE)</f>
        <v>101</v>
      </c>
      <c r="K28" s="42" t="str">
        <f>VLOOKUP(I28,[1]locations!A:E,5,FALSE)</f>
        <v>CAN</v>
      </c>
      <c r="L28" s="45">
        <v>1</v>
      </c>
      <c r="M28" s="46" t="s">
        <v>266</v>
      </c>
      <c r="N28" s="46" t="s">
        <v>267</v>
      </c>
      <c r="O28" s="47" t="s">
        <v>129</v>
      </c>
      <c r="P28" s="46" t="s">
        <v>177</v>
      </c>
      <c r="Q28" s="46"/>
      <c r="R28" s="46">
        <v>1</v>
      </c>
      <c r="S28" s="46" t="s">
        <v>131</v>
      </c>
      <c r="T28" s="42" t="s">
        <v>270</v>
      </c>
      <c r="W28" s="42">
        <v>30</v>
      </c>
      <c r="Y28" s="42">
        <v>37</v>
      </c>
      <c r="Z28" s="48" t="s">
        <v>133</v>
      </c>
      <c r="AA28" s="44">
        <v>1999</v>
      </c>
      <c r="AB28" s="42">
        <v>2002</v>
      </c>
      <c r="AC28" s="45">
        <v>0</v>
      </c>
      <c r="AD28" s="46">
        <v>0</v>
      </c>
      <c r="AE28" s="49">
        <v>0</v>
      </c>
      <c r="AF28" s="42" t="s">
        <v>166</v>
      </c>
      <c r="AG28" s="42">
        <v>1</v>
      </c>
      <c r="AH28" s="42">
        <v>0.98</v>
      </c>
      <c r="AI28" s="49">
        <v>1.03</v>
      </c>
      <c r="AK28" s="42">
        <f>3654-235</f>
        <v>3419</v>
      </c>
      <c r="AL28" s="42">
        <v>68238</v>
      </c>
      <c r="AM28" s="42">
        <v>95</v>
      </c>
      <c r="AN28" s="44">
        <v>0</v>
      </c>
      <c r="AQ28" s="42">
        <v>0</v>
      </c>
      <c r="AS28" s="42">
        <v>0</v>
      </c>
      <c r="AT28" s="42">
        <v>0</v>
      </c>
      <c r="AU28" s="42">
        <v>0</v>
      </c>
      <c r="AV28" s="42">
        <v>1</v>
      </c>
      <c r="AX28" s="42" t="s">
        <v>271</v>
      </c>
      <c r="BC28" s="49">
        <v>1</v>
      </c>
      <c r="BD28" s="42">
        <v>0</v>
      </c>
      <c r="BG28" s="42">
        <v>11.3</v>
      </c>
      <c r="BH28" s="42">
        <v>4.0999999999999996</v>
      </c>
      <c r="BI28" s="42">
        <v>1.7</v>
      </c>
      <c r="BJ28" s="42">
        <v>4</v>
      </c>
      <c r="BK28" s="49">
        <f>4.7-3.2</f>
        <v>1.5</v>
      </c>
      <c r="BL28" s="42" t="s">
        <v>269</v>
      </c>
      <c r="BM28" s="42">
        <v>0</v>
      </c>
      <c r="BN28" s="42">
        <v>1</v>
      </c>
      <c r="BO28" s="42" t="s">
        <v>179</v>
      </c>
      <c r="BP28" s="42" t="s">
        <v>139</v>
      </c>
      <c r="BQ28" s="42">
        <v>1</v>
      </c>
      <c r="BR28" s="42" t="s">
        <v>272</v>
      </c>
    </row>
    <row r="29" spans="1:70" s="42" customFormat="1" hidden="1" x14ac:dyDescent="0.25">
      <c r="A29" s="58"/>
      <c r="B29" s="42">
        <v>394146</v>
      </c>
      <c r="D29" s="42" t="s">
        <v>264</v>
      </c>
      <c r="E29" s="43" t="s">
        <v>265</v>
      </c>
      <c r="F29" s="42">
        <v>355</v>
      </c>
      <c r="G29" s="42">
        <v>3</v>
      </c>
      <c r="H29" s="42" t="s">
        <v>150</v>
      </c>
      <c r="I29" s="44" t="s">
        <v>169</v>
      </c>
      <c r="J29" s="42">
        <f>VLOOKUP(I29,[1]locations!A:E,3,FALSE)</f>
        <v>101</v>
      </c>
      <c r="K29" s="42" t="str">
        <f>VLOOKUP(I29,[1]locations!A:E,5,FALSE)</f>
        <v>CAN</v>
      </c>
      <c r="L29" s="45">
        <v>1</v>
      </c>
      <c r="M29" s="46" t="s">
        <v>266</v>
      </c>
      <c r="N29" s="46" t="s">
        <v>267</v>
      </c>
      <c r="O29" s="47" t="s">
        <v>129</v>
      </c>
      <c r="P29" s="46" t="s">
        <v>177</v>
      </c>
      <c r="Q29" s="46"/>
      <c r="R29" s="46">
        <v>0</v>
      </c>
      <c r="S29" s="46" t="s">
        <v>131</v>
      </c>
      <c r="T29" s="42" t="s">
        <v>273</v>
      </c>
      <c r="Y29" s="42">
        <v>30</v>
      </c>
      <c r="Z29" s="48" t="s">
        <v>133</v>
      </c>
      <c r="AA29" s="44">
        <v>1999</v>
      </c>
      <c r="AB29" s="42">
        <v>2002</v>
      </c>
      <c r="AC29" s="45">
        <v>0</v>
      </c>
      <c r="AD29" s="46">
        <v>0</v>
      </c>
      <c r="AE29" s="49">
        <v>0</v>
      </c>
      <c r="AF29" s="42" t="s">
        <v>166</v>
      </c>
      <c r="AG29" s="42">
        <v>1.07</v>
      </c>
      <c r="AH29" s="42">
        <v>1</v>
      </c>
      <c r="AI29" s="49">
        <v>1.1499999999999999</v>
      </c>
      <c r="AK29" s="42">
        <v>235</v>
      </c>
      <c r="AL29" s="42">
        <v>68238</v>
      </c>
      <c r="AM29" s="42">
        <v>95</v>
      </c>
      <c r="AN29" s="44">
        <v>0</v>
      </c>
      <c r="AQ29" s="42">
        <v>0</v>
      </c>
      <c r="AS29" s="42">
        <v>0</v>
      </c>
      <c r="AT29" s="42">
        <v>0</v>
      </c>
      <c r="AU29" s="42">
        <v>0</v>
      </c>
      <c r="AV29" s="42">
        <v>1</v>
      </c>
      <c r="AX29" s="42" t="s">
        <v>271</v>
      </c>
      <c r="BC29" s="49">
        <v>1</v>
      </c>
      <c r="BD29" s="42">
        <v>0</v>
      </c>
      <c r="BG29" s="42">
        <v>11.3</v>
      </c>
      <c r="BH29" s="42">
        <v>4.0999999999999996</v>
      </c>
      <c r="BI29" s="42">
        <v>1.7</v>
      </c>
      <c r="BJ29" s="42">
        <v>4</v>
      </c>
      <c r="BK29" s="49">
        <f>4.7-3.2</f>
        <v>1.5</v>
      </c>
      <c r="BL29" s="42" t="s">
        <v>269</v>
      </c>
      <c r="BM29" s="42">
        <v>0</v>
      </c>
      <c r="BN29" s="42">
        <v>1</v>
      </c>
      <c r="BO29" s="42" t="s">
        <v>179</v>
      </c>
      <c r="BP29" s="42" t="s">
        <v>139</v>
      </c>
      <c r="BQ29" s="42">
        <v>1</v>
      </c>
      <c r="BR29" s="42" t="s">
        <v>272</v>
      </c>
    </row>
    <row r="30" spans="1:70" s="42" customFormat="1" hidden="1" x14ac:dyDescent="0.25">
      <c r="A30" s="58"/>
      <c r="B30" s="42">
        <v>394146</v>
      </c>
      <c r="D30" s="42" t="s">
        <v>264</v>
      </c>
      <c r="E30" s="43" t="s">
        <v>265</v>
      </c>
      <c r="F30" s="42">
        <v>11</v>
      </c>
      <c r="G30" s="42" t="s">
        <v>274</v>
      </c>
      <c r="H30" s="42" t="s">
        <v>150</v>
      </c>
      <c r="I30" s="44" t="s">
        <v>169</v>
      </c>
      <c r="J30" s="42">
        <f>VLOOKUP(I30,[1]locations!A:E,3,FALSE)</f>
        <v>101</v>
      </c>
      <c r="K30" s="42" t="str">
        <f>VLOOKUP(I30,[1]locations!A:E,5,FALSE)</f>
        <v>CAN</v>
      </c>
      <c r="L30" s="45">
        <v>1</v>
      </c>
      <c r="M30" s="46" t="s">
        <v>266</v>
      </c>
      <c r="N30" s="46" t="s">
        <v>267</v>
      </c>
      <c r="O30" s="47" t="s">
        <v>129</v>
      </c>
      <c r="P30" s="46" t="s">
        <v>130</v>
      </c>
      <c r="Q30" s="46"/>
      <c r="R30" s="46">
        <v>1</v>
      </c>
      <c r="S30" s="46" t="s">
        <v>131</v>
      </c>
      <c r="T30" s="42" t="s">
        <v>275</v>
      </c>
      <c r="W30" s="42">
        <v>37</v>
      </c>
      <c r="Y30" s="42">
        <v>2500</v>
      </c>
      <c r="Z30" s="48" t="s">
        <v>133</v>
      </c>
      <c r="AA30" s="44">
        <v>1999</v>
      </c>
      <c r="AB30" s="42">
        <v>2002</v>
      </c>
      <c r="AC30" s="45">
        <v>0</v>
      </c>
      <c r="AD30" s="46">
        <v>0</v>
      </c>
      <c r="AE30" s="49">
        <v>0</v>
      </c>
      <c r="AF30" s="42" t="s">
        <v>166</v>
      </c>
      <c r="AG30" s="42">
        <v>1.02</v>
      </c>
      <c r="AH30" s="42">
        <v>0.98</v>
      </c>
      <c r="AI30" s="49">
        <v>1.06</v>
      </c>
      <c r="AK30" s="42">
        <v>883</v>
      </c>
      <c r="AL30" s="42">
        <v>68238</v>
      </c>
      <c r="AM30" s="42">
        <v>95</v>
      </c>
      <c r="AN30" s="44">
        <v>0</v>
      </c>
      <c r="AQ30" s="42">
        <v>0</v>
      </c>
      <c r="AS30" s="42">
        <v>0</v>
      </c>
      <c r="AT30" s="42">
        <v>0</v>
      </c>
      <c r="AU30" s="42">
        <v>0</v>
      </c>
      <c r="AV30" s="42">
        <v>1</v>
      </c>
      <c r="AX30" s="42" t="s">
        <v>268</v>
      </c>
      <c r="BC30" s="49">
        <v>1</v>
      </c>
      <c r="BD30" s="42">
        <v>0</v>
      </c>
      <c r="BG30" s="42">
        <v>11.3</v>
      </c>
      <c r="BH30" s="42">
        <v>4.0999999999999996</v>
      </c>
      <c r="BI30" s="42">
        <v>1.7</v>
      </c>
      <c r="BJ30" s="42">
        <v>4</v>
      </c>
      <c r="BK30" s="49">
        <f>4.7-3.2</f>
        <v>1.5</v>
      </c>
      <c r="BL30" s="42" t="s">
        <v>269</v>
      </c>
      <c r="BM30" s="42">
        <v>0</v>
      </c>
      <c r="BN30" s="42">
        <v>1</v>
      </c>
      <c r="BP30" s="42" t="s">
        <v>139</v>
      </c>
      <c r="BQ30" s="42">
        <v>1</v>
      </c>
      <c r="BR30" s="42" t="s">
        <v>272</v>
      </c>
    </row>
    <row r="31" spans="1:70" s="29" customFormat="1" x14ac:dyDescent="0.25">
      <c r="A31" s="50"/>
      <c r="B31" s="51">
        <v>394153</v>
      </c>
      <c r="D31" s="29" t="s">
        <v>276</v>
      </c>
      <c r="E31" s="29" t="s">
        <v>277</v>
      </c>
      <c r="F31" s="29">
        <v>7</v>
      </c>
      <c r="G31" s="30">
        <v>2</v>
      </c>
      <c r="H31" s="29" t="s">
        <v>150</v>
      </c>
      <c r="I31" s="31" t="s">
        <v>192</v>
      </c>
      <c r="J31" s="30">
        <f>VLOOKUP(I31,[1]locations!A:E,3,FALSE)</f>
        <v>556</v>
      </c>
      <c r="K31" s="30" t="str">
        <f>VLOOKUP(I31,[1]locations!A:E,5,FALSE)</f>
        <v>USA_556</v>
      </c>
      <c r="L31" s="32">
        <v>0</v>
      </c>
      <c r="M31" s="33"/>
      <c r="N31" s="33" t="s">
        <v>278</v>
      </c>
      <c r="O31" s="34" t="s">
        <v>129</v>
      </c>
      <c r="P31" s="33" t="s">
        <v>130</v>
      </c>
      <c r="Q31" s="33">
        <v>1</v>
      </c>
      <c r="R31" s="33">
        <v>0</v>
      </c>
      <c r="S31" s="33" t="s">
        <v>131</v>
      </c>
      <c r="T31" s="29" t="s">
        <v>132</v>
      </c>
      <c r="U31" s="29">
        <v>400</v>
      </c>
      <c r="W31" s="29">
        <v>24</v>
      </c>
      <c r="X31" s="29">
        <v>42</v>
      </c>
      <c r="Z31" s="35" t="s">
        <v>133</v>
      </c>
      <c r="AA31" s="36">
        <v>2002</v>
      </c>
      <c r="AB31" s="30">
        <v>2006</v>
      </c>
      <c r="AC31" s="53">
        <v>0</v>
      </c>
      <c r="AD31" s="54">
        <v>0</v>
      </c>
      <c r="AE31" s="30">
        <v>0</v>
      </c>
      <c r="AF31" s="31" t="s">
        <v>134</v>
      </c>
      <c r="AG31" s="29">
        <v>-3.13</v>
      </c>
      <c r="AH31" s="29">
        <v>-3.34</v>
      </c>
      <c r="AI31" s="29">
        <v>-2.93</v>
      </c>
      <c r="AJ31" s="31"/>
      <c r="AL31" s="29">
        <v>457642</v>
      </c>
      <c r="AM31" s="30">
        <v>95</v>
      </c>
      <c r="AN31" s="36">
        <v>0</v>
      </c>
      <c r="AO31" s="30">
        <v>1</v>
      </c>
      <c r="AP31" s="30" t="s">
        <v>279</v>
      </c>
      <c r="AQ31" s="30">
        <v>0</v>
      </c>
      <c r="AR31" s="30">
        <v>0</v>
      </c>
      <c r="AS31" s="30">
        <v>0</v>
      </c>
      <c r="AT31" s="30">
        <v>0</v>
      </c>
      <c r="AU31" s="30">
        <v>0</v>
      </c>
      <c r="AV31" s="30">
        <v>1</v>
      </c>
      <c r="AW31" s="30">
        <v>0</v>
      </c>
      <c r="AX31" s="29" t="s">
        <v>280</v>
      </c>
      <c r="AY31" s="29" t="s">
        <v>555</v>
      </c>
      <c r="AZ31" s="29" t="s">
        <v>558</v>
      </c>
      <c r="BA31" s="30">
        <v>2</v>
      </c>
      <c r="BB31" s="30">
        <v>76</v>
      </c>
      <c r="BC31" s="31">
        <v>2</v>
      </c>
      <c r="BD31" s="31"/>
      <c r="BH31" s="29">
        <v>13.6</v>
      </c>
      <c r="BI31" s="29">
        <v>1.7</v>
      </c>
      <c r="BK31" s="29">
        <v>2</v>
      </c>
      <c r="BL31" s="31" t="s">
        <v>281</v>
      </c>
      <c r="BM31" s="29">
        <v>0</v>
      </c>
      <c r="BN31" s="29">
        <v>1</v>
      </c>
      <c r="BP31" s="29" t="s">
        <v>139</v>
      </c>
      <c r="BQ31" s="29">
        <v>0</v>
      </c>
    </row>
    <row r="32" spans="1:70" s="29" customFormat="1" x14ac:dyDescent="0.25">
      <c r="A32" s="50"/>
      <c r="B32" s="51">
        <v>394153</v>
      </c>
      <c r="D32" s="29" t="s">
        <v>276</v>
      </c>
      <c r="E32" s="29" t="s">
        <v>277</v>
      </c>
      <c r="F32" s="29">
        <v>7</v>
      </c>
      <c r="G32" s="30">
        <v>2</v>
      </c>
      <c r="H32" s="29" t="s">
        <v>150</v>
      </c>
      <c r="I32" s="31" t="s">
        <v>192</v>
      </c>
      <c r="J32" s="30">
        <f>VLOOKUP(I32,[1]locations!A:E,3,FALSE)</f>
        <v>556</v>
      </c>
      <c r="K32" s="30" t="str">
        <f>VLOOKUP(I32,[1]locations!A:E,5,FALSE)</f>
        <v>USA_556</v>
      </c>
      <c r="L32" s="32">
        <v>0</v>
      </c>
      <c r="M32" s="33"/>
      <c r="N32" s="33" t="s">
        <v>278</v>
      </c>
      <c r="O32" s="34" t="s">
        <v>129</v>
      </c>
      <c r="P32" s="33" t="s">
        <v>130</v>
      </c>
      <c r="Q32" s="33">
        <v>0</v>
      </c>
      <c r="R32" s="33">
        <v>1</v>
      </c>
      <c r="S32" s="33" t="s">
        <v>131</v>
      </c>
      <c r="T32" s="29" t="s">
        <v>282</v>
      </c>
      <c r="U32" s="29">
        <v>400</v>
      </c>
      <c r="W32" s="29">
        <v>24</v>
      </c>
      <c r="X32" s="29">
        <v>42</v>
      </c>
      <c r="Y32" s="29">
        <v>2500</v>
      </c>
      <c r="Z32" s="35" t="s">
        <v>133</v>
      </c>
      <c r="AA32" s="36">
        <v>2002</v>
      </c>
      <c r="AB32" s="30">
        <v>2006</v>
      </c>
      <c r="AC32" s="53">
        <v>0</v>
      </c>
      <c r="AD32" s="54">
        <v>0</v>
      </c>
      <c r="AE32" s="30">
        <v>0</v>
      </c>
      <c r="AF32" s="31" t="s">
        <v>166</v>
      </c>
      <c r="AG32" s="29">
        <v>1.02</v>
      </c>
      <c r="AH32" s="29">
        <v>0.99</v>
      </c>
      <c r="AI32" s="29">
        <v>1.04</v>
      </c>
      <c r="AJ32" s="31"/>
      <c r="AK32" s="29">
        <v>30458</v>
      </c>
      <c r="AL32" s="29">
        <v>457642</v>
      </c>
      <c r="AM32" s="30">
        <v>95</v>
      </c>
      <c r="AN32" s="36">
        <v>0</v>
      </c>
      <c r="AO32" s="30">
        <v>1</v>
      </c>
      <c r="AP32" s="30" t="s">
        <v>279</v>
      </c>
      <c r="AQ32" s="30">
        <v>0</v>
      </c>
      <c r="AR32" s="30">
        <v>0</v>
      </c>
      <c r="AS32" s="30">
        <v>0</v>
      </c>
      <c r="AT32" s="30">
        <v>0</v>
      </c>
      <c r="AU32" s="30">
        <v>0</v>
      </c>
      <c r="AV32" s="30">
        <v>1</v>
      </c>
      <c r="AW32" s="30">
        <v>0</v>
      </c>
      <c r="AX32" s="29" t="s">
        <v>280</v>
      </c>
      <c r="AY32" s="29" t="s">
        <v>555</v>
      </c>
      <c r="AZ32" s="29" t="s">
        <v>558</v>
      </c>
      <c r="BA32" s="30">
        <v>2</v>
      </c>
      <c r="BB32" s="30">
        <v>76</v>
      </c>
      <c r="BC32" s="31">
        <v>2</v>
      </c>
      <c r="BD32" s="31"/>
      <c r="BH32" s="29">
        <v>13.6</v>
      </c>
      <c r="BI32" s="29">
        <v>1.7</v>
      </c>
      <c r="BK32" s="29">
        <v>2</v>
      </c>
      <c r="BL32" s="31" t="s">
        <v>281</v>
      </c>
      <c r="BM32" s="29">
        <v>0</v>
      </c>
      <c r="BN32" s="29">
        <v>1</v>
      </c>
      <c r="BP32" s="29" t="s">
        <v>139</v>
      </c>
      <c r="BQ32" s="29">
        <v>0</v>
      </c>
    </row>
    <row r="33" spans="1:70" s="29" customFormat="1" x14ac:dyDescent="0.25">
      <c r="A33" s="50"/>
      <c r="B33" s="51">
        <v>394153</v>
      </c>
      <c r="D33" s="29" t="s">
        <v>276</v>
      </c>
      <c r="E33" s="29" t="s">
        <v>283</v>
      </c>
      <c r="F33" s="29">
        <v>7</v>
      </c>
      <c r="G33" s="30">
        <v>2</v>
      </c>
      <c r="H33" s="29" t="s">
        <v>150</v>
      </c>
      <c r="I33" s="31" t="s">
        <v>192</v>
      </c>
      <c r="J33" s="30">
        <f>VLOOKUP(I33,[1]locations!A:E,3,FALSE)</f>
        <v>556</v>
      </c>
      <c r="K33" s="30" t="str">
        <f>VLOOKUP(I33,[1]locations!A:E,5,FALSE)</f>
        <v>USA_556</v>
      </c>
      <c r="L33" s="32">
        <v>0</v>
      </c>
      <c r="M33" s="33"/>
      <c r="N33" s="33" t="s">
        <v>278</v>
      </c>
      <c r="O33" s="34" t="s">
        <v>129</v>
      </c>
      <c r="P33" s="33" t="s">
        <v>177</v>
      </c>
      <c r="Q33" s="33">
        <v>1</v>
      </c>
      <c r="R33" s="33">
        <v>1</v>
      </c>
      <c r="S33" s="33" t="s">
        <v>131</v>
      </c>
      <c r="T33" s="29" t="s">
        <v>178</v>
      </c>
      <c r="U33" s="29">
        <v>400</v>
      </c>
      <c r="W33" s="29">
        <v>24</v>
      </c>
      <c r="X33" s="29">
        <v>42</v>
      </c>
      <c r="Y33" s="29">
        <v>37</v>
      </c>
      <c r="Z33" s="35" t="s">
        <v>133</v>
      </c>
      <c r="AA33" s="36">
        <v>2002</v>
      </c>
      <c r="AB33" s="30">
        <v>2006</v>
      </c>
      <c r="AC33" s="53">
        <v>0</v>
      </c>
      <c r="AD33" s="54">
        <v>0</v>
      </c>
      <c r="AE33" s="30">
        <v>0</v>
      </c>
      <c r="AF33" s="31" t="s">
        <v>166</v>
      </c>
      <c r="AG33" s="29">
        <v>1.01</v>
      </c>
      <c r="AH33" s="29">
        <v>0.99</v>
      </c>
      <c r="AI33" s="29">
        <v>1.02</v>
      </c>
      <c r="AJ33" s="31"/>
      <c r="AK33" s="29">
        <v>40746</v>
      </c>
      <c r="AL33" s="29">
        <v>457642</v>
      </c>
      <c r="AM33" s="30">
        <v>95</v>
      </c>
      <c r="AN33" s="36">
        <v>0</v>
      </c>
      <c r="AO33" s="30">
        <v>1</v>
      </c>
      <c r="AP33" s="30" t="s">
        <v>279</v>
      </c>
      <c r="AQ33" s="30">
        <v>0</v>
      </c>
      <c r="AR33" s="30">
        <v>0</v>
      </c>
      <c r="AS33" s="30">
        <v>0</v>
      </c>
      <c r="AT33" s="30">
        <v>0</v>
      </c>
      <c r="AU33" s="30">
        <v>0</v>
      </c>
      <c r="AV33" s="30">
        <v>1</v>
      </c>
      <c r="AW33" s="30">
        <v>0</v>
      </c>
      <c r="AX33" s="29" t="s">
        <v>280</v>
      </c>
      <c r="AY33" s="29" t="s">
        <v>555</v>
      </c>
      <c r="AZ33" s="29" t="s">
        <v>558</v>
      </c>
      <c r="BA33" s="30">
        <v>2</v>
      </c>
      <c r="BB33" s="30">
        <v>76</v>
      </c>
      <c r="BC33" s="31">
        <v>2</v>
      </c>
      <c r="BD33" s="31"/>
      <c r="BH33" s="29">
        <v>13.6</v>
      </c>
      <c r="BI33" s="29">
        <v>1.7</v>
      </c>
      <c r="BK33" s="29">
        <v>2</v>
      </c>
      <c r="BL33" s="31" t="s">
        <v>281</v>
      </c>
      <c r="BM33" s="29">
        <v>0</v>
      </c>
      <c r="BN33" s="29">
        <v>1</v>
      </c>
      <c r="BP33" s="29" t="s">
        <v>139</v>
      </c>
      <c r="BQ33" s="29">
        <v>0</v>
      </c>
    </row>
    <row r="34" spans="1:70" s="42" customFormat="1" x14ac:dyDescent="0.25">
      <c r="A34" s="40"/>
      <c r="B34" s="41">
        <v>394162</v>
      </c>
      <c r="D34" s="42" t="s">
        <v>284</v>
      </c>
      <c r="E34" s="42" t="s">
        <v>258</v>
      </c>
      <c r="F34" s="42">
        <v>202</v>
      </c>
      <c r="G34" s="42">
        <v>3</v>
      </c>
      <c r="H34" s="42" t="s">
        <v>150</v>
      </c>
      <c r="I34" s="44" t="s">
        <v>285</v>
      </c>
      <c r="J34" s="42">
        <f>VLOOKUP(I34,[1]locations!A:E,3,FALSE)</f>
        <v>532</v>
      </c>
      <c r="K34" s="42" t="str">
        <f>VLOOKUP(I34,[1]locations!A:E,5,FALSE)</f>
        <v>USA_532</v>
      </c>
      <c r="L34" s="45">
        <v>0</v>
      </c>
      <c r="M34" s="46"/>
      <c r="N34" s="46" t="s">
        <v>286</v>
      </c>
      <c r="O34" s="47" t="s">
        <v>129</v>
      </c>
      <c r="P34" s="46" t="s">
        <v>130</v>
      </c>
      <c r="Q34" s="46">
        <v>1</v>
      </c>
      <c r="R34" s="46">
        <v>1</v>
      </c>
      <c r="S34" s="46" t="s">
        <v>131</v>
      </c>
      <c r="T34" s="42" t="s">
        <v>256</v>
      </c>
      <c r="U34" s="42">
        <v>500</v>
      </c>
      <c r="V34" s="42">
        <v>5000</v>
      </c>
      <c r="W34" s="42">
        <f>140/7</f>
        <v>20</v>
      </c>
      <c r="X34" s="42">
        <f>320/7</f>
        <v>45.714285714285715</v>
      </c>
      <c r="Y34" s="42">
        <v>2500</v>
      </c>
      <c r="Z34" s="48" t="s">
        <v>133</v>
      </c>
      <c r="AA34" s="44">
        <v>2004</v>
      </c>
      <c r="AB34" s="42">
        <v>2005</v>
      </c>
      <c r="AC34" s="45">
        <v>0</v>
      </c>
      <c r="AD34" s="46">
        <v>0</v>
      </c>
      <c r="AE34" s="42">
        <v>0</v>
      </c>
      <c r="AF34" s="44" t="s">
        <v>166</v>
      </c>
      <c r="AG34" s="42">
        <v>1.0149999999999999</v>
      </c>
      <c r="AH34" s="42">
        <v>0.98899999999999999</v>
      </c>
      <c r="AI34" s="42">
        <v>1.0409999999999999</v>
      </c>
      <c r="AJ34" s="44"/>
      <c r="AK34" s="42">
        <v>9320</v>
      </c>
      <c r="AL34" s="42">
        <v>423719</v>
      </c>
      <c r="AM34" s="42">
        <v>95</v>
      </c>
      <c r="AN34" s="44">
        <v>0</v>
      </c>
      <c r="AO34" s="42">
        <v>1</v>
      </c>
      <c r="AP34" s="42" t="s">
        <v>287</v>
      </c>
      <c r="AQ34" s="42">
        <v>0</v>
      </c>
      <c r="AR34" s="42">
        <v>0</v>
      </c>
      <c r="AS34" s="42">
        <v>0</v>
      </c>
      <c r="AT34" s="42">
        <v>0</v>
      </c>
      <c r="AU34" s="42">
        <v>0</v>
      </c>
      <c r="AV34" s="42">
        <v>1</v>
      </c>
      <c r="AW34" s="42">
        <v>0</v>
      </c>
      <c r="AX34" s="42" t="s">
        <v>288</v>
      </c>
      <c r="AY34" s="42" t="s">
        <v>555</v>
      </c>
      <c r="AZ34" s="42" t="s">
        <v>557</v>
      </c>
      <c r="BA34" s="42">
        <v>1</v>
      </c>
      <c r="BB34" s="42">
        <v>95</v>
      </c>
      <c r="BC34" s="44">
        <v>2</v>
      </c>
      <c r="BD34" s="44">
        <v>4.5</v>
      </c>
      <c r="BG34" s="42">
        <v>22.2</v>
      </c>
      <c r="BH34" s="42">
        <v>9.9</v>
      </c>
      <c r="BI34" s="42">
        <v>1.7</v>
      </c>
      <c r="BJ34" s="42">
        <v>9.9</v>
      </c>
      <c r="BK34" s="42">
        <v>2</v>
      </c>
      <c r="BL34" s="44" t="s">
        <v>289</v>
      </c>
      <c r="BM34" s="42">
        <v>0</v>
      </c>
      <c r="BN34" s="42">
        <v>1</v>
      </c>
      <c r="BP34" s="42" t="s">
        <v>139</v>
      </c>
      <c r="BQ34" s="42">
        <v>0</v>
      </c>
    </row>
    <row r="35" spans="1:70" s="42" customFormat="1" x14ac:dyDescent="0.25">
      <c r="A35" s="40"/>
      <c r="B35" s="41">
        <v>394162</v>
      </c>
      <c r="D35" s="42" t="s">
        <v>284</v>
      </c>
      <c r="E35" s="42" t="s">
        <v>258</v>
      </c>
      <c r="F35" s="42">
        <v>202</v>
      </c>
      <c r="G35" s="42">
        <v>3</v>
      </c>
      <c r="H35" s="42" t="s">
        <v>150</v>
      </c>
      <c r="I35" s="44" t="s">
        <v>285</v>
      </c>
      <c r="J35" s="42">
        <f>VLOOKUP(I35,[1]locations!A:E,3,FALSE)</f>
        <v>532</v>
      </c>
      <c r="K35" s="42" t="str">
        <f>VLOOKUP(I35,[1]locations!A:E,5,FALSE)</f>
        <v>USA_532</v>
      </c>
      <c r="L35" s="45">
        <v>0</v>
      </c>
      <c r="M35" s="46"/>
      <c r="N35" s="46" t="s">
        <v>286</v>
      </c>
      <c r="O35" s="47" t="s">
        <v>129</v>
      </c>
      <c r="P35" s="46" t="s">
        <v>177</v>
      </c>
      <c r="Q35" s="46">
        <v>1</v>
      </c>
      <c r="R35" s="46">
        <v>1</v>
      </c>
      <c r="S35" s="46" t="s">
        <v>131</v>
      </c>
      <c r="T35" s="42" t="s">
        <v>290</v>
      </c>
      <c r="U35" s="42">
        <v>500</v>
      </c>
      <c r="V35" s="42">
        <v>5000</v>
      </c>
      <c r="W35" s="42">
        <f>140/7</f>
        <v>20</v>
      </c>
      <c r="X35" s="42">
        <f>320/7</f>
        <v>45.714285714285715</v>
      </c>
      <c r="Y35" s="42">
        <v>37</v>
      </c>
      <c r="Z35" s="48" t="s">
        <v>133</v>
      </c>
      <c r="AA35" s="44">
        <v>2004</v>
      </c>
      <c r="AB35" s="42">
        <v>2005</v>
      </c>
      <c r="AC35" s="45">
        <v>0</v>
      </c>
      <c r="AD35" s="46">
        <v>0</v>
      </c>
      <c r="AE35" s="42">
        <v>0</v>
      </c>
      <c r="AF35" s="44" t="s">
        <v>166</v>
      </c>
      <c r="AG35" s="42">
        <v>1.0529999999999999</v>
      </c>
      <c r="AH35" s="42">
        <v>1.04</v>
      </c>
      <c r="AI35" s="42">
        <v>1.0669999999999999</v>
      </c>
      <c r="AJ35" s="44"/>
      <c r="AK35" s="42">
        <v>39082</v>
      </c>
      <c r="AL35" s="42">
        <v>423719</v>
      </c>
      <c r="AM35" s="42">
        <v>95</v>
      </c>
      <c r="AN35" s="44">
        <v>0</v>
      </c>
      <c r="AO35" s="42">
        <v>1</v>
      </c>
      <c r="AP35" s="42" t="s">
        <v>287</v>
      </c>
      <c r="AQ35" s="42">
        <v>0</v>
      </c>
      <c r="AR35" s="42">
        <v>0</v>
      </c>
      <c r="AS35" s="42">
        <v>0</v>
      </c>
      <c r="AT35" s="42">
        <v>0</v>
      </c>
      <c r="AU35" s="42">
        <v>0</v>
      </c>
      <c r="AV35" s="42">
        <v>1</v>
      </c>
      <c r="AW35" s="42">
        <v>0</v>
      </c>
      <c r="AX35" s="42" t="s">
        <v>291</v>
      </c>
      <c r="AY35" s="42" t="s">
        <v>555</v>
      </c>
      <c r="AZ35" s="42" t="s">
        <v>557</v>
      </c>
      <c r="BA35" s="42">
        <v>1</v>
      </c>
      <c r="BB35" s="42">
        <v>95</v>
      </c>
      <c r="BC35" s="44">
        <v>2</v>
      </c>
      <c r="BD35" s="44">
        <v>4.5</v>
      </c>
      <c r="BG35" s="42">
        <v>22.2</v>
      </c>
      <c r="BH35" s="42">
        <v>9.9</v>
      </c>
      <c r="BI35" s="42">
        <v>1.7</v>
      </c>
      <c r="BJ35" s="42">
        <v>9.9</v>
      </c>
      <c r="BK35" s="42">
        <v>2</v>
      </c>
      <c r="BL35" s="44" t="s">
        <v>289</v>
      </c>
      <c r="BM35" s="42">
        <v>0</v>
      </c>
      <c r="BN35" s="42">
        <v>1</v>
      </c>
      <c r="BP35" s="42" t="s">
        <v>139</v>
      </c>
      <c r="BQ35" s="42">
        <v>0</v>
      </c>
    </row>
    <row r="36" spans="1:70" s="42" customFormat="1" x14ac:dyDescent="0.25">
      <c r="A36" s="40"/>
      <c r="B36" s="41">
        <v>394162</v>
      </c>
      <c r="D36" s="42" t="s">
        <v>284</v>
      </c>
      <c r="E36" s="42" t="s">
        <v>258</v>
      </c>
      <c r="F36" s="42">
        <v>202</v>
      </c>
      <c r="G36" s="42">
        <v>3</v>
      </c>
      <c r="H36" s="42" t="s">
        <v>150</v>
      </c>
      <c r="I36" s="44" t="s">
        <v>285</v>
      </c>
      <c r="J36" s="42">
        <f>VLOOKUP(I36,[1]locations!A:E,3,FALSE)</f>
        <v>532</v>
      </c>
      <c r="K36" s="42" t="str">
        <f>VLOOKUP(I36,[1]locations!A:E,5,FALSE)</f>
        <v>USA_532</v>
      </c>
      <c r="L36" s="45">
        <v>0</v>
      </c>
      <c r="M36" s="46"/>
      <c r="N36" s="46" t="s">
        <v>286</v>
      </c>
      <c r="O36" s="47" t="s">
        <v>129</v>
      </c>
      <c r="P36" s="46" t="s">
        <v>177</v>
      </c>
      <c r="Q36" s="46">
        <v>1</v>
      </c>
      <c r="R36" s="46">
        <v>0</v>
      </c>
      <c r="S36" s="46" t="s">
        <v>131</v>
      </c>
      <c r="T36" s="42" t="s">
        <v>292</v>
      </c>
      <c r="U36" s="42">
        <v>500</v>
      </c>
      <c r="V36" s="42">
        <v>5000</v>
      </c>
      <c r="W36" s="42">
        <f>140/7</f>
        <v>20</v>
      </c>
      <c r="X36" s="42">
        <f>320/7</f>
        <v>45.714285714285715</v>
      </c>
      <c r="Y36" s="42">
        <v>32</v>
      </c>
      <c r="Z36" s="48" t="s">
        <v>133</v>
      </c>
      <c r="AA36" s="44">
        <v>2004</v>
      </c>
      <c r="AB36" s="42">
        <v>2005</v>
      </c>
      <c r="AC36" s="45">
        <v>0</v>
      </c>
      <c r="AD36" s="46">
        <v>0</v>
      </c>
      <c r="AE36" s="42">
        <v>0</v>
      </c>
      <c r="AF36" s="44" t="s">
        <v>166</v>
      </c>
      <c r="AG36" s="42">
        <v>1.0820000000000001</v>
      </c>
      <c r="AH36" s="42">
        <v>1.048</v>
      </c>
      <c r="AI36" s="42">
        <v>1.117</v>
      </c>
      <c r="AJ36" s="44"/>
      <c r="AK36" s="42">
        <v>39082</v>
      </c>
      <c r="AL36" s="42">
        <v>423719</v>
      </c>
      <c r="AM36" s="42">
        <v>95</v>
      </c>
      <c r="AN36" s="44">
        <v>0</v>
      </c>
      <c r="AO36" s="42">
        <v>1</v>
      </c>
      <c r="AP36" s="42" t="s">
        <v>287</v>
      </c>
      <c r="AQ36" s="42">
        <v>0</v>
      </c>
      <c r="AR36" s="42">
        <v>0</v>
      </c>
      <c r="AS36" s="42">
        <v>0</v>
      </c>
      <c r="AT36" s="42">
        <v>0</v>
      </c>
      <c r="AU36" s="42">
        <v>0</v>
      </c>
      <c r="AV36" s="42">
        <v>1</v>
      </c>
      <c r="AW36" s="42">
        <v>0</v>
      </c>
      <c r="AX36" s="42" t="s">
        <v>291</v>
      </c>
      <c r="AY36" s="42" t="s">
        <v>555</v>
      </c>
      <c r="AZ36" s="42" t="s">
        <v>557</v>
      </c>
      <c r="BA36" s="42">
        <v>1</v>
      </c>
      <c r="BB36" s="42">
        <v>95</v>
      </c>
      <c r="BC36" s="44">
        <v>2</v>
      </c>
      <c r="BD36" s="44">
        <v>4.5</v>
      </c>
      <c r="BG36" s="42">
        <v>22.2</v>
      </c>
      <c r="BH36" s="42">
        <v>9.9</v>
      </c>
      <c r="BI36" s="42">
        <v>1.7</v>
      </c>
      <c r="BJ36" s="42">
        <v>9.9</v>
      </c>
      <c r="BK36" s="42">
        <v>2</v>
      </c>
      <c r="BL36" s="44" t="s">
        <v>289</v>
      </c>
      <c r="BM36" s="42">
        <v>0</v>
      </c>
      <c r="BN36" s="42">
        <v>1</v>
      </c>
      <c r="BO36" s="42" t="s">
        <v>293</v>
      </c>
      <c r="BP36" s="42" t="s">
        <v>139</v>
      </c>
      <c r="BQ36" s="42">
        <v>0</v>
      </c>
    </row>
    <row r="37" spans="1:70" s="29" customFormat="1" x14ac:dyDescent="0.25">
      <c r="A37" s="50"/>
      <c r="B37" s="51">
        <v>394180</v>
      </c>
      <c r="D37" s="29" t="s">
        <v>294</v>
      </c>
      <c r="E37" s="29" t="s">
        <v>265</v>
      </c>
      <c r="F37" s="29">
        <v>64</v>
      </c>
      <c r="G37" s="30">
        <v>3</v>
      </c>
      <c r="H37" s="29" t="s">
        <v>150</v>
      </c>
      <c r="I37" s="31" t="s">
        <v>159</v>
      </c>
      <c r="J37" s="59" t="s">
        <v>182</v>
      </c>
      <c r="K37" s="30" t="e">
        <f ca="1">INDEX([1]locations!I:I,MATCH((INDIRECT("I"&amp;ROW())),[1]locations!E:E,0))</f>
        <v>#N/A</v>
      </c>
      <c r="L37" s="32">
        <v>1</v>
      </c>
      <c r="M37" s="33" t="s">
        <v>160</v>
      </c>
      <c r="N37" s="33" t="s">
        <v>295</v>
      </c>
      <c r="O37" s="34" t="s">
        <v>129</v>
      </c>
      <c r="P37" s="33" t="s">
        <v>130</v>
      </c>
      <c r="Q37" s="33">
        <v>1</v>
      </c>
      <c r="R37" s="33">
        <v>0</v>
      </c>
      <c r="S37" s="33" t="s">
        <v>131</v>
      </c>
      <c r="T37" s="29" t="s">
        <v>132</v>
      </c>
      <c r="U37" s="29">
        <v>1000</v>
      </c>
      <c r="V37" s="29">
        <v>5500</v>
      </c>
      <c r="W37" s="29">
        <v>20</v>
      </c>
      <c r="X37" s="29">
        <v>46</v>
      </c>
      <c r="Z37" s="35" t="s">
        <v>133</v>
      </c>
      <c r="AA37" s="36">
        <v>2000</v>
      </c>
      <c r="AB37" s="30">
        <v>2006</v>
      </c>
      <c r="AC37" s="53">
        <v>0</v>
      </c>
      <c r="AD37" s="54">
        <v>0</v>
      </c>
      <c r="AE37" s="30">
        <v>0</v>
      </c>
      <c r="AF37" s="31" t="s">
        <v>134</v>
      </c>
      <c r="AG37" s="29">
        <v>-19.100000000000001</v>
      </c>
      <c r="AH37" s="29">
        <v>-23.1</v>
      </c>
      <c r="AI37" s="29">
        <v>-15.1</v>
      </c>
      <c r="AJ37" s="31"/>
      <c r="AL37" s="29">
        <v>628131</v>
      </c>
      <c r="AM37" s="30">
        <v>95</v>
      </c>
      <c r="AN37" s="36">
        <v>0</v>
      </c>
      <c r="AO37" s="30">
        <v>1</v>
      </c>
      <c r="AP37" s="30" t="s">
        <v>296</v>
      </c>
      <c r="AQ37" s="30">
        <v>0</v>
      </c>
      <c r="AR37" s="30">
        <v>0</v>
      </c>
      <c r="AS37" s="30">
        <v>0</v>
      </c>
      <c r="AT37" s="30">
        <v>0</v>
      </c>
      <c r="AU37" s="30">
        <v>0</v>
      </c>
      <c r="AV37" s="30">
        <v>1</v>
      </c>
      <c r="AW37" s="30">
        <v>1</v>
      </c>
      <c r="AX37" s="29" t="s">
        <v>297</v>
      </c>
      <c r="AY37" s="29" t="s">
        <v>555</v>
      </c>
      <c r="AZ37" s="29" t="s">
        <v>556</v>
      </c>
      <c r="BA37" s="30">
        <v>2</v>
      </c>
      <c r="BB37" s="30">
        <v>75</v>
      </c>
      <c r="BC37" s="31">
        <v>2.41</v>
      </c>
      <c r="BD37" s="31">
        <v>8.82</v>
      </c>
      <c r="BG37" s="29">
        <v>14.81</v>
      </c>
      <c r="BH37" s="29">
        <v>11.36</v>
      </c>
      <c r="BI37" s="29">
        <v>0.85</v>
      </c>
      <c r="BK37" s="29">
        <v>1.1200000000000001</v>
      </c>
      <c r="BL37" s="31" t="s">
        <v>298</v>
      </c>
      <c r="BM37" s="29">
        <v>0</v>
      </c>
      <c r="BN37" s="29">
        <v>1</v>
      </c>
      <c r="BO37" s="39" t="s">
        <v>176</v>
      </c>
      <c r="BP37" s="29" t="s">
        <v>139</v>
      </c>
      <c r="BQ37" s="29">
        <v>0</v>
      </c>
    </row>
    <row r="38" spans="1:70" s="29" customFormat="1" x14ac:dyDescent="0.25">
      <c r="A38" s="50"/>
      <c r="B38" s="51">
        <v>394180</v>
      </c>
      <c r="D38" s="29" t="s">
        <v>294</v>
      </c>
      <c r="E38" s="29" t="s">
        <v>265</v>
      </c>
      <c r="F38" s="29">
        <v>64</v>
      </c>
      <c r="G38" s="30">
        <v>3</v>
      </c>
      <c r="H38" s="29" t="s">
        <v>150</v>
      </c>
      <c r="I38" s="31" t="s">
        <v>159</v>
      </c>
      <c r="J38" s="59" t="s">
        <v>182</v>
      </c>
      <c r="K38" s="30" t="e">
        <f ca="1">INDEX([1]locations!I:I,MATCH((INDIRECT("I"&amp;ROW())),[1]locations!E:E,0))</f>
        <v>#N/A</v>
      </c>
      <c r="L38" s="32">
        <v>1</v>
      </c>
      <c r="M38" s="33" t="s">
        <v>160</v>
      </c>
      <c r="N38" s="33" t="s">
        <v>295</v>
      </c>
      <c r="O38" s="34" t="s">
        <v>129</v>
      </c>
      <c r="P38" s="33" t="s">
        <v>130</v>
      </c>
      <c r="Q38" s="33">
        <v>0</v>
      </c>
      <c r="R38" s="33">
        <v>1</v>
      </c>
      <c r="S38" s="33" t="s">
        <v>131</v>
      </c>
      <c r="T38" s="29" t="s">
        <v>256</v>
      </c>
      <c r="U38" s="29">
        <v>1000</v>
      </c>
      <c r="V38" s="29">
        <v>5500</v>
      </c>
      <c r="W38" s="29">
        <v>37</v>
      </c>
      <c r="X38" s="29">
        <v>46</v>
      </c>
      <c r="Y38" s="29">
        <v>2500</v>
      </c>
      <c r="Z38" s="35" t="s">
        <v>133</v>
      </c>
      <c r="AA38" s="36">
        <v>2000</v>
      </c>
      <c r="AB38" s="30">
        <v>2006</v>
      </c>
      <c r="AC38" s="53">
        <v>0</v>
      </c>
      <c r="AD38" s="54">
        <v>0</v>
      </c>
      <c r="AE38" s="30">
        <v>0</v>
      </c>
      <c r="AF38" s="31" t="s">
        <v>166</v>
      </c>
      <c r="AG38" s="29">
        <v>1.0900000000000001</v>
      </c>
      <c r="AH38" s="29">
        <v>1.02</v>
      </c>
      <c r="AI38" s="29">
        <v>1.17</v>
      </c>
      <c r="AJ38" s="31"/>
      <c r="AK38" s="29">
        <v>11641</v>
      </c>
      <c r="AL38" s="29">
        <v>628131</v>
      </c>
      <c r="AM38" s="30">
        <v>95</v>
      </c>
      <c r="AN38" s="36">
        <v>0</v>
      </c>
      <c r="AO38" s="30">
        <v>1</v>
      </c>
      <c r="AP38" s="30" t="s">
        <v>296</v>
      </c>
      <c r="AQ38" s="30">
        <v>0</v>
      </c>
      <c r="AR38" s="30">
        <v>0</v>
      </c>
      <c r="AS38" s="30">
        <v>0</v>
      </c>
      <c r="AT38" s="30">
        <v>0</v>
      </c>
      <c r="AU38" s="30">
        <v>0</v>
      </c>
      <c r="AV38" s="30">
        <v>1</v>
      </c>
      <c r="AW38" s="30">
        <v>1</v>
      </c>
      <c r="AX38" s="29" t="s">
        <v>297</v>
      </c>
      <c r="AY38" s="29" t="s">
        <v>555</v>
      </c>
      <c r="AZ38" s="29" t="s">
        <v>556</v>
      </c>
      <c r="BA38" s="30">
        <v>2</v>
      </c>
      <c r="BB38" s="30">
        <v>75</v>
      </c>
      <c r="BC38" s="31">
        <v>2.41</v>
      </c>
      <c r="BD38" s="31">
        <v>8.82</v>
      </c>
      <c r="BG38" s="29">
        <v>14.81</v>
      </c>
      <c r="BH38" s="29">
        <v>11.36</v>
      </c>
      <c r="BI38" s="29">
        <v>0.85</v>
      </c>
      <c r="BK38" s="29">
        <v>1.1200000000000001</v>
      </c>
      <c r="BL38" s="31" t="s">
        <v>298</v>
      </c>
      <c r="BM38" s="29">
        <v>0</v>
      </c>
      <c r="BN38" s="29">
        <v>1</v>
      </c>
      <c r="BO38" s="39" t="s">
        <v>176</v>
      </c>
      <c r="BP38" s="29" t="s">
        <v>139</v>
      </c>
      <c r="BQ38" s="29">
        <v>0</v>
      </c>
    </row>
    <row r="39" spans="1:70" s="29" customFormat="1" x14ac:dyDescent="0.25">
      <c r="A39" s="50"/>
      <c r="B39" s="51">
        <v>394180</v>
      </c>
      <c r="D39" s="29" t="s">
        <v>294</v>
      </c>
      <c r="E39" s="29" t="s">
        <v>265</v>
      </c>
      <c r="F39" s="29">
        <v>64</v>
      </c>
      <c r="G39" s="30">
        <v>3</v>
      </c>
      <c r="H39" s="29" t="s">
        <v>150</v>
      </c>
      <c r="I39" s="31" t="s">
        <v>159</v>
      </c>
      <c r="J39" s="59" t="s">
        <v>182</v>
      </c>
      <c r="K39" s="30" t="e">
        <f ca="1">INDEX([1]locations!I:I,MATCH((INDIRECT("I"&amp;ROW())),[1]locations!E:E,0))</f>
        <v>#N/A</v>
      </c>
      <c r="L39" s="32">
        <v>1</v>
      </c>
      <c r="M39" s="33" t="s">
        <v>160</v>
      </c>
      <c r="N39" s="33" t="s">
        <v>295</v>
      </c>
      <c r="O39" s="34" t="s">
        <v>129</v>
      </c>
      <c r="P39" s="33" t="s">
        <v>177</v>
      </c>
      <c r="Q39" s="33">
        <v>1</v>
      </c>
      <c r="R39" s="33">
        <v>1</v>
      </c>
      <c r="S39" s="33" t="s">
        <v>131</v>
      </c>
      <c r="T39" s="29" t="s">
        <v>178</v>
      </c>
      <c r="U39" s="29">
        <v>1000</v>
      </c>
      <c r="V39" s="29">
        <v>5500</v>
      </c>
      <c r="W39" s="29">
        <v>20</v>
      </c>
      <c r="X39" s="29">
        <v>46</v>
      </c>
      <c r="Y39" s="29">
        <v>37</v>
      </c>
      <c r="Z39" s="35" t="s">
        <v>133</v>
      </c>
      <c r="AA39" s="36">
        <v>2000</v>
      </c>
      <c r="AB39" s="30">
        <v>2006</v>
      </c>
      <c r="AC39" s="53">
        <v>0</v>
      </c>
      <c r="AD39" s="54">
        <v>0</v>
      </c>
      <c r="AE39" s="30">
        <v>0</v>
      </c>
      <c r="AF39" s="31" t="s">
        <v>166</v>
      </c>
      <c r="AG39" s="29">
        <v>1</v>
      </c>
      <c r="AH39" s="29">
        <v>0.96</v>
      </c>
      <c r="AI39" s="29">
        <v>1.04</v>
      </c>
      <c r="AJ39" s="31"/>
      <c r="AK39" s="29">
        <v>41868</v>
      </c>
      <c r="AL39" s="29">
        <v>647942</v>
      </c>
      <c r="AM39" s="30">
        <v>95</v>
      </c>
      <c r="AN39" s="36">
        <v>0</v>
      </c>
      <c r="AO39" s="30">
        <v>1</v>
      </c>
      <c r="AP39" s="30" t="s">
        <v>296</v>
      </c>
      <c r="AQ39" s="30">
        <v>0</v>
      </c>
      <c r="AR39" s="30">
        <v>0</v>
      </c>
      <c r="AS39" s="30">
        <v>0</v>
      </c>
      <c r="AT39" s="30">
        <v>0</v>
      </c>
      <c r="AU39" s="30">
        <v>0</v>
      </c>
      <c r="AV39" s="30">
        <v>1</v>
      </c>
      <c r="AW39" s="30">
        <v>1</v>
      </c>
      <c r="AX39" s="29" t="s">
        <v>297</v>
      </c>
      <c r="AY39" s="29" t="s">
        <v>555</v>
      </c>
      <c r="AZ39" s="29" t="s">
        <v>556</v>
      </c>
      <c r="BA39" s="30">
        <v>2</v>
      </c>
      <c r="BB39" s="30">
        <v>75</v>
      </c>
      <c r="BC39" s="31">
        <v>2.41</v>
      </c>
      <c r="BD39" s="31">
        <v>8.82</v>
      </c>
      <c r="BG39" s="29">
        <v>14.81</v>
      </c>
      <c r="BH39" s="29">
        <v>11.36</v>
      </c>
      <c r="BI39" s="29">
        <v>0.85</v>
      </c>
      <c r="BK39" s="29">
        <v>1.1200000000000001</v>
      </c>
      <c r="BL39" s="31" t="s">
        <v>298</v>
      </c>
      <c r="BM39" s="29">
        <v>0</v>
      </c>
      <c r="BN39" s="29">
        <v>1</v>
      </c>
      <c r="BO39" s="39" t="s">
        <v>176</v>
      </c>
      <c r="BP39" s="29" t="s">
        <v>139</v>
      </c>
      <c r="BQ39" s="29">
        <v>0</v>
      </c>
    </row>
    <row r="40" spans="1:70" s="42" customFormat="1" x14ac:dyDescent="0.25">
      <c r="A40" s="40"/>
      <c r="B40" s="41">
        <v>394206</v>
      </c>
      <c r="D40" s="42" t="s">
        <v>299</v>
      </c>
      <c r="E40" s="43" t="s">
        <v>300</v>
      </c>
      <c r="F40" s="42">
        <v>147</v>
      </c>
      <c r="G40" s="42">
        <v>3</v>
      </c>
      <c r="H40" s="42" t="s">
        <v>125</v>
      </c>
      <c r="I40" s="44" t="s">
        <v>301</v>
      </c>
      <c r="J40" s="42">
        <f>VLOOKUP(I40,[1]locations!A:E,3,FALSE)</f>
        <v>71</v>
      </c>
      <c r="K40" s="42" t="str">
        <f>VLOOKUP(I40,[1]locations!A:E,5,FALSE)</f>
        <v>AUS</v>
      </c>
      <c r="L40" s="45">
        <v>1</v>
      </c>
      <c r="M40" s="46" t="s">
        <v>302</v>
      </c>
      <c r="N40" s="46" t="s">
        <v>303</v>
      </c>
      <c r="O40" s="47" t="s">
        <v>129</v>
      </c>
      <c r="P40" s="46" t="s">
        <v>177</v>
      </c>
      <c r="Q40" s="46">
        <v>1</v>
      </c>
      <c r="R40" s="46">
        <v>1</v>
      </c>
      <c r="S40" s="46" t="s">
        <v>131</v>
      </c>
      <c r="T40" s="42" t="s">
        <v>178</v>
      </c>
      <c r="Y40" s="42">
        <v>37</v>
      </c>
      <c r="Z40" s="48" t="s">
        <v>133</v>
      </c>
      <c r="AA40" s="44">
        <v>1997</v>
      </c>
      <c r="AB40" s="42">
        <v>2007</v>
      </c>
      <c r="AC40" s="45">
        <v>0</v>
      </c>
      <c r="AD40" s="46">
        <v>0</v>
      </c>
      <c r="AE40" s="42">
        <v>0</v>
      </c>
      <c r="AF40" s="44" t="s">
        <v>166</v>
      </c>
      <c r="AG40" s="42">
        <v>0.99</v>
      </c>
      <c r="AH40" s="42">
        <v>0.95</v>
      </c>
      <c r="AI40" s="42">
        <v>1.04</v>
      </c>
      <c r="AJ40" s="44"/>
      <c r="AK40" s="42">
        <v>2304</v>
      </c>
      <c r="AL40" s="42">
        <v>31567</v>
      </c>
      <c r="AM40" s="42">
        <v>95</v>
      </c>
      <c r="AN40" s="44">
        <v>0</v>
      </c>
      <c r="AO40" s="42">
        <v>1</v>
      </c>
      <c r="AP40" s="42" t="s">
        <v>304</v>
      </c>
      <c r="AQ40" s="42">
        <v>0</v>
      </c>
      <c r="AR40" s="42">
        <v>0</v>
      </c>
      <c r="AS40" s="42">
        <v>0</v>
      </c>
      <c r="AT40" s="42">
        <v>0</v>
      </c>
      <c r="AU40" s="42">
        <v>0</v>
      </c>
      <c r="AV40" s="42">
        <v>1</v>
      </c>
      <c r="AW40" s="42">
        <v>1</v>
      </c>
      <c r="AX40" s="42" t="s">
        <v>305</v>
      </c>
      <c r="AY40" s="42" t="s">
        <v>556</v>
      </c>
      <c r="AZ40" s="42" t="s">
        <v>555</v>
      </c>
      <c r="BA40" s="58">
        <v>2</v>
      </c>
      <c r="BB40" s="58">
        <v>11</v>
      </c>
      <c r="BC40" s="44">
        <v>1</v>
      </c>
      <c r="BD40" s="44"/>
      <c r="BJ40" s="42">
        <v>8.5500000000000007</v>
      </c>
      <c r="BK40" s="42">
        <v>2.15</v>
      </c>
      <c r="BL40" s="44" t="s">
        <v>306</v>
      </c>
      <c r="BM40" s="42">
        <v>0</v>
      </c>
      <c r="BN40" s="42">
        <v>1</v>
      </c>
      <c r="BO40" s="42" t="s">
        <v>307</v>
      </c>
      <c r="BP40" s="42" t="s">
        <v>139</v>
      </c>
      <c r="BQ40" s="42">
        <v>0</v>
      </c>
    </row>
    <row r="41" spans="1:70" s="29" customFormat="1" x14ac:dyDescent="0.25">
      <c r="A41" s="50"/>
      <c r="B41" s="51">
        <v>394208</v>
      </c>
      <c r="D41" s="29" t="s">
        <v>308</v>
      </c>
      <c r="E41" s="29" t="s">
        <v>309</v>
      </c>
      <c r="F41" s="29">
        <v>71</v>
      </c>
      <c r="G41" s="30">
        <v>3</v>
      </c>
      <c r="H41" s="29" t="s">
        <v>150</v>
      </c>
      <c r="I41" s="31" t="s">
        <v>310</v>
      </c>
      <c r="J41" s="30">
        <f>VLOOKUP(I41,[1]locations!A:E,3,FALSE)</f>
        <v>529</v>
      </c>
      <c r="K41" s="30" t="str">
        <f>VLOOKUP(I41,[1]locations!A:E,5,FALSE)</f>
        <v>USA_529</v>
      </c>
      <c r="L41" s="32">
        <v>0</v>
      </c>
      <c r="M41" s="33"/>
      <c r="N41" s="33" t="s">
        <v>311</v>
      </c>
      <c r="O41" s="34" t="s">
        <v>129</v>
      </c>
      <c r="P41" s="33" t="s">
        <v>177</v>
      </c>
      <c r="Q41" s="33">
        <v>1</v>
      </c>
      <c r="R41" s="33">
        <v>1</v>
      </c>
      <c r="S41" s="33" t="s">
        <v>131</v>
      </c>
      <c r="T41" s="29" t="s">
        <v>312</v>
      </c>
      <c r="Y41" s="29">
        <v>37</v>
      </c>
      <c r="Z41" s="35" t="s">
        <v>133</v>
      </c>
      <c r="AA41" s="36">
        <v>2000</v>
      </c>
      <c r="AB41" s="30">
        <v>2006</v>
      </c>
      <c r="AC41" s="53">
        <v>0</v>
      </c>
      <c r="AD41" s="54">
        <v>0</v>
      </c>
      <c r="AE41" s="30">
        <v>0</v>
      </c>
      <c r="AF41" s="31" t="s">
        <v>166</v>
      </c>
      <c r="AG41" s="29">
        <v>1.1299999999999999</v>
      </c>
      <c r="AH41" s="29">
        <v>1</v>
      </c>
      <c r="AI41" s="29">
        <v>1.28</v>
      </c>
      <c r="AJ41" s="31"/>
      <c r="AK41" s="29">
        <v>2557</v>
      </c>
      <c r="AL41" s="29">
        <v>29175</v>
      </c>
      <c r="AM41" s="30">
        <v>95</v>
      </c>
      <c r="AN41" s="36">
        <v>0</v>
      </c>
      <c r="AO41" s="30">
        <v>1</v>
      </c>
      <c r="AP41" s="30" t="s">
        <v>313</v>
      </c>
      <c r="AQ41" s="30">
        <v>0</v>
      </c>
      <c r="AR41" s="30">
        <v>0</v>
      </c>
      <c r="AS41" s="30">
        <v>0</v>
      </c>
      <c r="AT41" s="30">
        <v>0</v>
      </c>
      <c r="AU41" s="30">
        <v>0</v>
      </c>
      <c r="AV41" s="30">
        <v>1</v>
      </c>
      <c r="AW41" s="30">
        <v>1</v>
      </c>
      <c r="AX41" s="29" t="s">
        <v>314</v>
      </c>
      <c r="AY41" s="29" t="s">
        <v>556</v>
      </c>
      <c r="AZ41" s="29" t="s">
        <v>556</v>
      </c>
      <c r="BA41" s="28">
        <v>2</v>
      </c>
      <c r="BB41" s="28">
        <v>23</v>
      </c>
      <c r="BC41" s="31">
        <v>2.33</v>
      </c>
      <c r="BD41" s="31"/>
      <c r="BJ41" s="29">
        <v>12.38</v>
      </c>
      <c r="BK41" s="29">
        <v>2.33</v>
      </c>
      <c r="BL41" s="31" t="s">
        <v>306</v>
      </c>
      <c r="BM41" s="29">
        <v>0</v>
      </c>
      <c r="BN41" s="29">
        <v>1</v>
      </c>
      <c r="BO41" s="39" t="s">
        <v>315</v>
      </c>
      <c r="BP41" s="29" t="s">
        <v>139</v>
      </c>
      <c r="BQ41" s="29">
        <v>0</v>
      </c>
    </row>
    <row r="42" spans="1:70" s="42" customFormat="1" x14ac:dyDescent="0.25">
      <c r="A42" s="40"/>
      <c r="B42" s="41">
        <v>394210</v>
      </c>
      <c r="D42" s="42" t="s">
        <v>316</v>
      </c>
      <c r="E42" s="43" t="s">
        <v>309</v>
      </c>
      <c r="F42" s="42" t="s">
        <v>317</v>
      </c>
      <c r="G42" s="42" t="s">
        <v>317</v>
      </c>
      <c r="H42" s="42" t="s">
        <v>150</v>
      </c>
      <c r="I42" s="44" t="s">
        <v>318</v>
      </c>
      <c r="J42" s="42">
        <f>VLOOKUP(I42,[1]locations!A:E,3,FALSE)</f>
        <v>555</v>
      </c>
      <c r="K42" s="42" t="str">
        <f>VLOOKUP(I42,[1]locations!A:E,5,FALSE)</f>
        <v>USA_555</v>
      </c>
      <c r="L42" s="45">
        <v>1</v>
      </c>
      <c r="M42" s="46" t="s">
        <v>319</v>
      </c>
      <c r="N42" s="46" t="s">
        <v>320</v>
      </c>
      <c r="O42" s="47" t="s">
        <v>129</v>
      </c>
      <c r="P42" s="46" t="s">
        <v>130</v>
      </c>
      <c r="Q42" s="46">
        <v>1</v>
      </c>
      <c r="R42" s="46">
        <v>0</v>
      </c>
      <c r="S42" s="46" t="s">
        <v>131</v>
      </c>
      <c r="T42" s="42" t="s">
        <v>132</v>
      </c>
      <c r="U42" s="42">
        <v>500</v>
      </c>
      <c r="V42" s="42">
        <v>5000</v>
      </c>
      <c r="W42" s="42">
        <v>37</v>
      </c>
      <c r="X42" s="42">
        <v>42</v>
      </c>
      <c r="Z42" s="48" t="s">
        <v>133</v>
      </c>
      <c r="AA42" s="44">
        <v>2008</v>
      </c>
      <c r="AB42" s="42">
        <v>2010</v>
      </c>
      <c r="AC42" s="45">
        <v>0</v>
      </c>
      <c r="AD42" s="46">
        <v>0</v>
      </c>
      <c r="AE42" s="42">
        <v>0</v>
      </c>
      <c r="AF42" s="44" t="s">
        <v>134</v>
      </c>
      <c r="AG42" s="42">
        <v>-48.4</v>
      </c>
      <c r="AH42" s="60"/>
      <c r="AI42" s="60"/>
      <c r="AJ42" s="61">
        <v>7.1</v>
      </c>
      <c r="AL42" s="42">
        <v>252967</v>
      </c>
      <c r="AN42" s="44">
        <v>0</v>
      </c>
      <c r="AO42" s="42">
        <v>0</v>
      </c>
      <c r="AP42" s="42" t="s">
        <v>321</v>
      </c>
      <c r="AQ42" s="42">
        <v>0</v>
      </c>
      <c r="AR42" s="42">
        <v>0</v>
      </c>
      <c r="AS42" s="42">
        <v>0</v>
      </c>
      <c r="AT42" s="42">
        <v>0</v>
      </c>
      <c r="AU42" s="42">
        <v>0</v>
      </c>
      <c r="AV42" s="42">
        <v>1</v>
      </c>
      <c r="AW42" s="42">
        <v>0</v>
      </c>
      <c r="AX42" s="42" t="s">
        <v>322</v>
      </c>
      <c r="AY42" s="42" t="s">
        <v>555</v>
      </c>
      <c r="AZ42" s="42" t="s">
        <v>557</v>
      </c>
      <c r="BA42" s="42">
        <v>2</v>
      </c>
      <c r="BB42" s="42">
        <v>73</v>
      </c>
      <c r="BC42" s="44">
        <v>10</v>
      </c>
      <c r="BD42" s="44">
        <v>9</v>
      </c>
      <c r="BG42" s="42">
        <v>13.3</v>
      </c>
      <c r="BJ42" s="42">
        <v>10.1</v>
      </c>
      <c r="BK42" s="42">
        <v>2.5</v>
      </c>
      <c r="BL42" s="44" t="s">
        <v>323</v>
      </c>
      <c r="BM42" s="42">
        <v>0</v>
      </c>
      <c r="BN42" s="42">
        <v>1</v>
      </c>
      <c r="BP42" s="42" t="s">
        <v>139</v>
      </c>
      <c r="BQ42" s="42">
        <v>0</v>
      </c>
    </row>
    <row r="43" spans="1:70" s="29" customFormat="1" x14ac:dyDescent="0.25">
      <c r="A43" s="50"/>
      <c r="B43" s="51">
        <v>394315</v>
      </c>
      <c r="D43" s="29" t="s">
        <v>324</v>
      </c>
      <c r="E43" s="29" t="s">
        <v>325</v>
      </c>
      <c r="F43" s="29">
        <v>521</v>
      </c>
      <c r="G43" s="30"/>
      <c r="H43" s="29" t="s">
        <v>150</v>
      </c>
      <c r="I43" s="31" t="s">
        <v>159</v>
      </c>
      <c r="J43" s="30">
        <f>VLOOKUP(I43,[1]locations!A:E,3,FALSE)</f>
        <v>102</v>
      </c>
      <c r="K43" s="30" t="str">
        <f>VLOOKUP(I43,[1]locations!A:E,5,FALSE)</f>
        <v>USA</v>
      </c>
      <c r="L43" s="32">
        <v>1</v>
      </c>
      <c r="M43" s="33" t="s">
        <v>326</v>
      </c>
      <c r="N43" s="33" t="s">
        <v>327</v>
      </c>
      <c r="O43" s="34" t="s">
        <v>129</v>
      </c>
      <c r="P43" s="33" t="s">
        <v>130</v>
      </c>
      <c r="Q43" s="33">
        <v>1</v>
      </c>
      <c r="R43" s="33">
        <v>0</v>
      </c>
      <c r="S43" s="33" t="s">
        <v>131</v>
      </c>
      <c r="T43" s="29" t="s">
        <v>216</v>
      </c>
      <c r="W43" s="29">
        <v>37</v>
      </c>
      <c r="X43" s="29">
        <v>44</v>
      </c>
      <c r="Z43" s="35" t="s">
        <v>133</v>
      </c>
      <c r="AA43" s="36">
        <v>1999</v>
      </c>
      <c r="AB43" s="30">
        <v>2007</v>
      </c>
      <c r="AC43" s="53">
        <v>0</v>
      </c>
      <c r="AD43" s="54">
        <v>0</v>
      </c>
      <c r="AE43" s="30">
        <v>0</v>
      </c>
      <c r="AF43" s="31" t="s">
        <v>134</v>
      </c>
      <c r="AG43" s="29">
        <v>-4.4000000000000004</v>
      </c>
      <c r="AH43" s="29">
        <v>-5.2</v>
      </c>
      <c r="AI43" s="29">
        <v>-3.6</v>
      </c>
      <c r="AJ43" s="31"/>
      <c r="AL43" s="29">
        <v>8017865</v>
      </c>
      <c r="AM43" s="30">
        <v>95</v>
      </c>
      <c r="AN43" s="36">
        <v>0</v>
      </c>
      <c r="AO43" s="30">
        <v>1</v>
      </c>
      <c r="AP43" s="30" t="s">
        <v>328</v>
      </c>
      <c r="AQ43" s="30">
        <v>0</v>
      </c>
      <c r="AR43" s="30">
        <v>0</v>
      </c>
      <c r="AS43" s="30">
        <v>0</v>
      </c>
      <c r="AT43" s="30">
        <v>0</v>
      </c>
      <c r="AU43" s="30">
        <v>0</v>
      </c>
      <c r="AV43" s="30">
        <v>1</v>
      </c>
      <c r="AW43" s="30">
        <v>0</v>
      </c>
      <c r="AX43" s="29" t="s">
        <v>329</v>
      </c>
      <c r="AY43" s="29" t="s">
        <v>555</v>
      </c>
      <c r="AZ43" s="29" t="s">
        <v>557</v>
      </c>
      <c r="BA43" s="30">
        <v>2</v>
      </c>
      <c r="BB43" s="30">
        <v>66</v>
      </c>
      <c r="BC43" s="31">
        <v>5.3</v>
      </c>
      <c r="BD43" s="31"/>
      <c r="BH43" s="29">
        <v>12.9</v>
      </c>
      <c r="BI43" s="29">
        <v>3.6</v>
      </c>
      <c r="BL43" s="31" t="s">
        <v>330</v>
      </c>
      <c r="BM43" s="29">
        <v>0</v>
      </c>
      <c r="BN43" s="29">
        <v>1</v>
      </c>
      <c r="BP43" s="29" t="s">
        <v>139</v>
      </c>
      <c r="BQ43" s="29">
        <v>0</v>
      </c>
    </row>
    <row r="44" spans="1:70" s="42" customFormat="1" x14ac:dyDescent="0.25">
      <c r="A44" s="40"/>
      <c r="B44" s="41">
        <v>394329</v>
      </c>
      <c r="D44" s="42" t="s">
        <v>331</v>
      </c>
      <c r="E44" s="43" t="s">
        <v>332</v>
      </c>
      <c r="F44" s="42" t="s">
        <v>333</v>
      </c>
      <c r="G44" s="42" t="s">
        <v>334</v>
      </c>
      <c r="H44" s="42" t="s">
        <v>150</v>
      </c>
      <c r="I44" s="44" t="s">
        <v>213</v>
      </c>
      <c r="J44" s="42">
        <f>VLOOKUP(I44,[1]locations!A:E,3,FALSE)</f>
        <v>533</v>
      </c>
      <c r="K44" s="42" t="str">
        <f>VLOOKUP(I44,[1]locations!A:E,5,FALSE)</f>
        <v>USA_533</v>
      </c>
      <c r="L44" s="45">
        <v>0</v>
      </c>
      <c r="M44" s="46"/>
      <c r="N44" s="46" t="s">
        <v>335</v>
      </c>
      <c r="O44" s="47" t="s">
        <v>129</v>
      </c>
      <c r="P44" s="46" t="s">
        <v>177</v>
      </c>
      <c r="Q44" s="46">
        <v>1</v>
      </c>
      <c r="R44" s="46">
        <v>1</v>
      </c>
      <c r="S44" s="46" t="s">
        <v>131</v>
      </c>
      <c r="T44" s="42" t="s">
        <v>336</v>
      </c>
      <c r="U44" s="42">
        <v>400</v>
      </c>
      <c r="W44" s="42">
        <v>27</v>
      </c>
      <c r="X44" s="42">
        <v>42</v>
      </c>
      <c r="Y44" s="42">
        <v>37</v>
      </c>
      <c r="Z44" s="48" t="s">
        <v>133</v>
      </c>
      <c r="AA44" s="44">
        <v>2002</v>
      </c>
      <c r="AB44" s="42">
        <v>2006</v>
      </c>
      <c r="AC44" s="45">
        <v>0</v>
      </c>
      <c r="AD44" s="46">
        <v>0</v>
      </c>
      <c r="AE44" s="42">
        <v>0</v>
      </c>
      <c r="AF44" s="44" t="s">
        <v>166</v>
      </c>
      <c r="AG44" s="42">
        <v>1.0209999999999999</v>
      </c>
      <c r="AH44" s="42">
        <v>1.006</v>
      </c>
      <c r="AI44" s="42">
        <v>1.0369999999999999</v>
      </c>
      <c r="AJ44" s="44"/>
      <c r="AK44" s="42">
        <v>47321</v>
      </c>
      <c r="AL44" s="42">
        <v>511658</v>
      </c>
      <c r="AM44" s="42">
        <v>95</v>
      </c>
      <c r="AN44" s="44">
        <v>0</v>
      </c>
      <c r="AO44" s="42">
        <v>1</v>
      </c>
      <c r="AP44" s="42" t="s">
        <v>337</v>
      </c>
      <c r="AQ44" s="42">
        <v>0</v>
      </c>
      <c r="AR44" s="42">
        <v>0</v>
      </c>
      <c r="AS44" s="42">
        <v>0</v>
      </c>
      <c r="AT44" s="42">
        <v>0</v>
      </c>
      <c r="AU44" s="42">
        <v>0</v>
      </c>
      <c r="AV44" s="42">
        <v>1</v>
      </c>
      <c r="AW44" s="42">
        <v>1</v>
      </c>
      <c r="AX44" s="42" t="s">
        <v>338</v>
      </c>
      <c r="AY44" s="42" t="s">
        <v>555</v>
      </c>
      <c r="AZ44" s="42" t="s">
        <v>556</v>
      </c>
      <c r="BA44" s="42">
        <v>1</v>
      </c>
      <c r="BB44" s="42">
        <v>87</v>
      </c>
      <c r="BC44" s="44">
        <v>2.0099999999999998</v>
      </c>
      <c r="BD44" s="44"/>
      <c r="BE44" s="42">
        <v>4.91</v>
      </c>
      <c r="BG44" s="42">
        <v>33.67</v>
      </c>
      <c r="BJ44" s="42">
        <v>11.44</v>
      </c>
      <c r="BK44" s="42">
        <v>2.0099999999999998</v>
      </c>
      <c r="BL44" s="44" t="s">
        <v>339</v>
      </c>
      <c r="BM44" s="42">
        <v>0</v>
      </c>
      <c r="BN44" s="42">
        <v>1</v>
      </c>
      <c r="BP44" s="42" t="s">
        <v>139</v>
      </c>
      <c r="BQ44" s="42">
        <v>0</v>
      </c>
    </row>
    <row r="45" spans="1:70" s="29" customFormat="1" x14ac:dyDescent="0.25">
      <c r="A45" s="50"/>
      <c r="B45" s="51">
        <v>394331</v>
      </c>
      <c r="D45" s="29" t="s">
        <v>340</v>
      </c>
      <c r="E45" s="56" t="s">
        <v>332</v>
      </c>
      <c r="F45" s="29">
        <v>253</v>
      </c>
      <c r="G45" s="30">
        <v>3</v>
      </c>
      <c r="H45" s="29" t="s">
        <v>150</v>
      </c>
      <c r="I45" s="31" t="s">
        <v>159</v>
      </c>
      <c r="J45" s="30">
        <f>VLOOKUP(I45,[1]locations!A:E,3,FALSE)</f>
        <v>102</v>
      </c>
      <c r="K45" s="30" t="str">
        <f>VLOOKUP(I45,[1]locations!A:E,5,FALSE)</f>
        <v>USA</v>
      </c>
      <c r="L45" s="32">
        <v>0</v>
      </c>
      <c r="M45" s="33"/>
      <c r="N45" s="33" t="s">
        <v>341</v>
      </c>
      <c r="O45" s="34" t="s">
        <v>129</v>
      </c>
      <c r="P45" s="33" t="s">
        <v>130</v>
      </c>
      <c r="Q45" s="33">
        <v>1</v>
      </c>
      <c r="R45" s="33">
        <v>1</v>
      </c>
      <c r="S45" s="33" t="s">
        <v>131</v>
      </c>
      <c r="T45" s="29" t="s">
        <v>275</v>
      </c>
      <c r="U45" s="29">
        <v>1000</v>
      </c>
      <c r="V45" s="29">
        <v>5500</v>
      </c>
      <c r="W45" s="29">
        <v>37</v>
      </c>
      <c r="X45" s="29">
        <v>44</v>
      </c>
      <c r="Y45" s="29">
        <v>2500</v>
      </c>
      <c r="Z45" s="35" t="s">
        <v>133</v>
      </c>
      <c r="AA45" s="36">
        <v>2001</v>
      </c>
      <c r="AB45" s="30">
        <v>2002</v>
      </c>
      <c r="AC45" s="53">
        <v>0</v>
      </c>
      <c r="AD45" s="54">
        <v>0</v>
      </c>
      <c r="AE45" s="30">
        <v>0</v>
      </c>
      <c r="AF45" s="31" t="s">
        <v>166</v>
      </c>
      <c r="AG45" s="29">
        <v>0.99</v>
      </c>
      <c r="AH45" s="29">
        <v>0.96</v>
      </c>
      <c r="AI45" s="29">
        <v>1.02</v>
      </c>
      <c r="AJ45" s="31"/>
      <c r="AK45" s="29">
        <v>81797</v>
      </c>
      <c r="AL45" s="29">
        <v>3271203</v>
      </c>
      <c r="AM45" s="30">
        <v>95</v>
      </c>
      <c r="AN45" s="36">
        <v>0</v>
      </c>
      <c r="AO45" s="30">
        <v>1</v>
      </c>
      <c r="AP45" s="30" t="s">
        <v>342</v>
      </c>
      <c r="AQ45" s="30">
        <v>0</v>
      </c>
      <c r="AR45" s="30">
        <v>0</v>
      </c>
      <c r="AS45" s="30">
        <v>0</v>
      </c>
      <c r="AT45" s="30">
        <v>0</v>
      </c>
      <c r="AU45" s="30">
        <v>0</v>
      </c>
      <c r="AV45" s="30">
        <v>1</v>
      </c>
      <c r="AW45" s="30">
        <v>2</v>
      </c>
      <c r="AX45" s="29" t="s">
        <v>561</v>
      </c>
      <c r="AY45" s="29" t="s">
        <v>555</v>
      </c>
      <c r="AZ45" s="29" t="s">
        <v>557</v>
      </c>
      <c r="BA45" s="30">
        <v>0</v>
      </c>
      <c r="BB45" s="30">
        <v>97</v>
      </c>
      <c r="BC45" s="31">
        <v>5</v>
      </c>
      <c r="BD45" s="31">
        <v>4.7</v>
      </c>
      <c r="BG45" s="29">
        <v>23.8</v>
      </c>
      <c r="BH45" s="29">
        <v>12.5</v>
      </c>
      <c r="BK45" s="29">
        <v>4.0999999999999996</v>
      </c>
      <c r="BL45" s="31" t="s">
        <v>339</v>
      </c>
      <c r="BM45" s="29">
        <v>0</v>
      </c>
      <c r="BN45" s="29">
        <v>1</v>
      </c>
      <c r="BP45" s="29" t="s">
        <v>139</v>
      </c>
      <c r="BQ45" s="29">
        <v>0</v>
      </c>
    </row>
    <row r="46" spans="1:70" s="42" customFormat="1" hidden="1" x14ac:dyDescent="0.25">
      <c r="A46" s="58"/>
      <c r="D46" s="42" t="s">
        <v>343</v>
      </c>
      <c r="E46" s="42" t="s">
        <v>344</v>
      </c>
      <c r="F46" s="42">
        <v>10</v>
      </c>
      <c r="G46" s="42">
        <v>4</v>
      </c>
      <c r="H46" s="42" t="s">
        <v>150</v>
      </c>
      <c r="I46" s="44" t="s">
        <v>345</v>
      </c>
      <c r="J46" s="42">
        <f>VLOOKUP(I46,[1]locations!A:E,3,FALSE)</f>
        <v>536</v>
      </c>
      <c r="K46" s="42" t="str">
        <f>VLOOKUP(I46,[1]locations!A:E,5,FALSE)</f>
        <v>USA_536</v>
      </c>
      <c r="L46" s="45">
        <v>1</v>
      </c>
      <c r="M46" s="46" t="s">
        <v>346</v>
      </c>
      <c r="N46" s="46"/>
      <c r="O46" s="47" t="s">
        <v>129</v>
      </c>
      <c r="P46" s="46" t="s">
        <v>130</v>
      </c>
      <c r="Q46" s="46"/>
      <c r="R46" s="46">
        <v>1</v>
      </c>
      <c r="S46" s="46" t="s">
        <v>131</v>
      </c>
      <c r="T46" s="42" t="s">
        <v>347</v>
      </c>
      <c r="Z46" s="48" t="s">
        <v>133</v>
      </c>
      <c r="AA46" s="44">
        <v>2000</v>
      </c>
      <c r="AB46" s="42">
        <v>2004</v>
      </c>
      <c r="AC46" s="45">
        <v>0</v>
      </c>
      <c r="AD46" s="46">
        <v>0</v>
      </c>
      <c r="AE46" s="49">
        <v>0</v>
      </c>
      <c r="AF46" s="42" t="s">
        <v>134</v>
      </c>
      <c r="AG46" s="42">
        <v>-0.97599999999999998</v>
      </c>
      <c r="AH46" s="42">
        <v>-1.6890000000000001</v>
      </c>
      <c r="AI46" s="49">
        <v>-0.26300000000000001</v>
      </c>
      <c r="AL46" s="42">
        <v>61929</v>
      </c>
      <c r="AM46" s="42">
        <v>95</v>
      </c>
      <c r="AN46" s="44">
        <v>0</v>
      </c>
      <c r="AQ46" s="42">
        <v>0</v>
      </c>
      <c r="AS46" s="42">
        <v>0</v>
      </c>
      <c r="AT46" s="42">
        <v>0</v>
      </c>
      <c r="AU46" s="42">
        <v>0</v>
      </c>
      <c r="AV46" s="42">
        <v>1</v>
      </c>
      <c r="AX46" s="42" t="s">
        <v>348</v>
      </c>
      <c r="BC46" s="49">
        <v>1</v>
      </c>
      <c r="BH46" s="42">
        <v>18</v>
      </c>
      <c r="BK46" s="49"/>
      <c r="BL46" s="42" t="s">
        <v>343</v>
      </c>
      <c r="BM46" s="42">
        <v>0</v>
      </c>
      <c r="BN46" s="42">
        <v>1</v>
      </c>
      <c r="BP46" s="42" t="s">
        <v>139</v>
      </c>
      <c r="BQ46" s="42">
        <v>1</v>
      </c>
      <c r="BR46" s="42" t="s">
        <v>349</v>
      </c>
    </row>
    <row r="47" spans="1:70" s="42" customFormat="1" hidden="1" x14ac:dyDescent="0.25">
      <c r="A47" s="58"/>
      <c r="D47" s="42" t="s">
        <v>343</v>
      </c>
      <c r="E47" s="42" t="s">
        <v>344</v>
      </c>
      <c r="F47" s="42">
        <v>11</v>
      </c>
      <c r="G47" s="42">
        <v>5</v>
      </c>
      <c r="H47" s="42" t="s">
        <v>150</v>
      </c>
      <c r="I47" s="44" t="s">
        <v>345</v>
      </c>
      <c r="J47" s="42">
        <f>VLOOKUP(I47,[1]locations!A:E,3,FALSE)</f>
        <v>536</v>
      </c>
      <c r="K47" s="42" t="str">
        <f>VLOOKUP(I47,[1]locations!A:E,5,FALSE)</f>
        <v>USA_536</v>
      </c>
      <c r="L47" s="45">
        <v>1</v>
      </c>
      <c r="M47" s="46" t="s">
        <v>346</v>
      </c>
      <c r="N47" s="46"/>
      <c r="O47" s="47" t="s">
        <v>129</v>
      </c>
      <c r="P47" s="46" t="s">
        <v>130</v>
      </c>
      <c r="Q47" s="46"/>
      <c r="R47" s="46">
        <v>1</v>
      </c>
      <c r="S47" s="46" t="s">
        <v>131</v>
      </c>
      <c r="T47" s="42" t="s">
        <v>350</v>
      </c>
      <c r="Y47" s="42">
        <v>2500</v>
      </c>
      <c r="Z47" s="48" t="s">
        <v>133</v>
      </c>
      <c r="AA47" s="44">
        <v>2000</v>
      </c>
      <c r="AB47" s="42">
        <v>2004</v>
      </c>
      <c r="AC47" s="45">
        <v>0</v>
      </c>
      <c r="AD47" s="46">
        <v>0</v>
      </c>
      <c r="AE47" s="49">
        <v>0</v>
      </c>
      <c r="AF47" s="42" t="s">
        <v>166</v>
      </c>
      <c r="AG47" s="42">
        <v>0.998</v>
      </c>
      <c r="AH47" s="42">
        <v>0.98299999999999998</v>
      </c>
      <c r="AI47" s="49">
        <v>1.014</v>
      </c>
      <c r="AK47" s="42">
        <v>4229.3599999999997</v>
      </c>
      <c r="AL47" s="42">
        <v>72920</v>
      </c>
      <c r="AM47" s="42">
        <v>95</v>
      </c>
      <c r="AN47" s="44">
        <v>0</v>
      </c>
      <c r="AQ47" s="42">
        <v>0</v>
      </c>
      <c r="AS47" s="42">
        <v>0</v>
      </c>
      <c r="AT47" s="42">
        <v>0</v>
      </c>
      <c r="AU47" s="42">
        <v>0</v>
      </c>
      <c r="AV47" s="42">
        <v>1</v>
      </c>
      <c r="AX47" s="42" t="s">
        <v>348</v>
      </c>
      <c r="BC47" s="49">
        <v>1</v>
      </c>
      <c r="BH47" s="42">
        <v>18</v>
      </c>
      <c r="BK47" s="49"/>
      <c r="BL47" s="42" t="s">
        <v>343</v>
      </c>
      <c r="BM47" s="42">
        <v>0</v>
      </c>
      <c r="BN47" s="42">
        <v>1</v>
      </c>
      <c r="BP47" s="42" t="s">
        <v>139</v>
      </c>
      <c r="BQ47" s="42">
        <v>1</v>
      </c>
      <c r="BR47" s="42" t="s">
        <v>349</v>
      </c>
    </row>
    <row r="48" spans="1:70" s="29" customFormat="1" x14ac:dyDescent="0.25">
      <c r="A48" s="50"/>
      <c r="B48" s="51">
        <v>394333</v>
      </c>
      <c r="D48" s="29" t="s">
        <v>351</v>
      </c>
      <c r="E48" s="29" t="s">
        <v>352</v>
      </c>
      <c r="F48" s="29">
        <v>177</v>
      </c>
      <c r="G48" s="30">
        <v>4</v>
      </c>
      <c r="H48" s="29" t="s">
        <v>150</v>
      </c>
      <c r="I48" s="31" t="s">
        <v>345</v>
      </c>
      <c r="J48" s="30">
        <f>VLOOKUP(I48,[1]locations!A:E,3,FALSE)</f>
        <v>536</v>
      </c>
      <c r="K48" s="30" t="str">
        <f>VLOOKUP(I48,[1]locations!A:E,5,FALSE)</f>
        <v>USA_536</v>
      </c>
      <c r="L48" s="32">
        <v>1</v>
      </c>
      <c r="M48" s="33" t="s">
        <v>353</v>
      </c>
      <c r="N48" s="33" t="s">
        <v>354</v>
      </c>
      <c r="O48" s="34" t="s">
        <v>129</v>
      </c>
      <c r="P48" s="33" t="s">
        <v>130</v>
      </c>
      <c r="Q48" s="33">
        <v>1</v>
      </c>
      <c r="R48" s="33">
        <v>0</v>
      </c>
      <c r="S48" s="33" t="s">
        <v>131</v>
      </c>
      <c r="T48" s="29" t="s">
        <v>347</v>
      </c>
      <c r="U48" s="29">
        <v>500</v>
      </c>
      <c r="W48" s="29">
        <v>37</v>
      </c>
      <c r="X48" s="29">
        <v>44</v>
      </c>
      <c r="Z48" s="35" t="s">
        <v>133</v>
      </c>
      <c r="AA48" s="36">
        <v>2000</v>
      </c>
      <c r="AB48" s="30">
        <v>2004</v>
      </c>
      <c r="AC48" s="53">
        <v>0</v>
      </c>
      <c r="AD48" s="54">
        <v>0</v>
      </c>
      <c r="AE48" s="30">
        <v>0</v>
      </c>
      <c r="AF48" s="31" t="s">
        <v>134</v>
      </c>
      <c r="AG48" s="29">
        <v>-1.1220000000000001</v>
      </c>
      <c r="AH48" s="29">
        <v>-1.657</v>
      </c>
      <c r="AI48" s="29">
        <v>-0.58599999999999997</v>
      </c>
      <c r="AJ48" s="31"/>
      <c r="AL48" s="29">
        <v>228254</v>
      </c>
      <c r="AM48" s="30">
        <v>95</v>
      </c>
      <c r="AN48" s="36">
        <v>0</v>
      </c>
      <c r="AO48" s="30">
        <v>1</v>
      </c>
      <c r="AP48" s="30" t="s">
        <v>162</v>
      </c>
      <c r="AQ48" s="30">
        <v>0</v>
      </c>
      <c r="AR48" s="30">
        <v>0</v>
      </c>
      <c r="AS48" s="30">
        <v>0</v>
      </c>
      <c r="AT48" s="30">
        <v>0</v>
      </c>
      <c r="AU48" s="30">
        <v>0</v>
      </c>
      <c r="AV48" s="30">
        <v>1</v>
      </c>
      <c r="AW48" s="30">
        <v>0</v>
      </c>
      <c r="AX48" s="29" t="s">
        <v>355</v>
      </c>
      <c r="AY48" s="29" t="s">
        <v>555</v>
      </c>
      <c r="AZ48" s="29" t="s">
        <v>557</v>
      </c>
      <c r="BA48" s="30">
        <v>2</v>
      </c>
      <c r="BB48" s="30">
        <v>16</v>
      </c>
      <c r="BC48" s="31">
        <v>1</v>
      </c>
      <c r="BD48" s="31"/>
      <c r="BH48" s="29">
        <v>18.100000000000001</v>
      </c>
      <c r="BI48" s="29">
        <v>4.5</v>
      </c>
      <c r="BL48" s="31" t="s">
        <v>356</v>
      </c>
      <c r="BM48" s="29">
        <v>0</v>
      </c>
      <c r="BN48" s="29">
        <v>1</v>
      </c>
      <c r="BO48" s="30"/>
      <c r="BP48" s="29" t="s">
        <v>139</v>
      </c>
      <c r="BQ48" s="29">
        <v>0</v>
      </c>
    </row>
    <row r="49" spans="1:70" s="29" customFormat="1" x14ac:dyDescent="0.25">
      <c r="A49" s="50"/>
      <c r="B49" s="51">
        <v>394333</v>
      </c>
      <c r="D49" s="29" t="s">
        <v>351</v>
      </c>
      <c r="E49" s="29" t="s">
        <v>352</v>
      </c>
      <c r="F49" s="29">
        <v>177</v>
      </c>
      <c r="G49" s="30">
        <v>4</v>
      </c>
      <c r="H49" s="29" t="s">
        <v>150</v>
      </c>
      <c r="I49" s="31" t="s">
        <v>345</v>
      </c>
      <c r="J49" s="30">
        <f>VLOOKUP(I49,[1]locations!A:E,3,FALSE)</f>
        <v>536</v>
      </c>
      <c r="K49" s="30" t="str">
        <f>VLOOKUP(I49,[1]locations!A:E,5,FALSE)</f>
        <v>USA_536</v>
      </c>
      <c r="L49" s="32">
        <v>1</v>
      </c>
      <c r="M49" s="33" t="s">
        <v>353</v>
      </c>
      <c r="N49" s="33" t="s">
        <v>354</v>
      </c>
      <c r="O49" s="34" t="s">
        <v>129</v>
      </c>
      <c r="P49" s="33" t="s">
        <v>130</v>
      </c>
      <c r="Q49" s="33">
        <v>0</v>
      </c>
      <c r="R49" s="33">
        <v>1</v>
      </c>
      <c r="S49" s="33" t="s">
        <v>131</v>
      </c>
      <c r="T49" s="29" t="s">
        <v>350</v>
      </c>
      <c r="U49" s="29">
        <v>500</v>
      </c>
      <c r="W49" s="29">
        <v>37</v>
      </c>
      <c r="X49" s="29">
        <v>44</v>
      </c>
      <c r="Y49" s="29">
        <v>2500</v>
      </c>
      <c r="Z49" s="35" t="s">
        <v>133</v>
      </c>
      <c r="AA49" s="36">
        <v>2000</v>
      </c>
      <c r="AB49" s="30">
        <v>2004</v>
      </c>
      <c r="AC49" s="53">
        <v>0</v>
      </c>
      <c r="AD49" s="54">
        <v>0</v>
      </c>
      <c r="AE49" s="30">
        <v>0</v>
      </c>
      <c r="AF49" s="31" t="s">
        <v>166</v>
      </c>
      <c r="AG49" s="29">
        <v>1.0034000000000001</v>
      </c>
      <c r="AH49" s="29">
        <v>0.997</v>
      </c>
      <c r="AI49" s="29">
        <v>1.01</v>
      </c>
      <c r="AJ49" s="31"/>
      <c r="AK49" s="29">
        <v>23103</v>
      </c>
      <c r="AL49" s="29">
        <v>228254</v>
      </c>
      <c r="AM49" s="30">
        <v>95</v>
      </c>
      <c r="AN49" s="36">
        <v>0</v>
      </c>
      <c r="AO49" s="30">
        <v>1</v>
      </c>
      <c r="AP49" s="30" t="s">
        <v>162</v>
      </c>
      <c r="AQ49" s="30">
        <v>0</v>
      </c>
      <c r="AR49" s="30">
        <v>0</v>
      </c>
      <c r="AS49" s="30">
        <v>0</v>
      </c>
      <c r="AT49" s="30">
        <v>0</v>
      </c>
      <c r="AU49" s="30">
        <v>0</v>
      </c>
      <c r="AV49" s="30">
        <v>1</v>
      </c>
      <c r="AW49" s="30">
        <v>0</v>
      </c>
      <c r="AX49" s="29" t="s">
        <v>355</v>
      </c>
      <c r="AY49" s="29" t="s">
        <v>555</v>
      </c>
      <c r="AZ49" s="29" t="s">
        <v>557</v>
      </c>
      <c r="BA49" s="30">
        <v>2</v>
      </c>
      <c r="BB49" s="30">
        <v>57</v>
      </c>
      <c r="BC49" s="36">
        <v>1</v>
      </c>
      <c r="BD49" s="31"/>
      <c r="BH49" s="29">
        <v>18.100000000000001</v>
      </c>
      <c r="BI49" s="29">
        <v>4.5</v>
      </c>
      <c r="BL49" s="31" t="s">
        <v>356</v>
      </c>
      <c r="BM49" s="29">
        <v>0</v>
      </c>
      <c r="BN49" s="29">
        <v>1</v>
      </c>
      <c r="BO49" s="30"/>
      <c r="BP49" s="29" t="s">
        <v>139</v>
      </c>
      <c r="BQ49" s="29">
        <v>0</v>
      </c>
    </row>
    <row r="50" spans="1:70" s="42" customFormat="1" x14ac:dyDescent="0.25">
      <c r="A50" s="40"/>
      <c r="B50" s="41">
        <v>394335</v>
      </c>
      <c r="D50" s="42" t="s">
        <v>357</v>
      </c>
      <c r="E50" s="42" t="s">
        <v>332</v>
      </c>
      <c r="F50" s="42">
        <v>1483</v>
      </c>
      <c r="G50" s="42">
        <v>2</v>
      </c>
      <c r="H50" s="42" t="s">
        <v>358</v>
      </c>
      <c r="I50" s="44" t="s">
        <v>151</v>
      </c>
      <c r="J50" s="42">
        <f>VLOOKUP(I50,[1]locations!A:E,3,FALSE)</f>
        <v>527</v>
      </c>
      <c r="K50" s="42" t="str">
        <f>VLOOKUP(I50,[1]locations!A:E,5,FALSE)</f>
        <v>USA_527</v>
      </c>
      <c r="L50" s="45">
        <v>0</v>
      </c>
      <c r="M50" s="46"/>
      <c r="N50" s="46" t="s">
        <v>359</v>
      </c>
      <c r="O50" s="47" t="s">
        <v>129</v>
      </c>
      <c r="P50" s="46" t="s">
        <v>177</v>
      </c>
      <c r="Q50" s="46">
        <v>1</v>
      </c>
      <c r="R50" s="46">
        <v>1</v>
      </c>
      <c r="S50" s="46" t="s">
        <v>131</v>
      </c>
      <c r="T50" s="42" t="s">
        <v>178</v>
      </c>
      <c r="W50" s="42">
        <f>121/7</f>
        <v>17.285714285714285</v>
      </c>
      <c r="X50" s="42">
        <f>319/7</f>
        <v>45.571428571428569</v>
      </c>
      <c r="Y50" s="42">
        <v>37</v>
      </c>
      <c r="Z50" s="48" t="s">
        <v>133</v>
      </c>
      <c r="AA50" s="44">
        <v>2001</v>
      </c>
      <c r="AB50" s="42">
        <v>2008</v>
      </c>
      <c r="AC50" s="45">
        <v>0</v>
      </c>
      <c r="AD50" s="46">
        <v>0</v>
      </c>
      <c r="AE50" s="42">
        <v>0</v>
      </c>
      <c r="AF50" s="44" t="s">
        <v>166</v>
      </c>
      <c r="AG50" s="42">
        <v>1.133</v>
      </c>
      <c r="AH50" s="42">
        <v>1.1180000000000001</v>
      </c>
      <c r="AI50" s="42">
        <v>1.1479999999999999</v>
      </c>
      <c r="AJ50" s="44"/>
      <c r="AK50" s="42">
        <v>422431</v>
      </c>
      <c r="AL50" s="42">
        <f>422431+808038</f>
        <v>1230469</v>
      </c>
      <c r="AM50" s="42">
        <v>95</v>
      </c>
      <c r="AN50" s="44">
        <v>0</v>
      </c>
      <c r="AO50" s="42">
        <v>0</v>
      </c>
      <c r="AP50" s="42" t="s">
        <v>360</v>
      </c>
      <c r="AQ50" s="42">
        <v>0</v>
      </c>
      <c r="AR50" s="42">
        <v>0</v>
      </c>
      <c r="AS50" s="42">
        <v>0</v>
      </c>
      <c r="AT50" s="42">
        <v>0</v>
      </c>
      <c r="AU50" s="42">
        <v>0</v>
      </c>
      <c r="AV50" s="42">
        <v>1</v>
      </c>
      <c r="AW50" s="42">
        <v>2</v>
      </c>
      <c r="AX50" s="42" t="s">
        <v>361</v>
      </c>
      <c r="AY50" s="42" t="s">
        <v>555</v>
      </c>
      <c r="AZ50" s="42" t="s">
        <v>557</v>
      </c>
      <c r="BA50" s="42">
        <v>0</v>
      </c>
      <c r="BB50" s="42" t="s">
        <v>362</v>
      </c>
      <c r="BC50" s="44">
        <v>6.45</v>
      </c>
      <c r="BD50" s="44">
        <v>4.42</v>
      </c>
      <c r="BE50" s="42">
        <v>8.2899999999999991</v>
      </c>
      <c r="BF50" s="42">
        <v>22.72</v>
      </c>
      <c r="BG50" s="42">
        <v>36.76</v>
      </c>
      <c r="BH50" s="42">
        <v>14.51</v>
      </c>
      <c r="BJ50" s="42">
        <v>14.13</v>
      </c>
      <c r="BK50" s="42">
        <v>6.27</v>
      </c>
      <c r="BL50" s="44" t="s">
        <v>363</v>
      </c>
      <c r="BM50" s="42">
        <v>0</v>
      </c>
      <c r="BN50" s="42">
        <v>1</v>
      </c>
      <c r="BO50" s="42" t="s">
        <v>364</v>
      </c>
      <c r="BP50" s="42" t="s">
        <v>139</v>
      </c>
      <c r="BQ50" s="42">
        <v>0</v>
      </c>
    </row>
    <row r="51" spans="1:70" s="42" customFormat="1" x14ac:dyDescent="0.25">
      <c r="A51" s="40"/>
      <c r="B51" s="41">
        <v>394335</v>
      </c>
      <c r="D51" s="42" t="s">
        <v>357</v>
      </c>
      <c r="E51" s="42" t="s">
        <v>332</v>
      </c>
      <c r="F51" s="42">
        <v>1483</v>
      </c>
      <c r="G51" s="42">
        <v>2</v>
      </c>
      <c r="H51" s="42" t="s">
        <v>358</v>
      </c>
      <c r="I51" s="44" t="s">
        <v>151</v>
      </c>
      <c r="J51" s="42">
        <f>VLOOKUP(I51,[1]locations!A:E,3,FALSE)</f>
        <v>527</v>
      </c>
      <c r="K51" s="42" t="str">
        <f>VLOOKUP(I51,[1]locations!A:E,5,FALSE)</f>
        <v>USA_527</v>
      </c>
      <c r="L51" s="45">
        <v>0</v>
      </c>
      <c r="M51" s="46"/>
      <c r="N51" s="46" t="s">
        <v>359</v>
      </c>
      <c r="O51" s="47" t="s">
        <v>129</v>
      </c>
      <c r="P51" s="46" t="s">
        <v>177</v>
      </c>
      <c r="Q51" s="46">
        <v>1</v>
      </c>
      <c r="R51" s="46">
        <v>0</v>
      </c>
      <c r="S51" s="46" t="s">
        <v>131</v>
      </c>
      <c r="T51" s="42" t="s">
        <v>365</v>
      </c>
      <c r="W51" s="42">
        <f>121/7</f>
        <v>17.285714285714285</v>
      </c>
      <c r="X51" s="42">
        <f>319/7</f>
        <v>45.571428571428569</v>
      </c>
      <c r="Y51" s="42">
        <v>35</v>
      </c>
      <c r="Z51" s="48" t="s">
        <v>133</v>
      </c>
      <c r="AA51" s="44">
        <v>2001</v>
      </c>
      <c r="AB51" s="42">
        <v>2008</v>
      </c>
      <c r="AC51" s="45">
        <v>0</v>
      </c>
      <c r="AD51" s="46">
        <v>0</v>
      </c>
      <c r="AE51" s="42">
        <v>0</v>
      </c>
      <c r="AF51" s="44" t="s">
        <v>166</v>
      </c>
      <c r="AG51" s="42">
        <v>1.1379999999999999</v>
      </c>
      <c r="AH51" s="42">
        <v>1.119</v>
      </c>
      <c r="AI51" s="42">
        <v>1.1559999999999999</v>
      </c>
      <c r="AJ51" s="44"/>
      <c r="AK51" s="42">
        <v>151029</v>
      </c>
      <c r="AL51" s="42">
        <f>151029+288868</f>
        <v>439897</v>
      </c>
      <c r="AM51" s="42">
        <v>95</v>
      </c>
      <c r="AN51" s="44">
        <v>0</v>
      </c>
      <c r="AO51" s="42">
        <v>0</v>
      </c>
      <c r="AP51" s="42" t="s">
        <v>360</v>
      </c>
      <c r="AQ51" s="42">
        <v>0</v>
      </c>
      <c r="AR51" s="42">
        <v>0</v>
      </c>
      <c r="AS51" s="42">
        <v>0</v>
      </c>
      <c r="AT51" s="42">
        <v>0</v>
      </c>
      <c r="AU51" s="42">
        <v>0</v>
      </c>
      <c r="AV51" s="42">
        <v>1</v>
      </c>
      <c r="AW51" s="42">
        <v>2</v>
      </c>
      <c r="AX51" s="42" t="s">
        <v>361</v>
      </c>
      <c r="AY51" s="42" t="s">
        <v>555</v>
      </c>
      <c r="AZ51" s="42" t="s">
        <v>557</v>
      </c>
      <c r="BA51" s="42">
        <v>0</v>
      </c>
      <c r="BB51" s="42" t="s">
        <v>362</v>
      </c>
      <c r="BC51" s="44">
        <v>6.6</v>
      </c>
      <c r="BD51" s="44">
        <v>4.42</v>
      </c>
      <c r="BE51" s="42">
        <v>8.2899999999999991</v>
      </c>
      <c r="BF51" s="42">
        <v>22.72</v>
      </c>
      <c r="BG51" s="42">
        <v>36.76</v>
      </c>
      <c r="BH51" s="42">
        <v>14.51</v>
      </c>
      <c r="BJ51" s="42">
        <v>14.13</v>
      </c>
      <c r="BK51" s="42">
        <v>6.27</v>
      </c>
      <c r="BL51" s="44" t="s">
        <v>363</v>
      </c>
      <c r="BM51" s="42">
        <v>0</v>
      </c>
      <c r="BN51" s="42">
        <v>1</v>
      </c>
      <c r="BO51" s="42" t="s">
        <v>366</v>
      </c>
      <c r="BP51" s="42" t="s">
        <v>139</v>
      </c>
      <c r="BQ51" s="42">
        <v>0</v>
      </c>
    </row>
    <row r="52" spans="1:70" s="42" customFormat="1" x14ac:dyDescent="0.25">
      <c r="A52" s="40"/>
      <c r="B52" s="41">
        <v>394335</v>
      </c>
      <c r="D52" s="42" t="s">
        <v>357</v>
      </c>
      <c r="E52" s="42" t="s">
        <v>332</v>
      </c>
      <c r="F52" s="42">
        <v>1483</v>
      </c>
      <c r="G52" s="42">
        <v>2</v>
      </c>
      <c r="H52" s="42" t="s">
        <v>358</v>
      </c>
      <c r="I52" s="44" t="s">
        <v>151</v>
      </c>
      <c r="J52" s="42">
        <f>VLOOKUP(I52,[1]locations!A:E,3,FALSE)</f>
        <v>527</v>
      </c>
      <c r="K52" s="42" t="str">
        <f>VLOOKUP(I52,[1]locations!A:E,5,FALSE)</f>
        <v>USA_527</v>
      </c>
      <c r="L52" s="45">
        <v>0</v>
      </c>
      <c r="M52" s="46"/>
      <c r="N52" s="46" t="s">
        <v>359</v>
      </c>
      <c r="O52" s="47" t="s">
        <v>129</v>
      </c>
      <c r="P52" s="46" t="s">
        <v>177</v>
      </c>
      <c r="Q52" s="46">
        <v>1</v>
      </c>
      <c r="R52" s="46">
        <v>0</v>
      </c>
      <c r="S52" s="46" t="s">
        <v>131</v>
      </c>
      <c r="T52" s="42" t="s">
        <v>367</v>
      </c>
      <c r="W52" s="42">
        <f>121/7</f>
        <v>17.285714285714285</v>
      </c>
      <c r="X52" s="42">
        <f>319/7</f>
        <v>45.571428571428569</v>
      </c>
      <c r="Y52" s="42">
        <v>30</v>
      </c>
      <c r="Z52" s="48" t="s">
        <v>133</v>
      </c>
      <c r="AA52" s="44">
        <v>2001</v>
      </c>
      <c r="AB52" s="42">
        <v>2008</v>
      </c>
      <c r="AC52" s="45">
        <v>0</v>
      </c>
      <c r="AD52" s="46">
        <v>0</v>
      </c>
      <c r="AE52" s="42">
        <v>0</v>
      </c>
      <c r="AF52" s="44" t="s">
        <v>166</v>
      </c>
      <c r="AG52" s="42">
        <v>1.1020000000000001</v>
      </c>
      <c r="AH52" s="42">
        <v>1.071</v>
      </c>
      <c r="AI52" s="42">
        <v>1.1339999999999999</v>
      </c>
      <c r="AJ52" s="44"/>
      <c r="AK52" s="42">
        <v>27868</v>
      </c>
      <c r="AL52" s="42">
        <f>27868+53309</f>
        <v>81177</v>
      </c>
      <c r="AM52" s="42">
        <v>95</v>
      </c>
      <c r="AN52" s="44">
        <v>0</v>
      </c>
      <c r="AO52" s="42">
        <v>0</v>
      </c>
      <c r="AP52" s="42" t="s">
        <v>360</v>
      </c>
      <c r="AQ52" s="42">
        <v>0</v>
      </c>
      <c r="AR52" s="42">
        <v>0</v>
      </c>
      <c r="AS52" s="42">
        <v>0</v>
      </c>
      <c r="AT52" s="42">
        <v>0</v>
      </c>
      <c r="AU52" s="42">
        <v>0</v>
      </c>
      <c r="AV52" s="42">
        <v>1</v>
      </c>
      <c r="AW52" s="42">
        <v>2</v>
      </c>
      <c r="AX52" s="42" t="s">
        <v>361</v>
      </c>
      <c r="AY52" s="42" t="s">
        <v>555</v>
      </c>
      <c r="AZ52" s="42" t="s">
        <v>557</v>
      </c>
      <c r="BA52" s="42">
        <v>0</v>
      </c>
      <c r="BB52" s="42" t="s">
        <v>362</v>
      </c>
      <c r="BC52" s="44">
        <v>6.98</v>
      </c>
      <c r="BD52" s="44">
        <v>4.42</v>
      </c>
      <c r="BE52" s="42">
        <v>8.2899999999999991</v>
      </c>
      <c r="BF52" s="42">
        <v>22.72</v>
      </c>
      <c r="BG52" s="42">
        <v>36.76</v>
      </c>
      <c r="BH52" s="42">
        <v>14.51</v>
      </c>
      <c r="BJ52" s="42">
        <v>14.13</v>
      </c>
      <c r="BK52" s="42">
        <v>6.27</v>
      </c>
      <c r="BL52" s="44" t="s">
        <v>363</v>
      </c>
      <c r="BM52" s="42">
        <v>0</v>
      </c>
      <c r="BN52" s="42">
        <v>1</v>
      </c>
      <c r="BO52" s="42" t="s">
        <v>366</v>
      </c>
      <c r="BP52" s="42" t="s">
        <v>139</v>
      </c>
      <c r="BQ52" s="42">
        <v>0</v>
      </c>
    </row>
    <row r="53" spans="1:70" s="29" customFormat="1" x14ac:dyDescent="0.25">
      <c r="A53" s="50"/>
      <c r="B53" s="51">
        <v>394337</v>
      </c>
      <c r="D53" s="29" t="s">
        <v>368</v>
      </c>
      <c r="E53" s="29" t="s">
        <v>325</v>
      </c>
      <c r="F53" s="29">
        <v>474</v>
      </c>
      <c r="G53" s="30">
        <v>2</v>
      </c>
      <c r="H53" s="29" t="s">
        <v>369</v>
      </c>
      <c r="I53" s="31" t="s">
        <v>151</v>
      </c>
      <c r="J53" s="30">
        <f>VLOOKUP(I53,[1]locations!A:E,3,FALSE)</f>
        <v>527</v>
      </c>
      <c r="K53" s="30" t="str">
        <f>VLOOKUP(I53,[1]locations!A:E,5,FALSE)</f>
        <v>USA_527</v>
      </c>
      <c r="L53" s="32">
        <v>0</v>
      </c>
      <c r="M53" s="33"/>
      <c r="N53" s="33" t="s">
        <v>359</v>
      </c>
      <c r="O53" s="34" t="s">
        <v>129</v>
      </c>
      <c r="P53" s="33" t="s">
        <v>130</v>
      </c>
      <c r="Q53" s="33">
        <v>1</v>
      </c>
      <c r="R53" s="33">
        <v>1</v>
      </c>
      <c r="S53" s="33" t="s">
        <v>131</v>
      </c>
      <c r="T53" s="29" t="s">
        <v>256</v>
      </c>
      <c r="W53" s="29">
        <v>37</v>
      </c>
      <c r="X53" s="29">
        <f>308/7</f>
        <v>44</v>
      </c>
      <c r="Y53" s="29">
        <v>2500</v>
      </c>
      <c r="Z53" s="35" t="s">
        <v>133</v>
      </c>
      <c r="AA53" s="36">
        <v>2001</v>
      </c>
      <c r="AB53" s="30">
        <v>2008</v>
      </c>
      <c r="AC53" s="53">
        <v>0</v>
      </c>
      <c r="AD53" s="54">
        <v>0</v>
      </c>
      <c r="AE53" s="30">
        <v>0</v>
      </c>
      <c r="AF53" s="31" t="s">
        <v>166</v>
      </c>
      <c r="AG53" s="29">
        <v>0.98199999999999998</v>
      </c>
      <c r="AH53" s="29">
        <v>0.95599999999999996</v>
      </c>
      <c r="AI53" s="29">
        <v>1.0089999999999999</v>
      </c>
      <c r="AJ53" s="31"/>
      <c r="AK53" s="29">
        <v>68887</v>
      </c>
      <c r="AL53" s="29">
        <v>3534708</v>
      </c>
      <c r="AM53" s="30">
        <v>95</v>
      </c>
      <c r="AN53" s="36">
        <v>0</v>
      </c>
      <c r="AO53" s="30">
        <v>0</v>
      </c>
      <c r="AP53" s="30" t="s">
        <v>360</v>
      </c>
      <c r="AQ53" s="30">
        <v>0</v>
      </c>
      <c r="AR53" s="30">
        <v>0</v>
      </c>
      <c r="AS53" s="30">
        <v>0</v>
      </c>
      <c r="AT53" s="30">
        <v>0</v>
      </c>
      <c r="AU53" s="30">
        <v>0</v>
      </c>
      <c r="AV53" s="30">
        <v>1</v>
      </c>
      <c r="AW53" s="30">
        <v>2</v>
      </c>
      <c r="AX53" s="29" t="s">
        <v>370</v>
      </c>
      <c r="AY53" s="29" t="s">
        <v>555</v>
      </c>
      <c r="AZ53" s="29" t="s">
        <v>557</v>
      </c>
      <c r="BA53" s="30">
        <v>1</v>
      </c>
      <c r="BB53" s="30" t="s">
        <v>371</v>
      </c>
      <c r="BC53" s="31">
        <v>6.47</v>
      </c>
      <c r="BD53" s="31">
        <v>4.42</v>
      </c>
      <c r="BE53" s="29">
        <v>8.2899999999999991</v>
      </c>
      <c r="BF53" s="29">
        <v>22.72</v>
      </c>
      <c r="BG53" s="29">
        <v>36.76</v>
      </c>
      <c r="BH53" s="29">
        <v>14.51</v>
      </c>
      <c r="BJ53" s="29">
        <v>14.13</v>
      </c>
      <c r="BK53" s="29">
        <v>6.27</v>
      </c>
      <c r="BL53" s="31" t="s">
        <v>363</v>
      </c>
      <c r="BM53" s="29">
        <v>0</v>
      </c>
      <c r="BN53" s="29">
        <v>1</v>
      </c>
      <c r="BO53" s="39" t="s">
        <v>364</v>
      </c>
      <c r="BP53" s="29" t="s">
        <v>139</v>
      </c>
      <c r="BQ53" s="29">
        <v>0</v>
      </c>
    </row>
    <row r="54" spans="1:70" s="42" customFormat="1" x14ac:dyDescent="0.25">
      <c r="A54" s="40"/>
      <c r="B54" s="41">
        <v>394341</v>
      </c>
      <c r="D54" s="42" t="s">
        <v>372</v>
      </c>
      <c r="E54" s="42" t="s">
        <v>373</v>
      </c>
      <c r="F54" s="42" t="s">
        <v>374</v>
      </c>
      <c r="G54" s="42" t="s">
        <v>374</v>
      </c>
      <c r="H54" s="42" t="s">
        <v>150</v>
      </c>
      <c r="I54" s="44" t="s">
        <v>169</v>
      </c>
      <c r="J54" s="42">
        <f>VLOOKUP(I54,[1]locations!A:E,3,FALSE)</f>
        <v>101</v>
      </c>
      <c r="K54" s="42" t="str">
        <f>VLOOKUP(I54,[1]locations!A:E,5,FALSE)</f>
        <v>CAN</v>
      </c>
      <c r="L54" s="45">
        <v>1</v>
      </c>
      <c r="M54" s="46" t="s">
        <v>375</v>
      </c>
      <c r="N54" s="46" t="s">
        <v>376</v>
      </c>
      <c r="O54" s="47" t="s">
        <v>129</v>
      </c>
      <c r="P54" s="46" t="s">
        <v>130</v>
      </c>
      <c r="Q54" s="46">
        <v>1</v>
      </c>
      <c r="R54" s="46">
        <v>1</v>
      </c>
      <c r="S54" s="46" t="s">
        <v>131</v>
      </c>
      <c r="T54" s="42" t="s">
        <v>275</v>
      </c>
      <c r="W54" s="42">
        <v>37</v>
      </c>
      <c r="Y54" s="42">
        <v>2500</v>
      </c>
      <c r="Z54" s="48" t="s">
        <v>133</v>
      </c>
      <c r="AA54" s="44">
        <v>2005</v>
      </c>
      <c r="AB54" s="42">
        <v>2012</v>
      </c>
      <c r="AC54" s="45">
        <v>0</v>
      </c>
      <c r="AD54" s="46">
        <v>0</v>
      </c>
      <c r="AE54" s="42">
        <v>0</v>
      </c>
      <c r="AF54" s="44" t="s">
        <v>166</v>
      </c>
      <c r="AG54" s="42">
        <v>0.96</v>
      </c>
      <c r="AH54" s="42">
        <v>0.92900000000000005</v>
      </c>
      <c r="AI54" s="42">
        <v>0.99199999999999999</v>
      </c>
      <c r="AJ54" s="44"/>
      <c r="AK54" s="42">
        <v>39740</v>
      </c>
      <c r="AL54" s="42">
        <v>818400</v>
      </c>
      <c r="AM54" s="42">
        <v>95</v>
      </c>
      <c r="AN54" s="44">
        <v>0</v>
      </c>
      <c r="AO54" s="42">
        <v>0</v>
      </c>
      <c r="AP54" s="42" t="s">
        <v>377</v>
      </c>
      <c r="AQ54" s="42">
        <v>0</v>
      </c>
      <c r="AR54" s="42">
        <v>1</v>
      </c>
      <c r="AS54" s="42">
        <v>0</v>
      </c>
      <c r="AT54" s="42">
        <v>0</v>
      </c>
      <c r="AU54" s="42">
        <v>0</v>
      </c>
      <c r="AV54" s="42">
        <v>1</v>
      </c>
      <c r="AW54" s="42">
        <v>0</v>
      </c>
      <c r="AX54" s="42" t="s">
        <v>378</v>
      </c>
      <c r="AY54" s="42" t="s">
        <v>557</v>
      </c>
      <c r="AZ54" s="42" t="s">
        <v>557</v>
      </c>
      <c r="BB54" s="42" t="s">
        <v>379</v>
      </c>
      <c r="BC54" s="44">
        <v>2</v>
      </c>
      <c r="BD54" s="44"/>
      <c r="BE54" s="42">
        <v>6</v>
      </c>
      <c r="BF54" s="42">
        <v>11.71</v>
      </c>
      <c r="BH54" s="42">
        <v>9.07</v>
      </c>
      <c r="BI54" s="42">
        <v>1.7</v>
      </c>
      <c r="BJ54" s="42">
        <v>9.1999999999999993</v>
      </c>
      <c r="BK54" s="42">
        <v>2.0099999999999998</v>
      </c>
      <c r="BL54" s="44" t="s">
        <v>380</v>
      </c>
      <c r="BM54" s="42">
        <v>0</v>
      </c>
      <c r="BN54" s="42">
        <v>1</v>
      </c>
      <c r="BP54" s="42" t="s">
        <v>139</v>
      </c>
      <c r="BQ54" s="42">
        <v>0</v>
      </c>
    </row>
    <row r="55" spans="1:70" s="42" customFormat="1" x14ac:dyDescent="0.25">
      <c r="A55" s="40"/>
      <c r="B55" s="41">
        <v>394341</v>
      </c>
      <c r="D55" s="42" t="s">
        <v>372</v>
      </c>
      <c r="E55" s="42" t="s">
        <v>373</v>
      </c>
      <c r="F55" s="42" t="s">
        <v>233</v>
      </c>
      <c r="G55" s="42" t="s">
        <v>374</v>
      </c>
      <c r="H55" s="42" t="s">
        <v>150</v>
      </c>
      <c r="I55" s="44" t="s">
        <v>169</v>
      </c>
      <c r="J55" s="42">
        <f>VLOOKUP(I55,[1]locations!A:E,3,FALSE)</f>
        <v>101</v>
      </c>
      <c r="K55" s="42" t="str">
        <f>VLOOKUP(I55,[1]locations!A:E,5,FALSE)</f>
        <v>CAN</v>
      </c>
      <c r="L55" s="45">
        <v>1</v>
      </c>
      <c r="M55" s="46" t="s">
        <v>375</v>
      </c>
      <c r="N55" s="46" t="s">
        <v>376</v>
      </c>
      <c r="O55" s="47" t="s">
        <v>129</v>
      </c>
      <c r="P55" s="46" t="s">
        <v>177</v>
      </c>
      <c r="Q55" s="46">
        <v>1</v>
      </c>
      <c r="R55" s="46">
        <v>1</v>
      </c>
      <c r="S55" s="46" t="s">
        <v>131</v>
      </c>
      <c r="T55" s="42" t="s">
        <v>178</v>
      </c>
      <c r="Y55" s="42">
        <v>37</v>
      </c>
      <c r="Z55" s="48" t="s">
        <v>133</v>
      </c>
      <c r="AA55" s="44">
        <v>2005</v>
      </c>
      <c r="AB55" s="42">
        <v>2012</v>
      </c>
      <c r="AC55" s="45">
        <v>0</v>
      </c>
      <c r="AD55" s="46">
        <v>0</v>
      </c>
      <c r="AE55" s="42">
        <v>0</v>
      </c>
      <c r="AF55" s="44" t="s">
        <v>166</v>
      </c>
      <c r="AG55" s="42">
        <v>1.04</v>
      </c>
      <c r="AH55" s="42">
        <v>1.024</v>
      </c>
      <c r="AI55" s="42">
        <v>1.056</v>
      </c>
      <c r="AJ55" s="44"/>
      <c r="AK55" s="42">
        <v>51144</v>
      </c>
      <c r="AL55" s="42">
        <v>818400</v>
      </c>
      <c r="AM55" s="42">
        <v>95</v>
      </c>
      <c r="AN55" s="44">
        <v>0</v>
      </c>
      <c r="AO55" s="42">
        <v>0</v>
      </c>
      <c r="AP55" s="42" t="s">
        <v>377</v>
      </c>
      <c r="AQ55" s="42">
        <v>0</v>
      </c>
      <c r="AR55" s="42">
        <v>1</v>
      </c>
      <c r="AS55" s="42">
        <v>0</v>
      </c>
      <c r="AT55" s="42">
        <v>0</v>
      </c>
      <c r="AU55" s="42">
        <v>0</v>
      </c>
      <c r="AV55" s="42">
        <v>1</v>
      </c>
      <c r="AW55" s="42">
        <v>0</v>
      </c>
      <c r="AX55" s="42" t="s">
        <v>378</v>
      </c>
      <c r="AY55" s="42" t="s">
        <v>557</v>
      </c>
      <c r="AZ55" s="42" t="s">
        <v>557</v>
      </c>
      <c r="BB55" s="42" t="s">
        <v>379</v>
      </c>
      <c r="BC55" s="44">
        <v>2</v>
      </c>
      <c r="BD55" s="44"/>
      <c r="BE55" s="42">
        <v>6</v>
      </c>
      <c r="BF55" s="42">
        <v>11.71</v>
      </c>
      <c r="BH55" s="42">
        <v>9.07</v>
      </c>
      <c r="BI55" s="42">
        <v>1.7</v>
      </c>
      <c r="BJ55" s="42">
        <v>9.1999999999999993</v>
      </c>
      <c r="BK55" s="42">
        <v>2.0099999999999998</v>
      </c>
      <c r="BL55" s="44" t="s">
        <v>380</v>
      </c>
      <c r="BM55" s="42">
        <v>0</v>
      </c>
      <c r="BN55" s="42">
        <v>1</v>
      </c>
      <c r="BP55" s="42" t="s">
        <v>139</v>
      </c>
      <c r="BQ55" s="42">
        <v>0</v>
      </c>
    </row>
    <row r="56" spans="1:70" s="29" customFormat="1" x14ac:dyDescent="0.25">
      <c r="A56" s="50"/>
      <c r="B56" s="51">
        <v>394343</v>
      </c>
      <c r="D56" s="29" t="s">
        <v>381</v>
      </c>
      <c r="E56" s="29" t="s">
        <v>382</v>
      </c>
      <c r="F56" s="29">
        <v>200</v>
      </c>
      <c r="G56" s="30">
        <v>4</v>
      </c>
      <c r="H56" s="29" t="s">
        <v>125</v>
      </c>
      <c r="I56" s="31" t="s">
        <v>383</v>
      </c>
      <c r="J56" s="30">
        <f>VLOOKUP(I56,[1]locations!A:E,3,FALSE)</f>
        <v>503</v>
      </c>
      <c r="K56" s="30" t="str">
        <f>VLOOKUP(I56,[1]locations!A:E,5,FALSE)</f>
        <v>CHN_503</v>
      </c>
      <c r="L56" s="32">
        <v>1</v>
      </c>
      <c r="M56" s="33" t="s">
        <v>384</v>
      </c>
      <c r="N56" s="33" t="s">
        <v>385</v>
      </c>
      <c r="O56" s="34" t="s">
        <v>129</v>
      </c>
      <c r="P56" s="33" t="s">
        <v>177</v>
      </c>
      <c r="Q56" s="33">
        <v>1</v>
      </c>
      <c r="R56" s="54">
        <v>1</v>
      </c>
      <c r="S56" s="33" t="s">
        <v>131</v>
      </c>
      <c r="T56" s="29" t="s">
        <v>178</v>
      </c>
      <c r="U56" s="29">
        <v>500</v>
      </c>
      <c r="V56" s="29">
        <v>5000</v>
      </c>
      <c r="W56" s="29">
        <v>20</v>
      </c>
      <c r="X56" s="29">
        <v>46</v>
      </c>
      <c r="Y56" s="29">
        <v>37</v>
      </c>
      <c r="Z56" s="35" t="s">
        <v>133</v>
      </c>
      <c r="AA56" s="36">
        <v>2011</v>
      </c>
      <c r="AB56" s="30">
        <v>2013</v>
      </c>
      <c r="AC56" s="53">
        <v>0</v>
      </c>
      <c r="AD56" s="54">
        <v>0</v>
      </c>
      <c r="AE56" s="30">
        <v>0</v>
      </c>
      <c r="AF56" s="31" t="s">
        <v>166</v>
      </c>
      <c r="AG56" s="29">
        <v>1.03</v>
      </c>
      <c r="AH56" s="29">
        <v>1.02</v>
      </c>
      <c r="AI56" s="29">
        <v>1.05</v>
      </c>
      <c r="AJ56" s="31"/>
      <c r="AK56" s="29">
        <v>4308</v>
      </c>
      <c r="AL56" s="29">
        <v>95911</v>
      </c>
      <c r="AM56" s="30">
        <v>95</v>
      </c>
      <c r="AN56" s="36">
        <v>0</v>
      </c>
      <c r="AO56" s="30">
        <v>1</v>
      </c>
      <c r="AP56" s="30" t="s">
        <v>386</v>
      </c>
      <c r="AQ56" s="30">
        <v>0</v>
      </c>
      <c r="AR56" s="30">
        <v>0</v>
      </c>
      <c r="AS56" s="30">
        <v>0</v>
      </c>
      <c r="AT56" s="30">
        <v>0</v>
      </c>
      <c r="AU56" s="30">
        <v>0</v>
      </c>
      <c r="AV56" s="30">
        <v>1</v>
      </c>
      <c r="AW56" s="30">
        <v>2</v>
      </c>
      <c r="AX56" s="29" t="s">
        <v>387</v>
      </c>
      <c r="AY56" s="29" t="s">
        <v>555</v>
      </c>
      <c r="AZ56" s="29" t="s">
        <v>555</v>
      </c>
      <c r="BA56" s="30">
        <v>1</v>
      </c>
      <c r="BB56" s="30">
        <v>94</v>
      </c>
      <c r="BC56" s="31">
        <v>5</v>
      </c>
      <c r="BD56" s="31">
        <v>47</v>
      </c>
      <c r="BG56" s="29">
        <v>119</v>
      </c>
      <c r="BH56" s="29">
        <v>70.8</v>
      </c>
      <c r="BL56" s="31" t="s">
        <v>388</v>
      </c>
      <c r="BM56" s="29">
        <v>0</v>
      </c>
      <c r="BN56" s="29">
        <v>1</v>
      </c>
      <c r="BP56" s="29" t="s">
        <v>139</v>
      </c>
      <c r="BQ56" s="29">
        <v>0</v>
      </c>
    </row>
    <row r="57" spans="1:70" s="42" customFormat="1" x14ac:dyDescent="0.25">
      <c r="A57" s="40"/>
      <c r="B57" s="41">
        <v>394435</v>
      </c>
      <c r="D57" s="42" t="s">
        <v>389</v>
      </c>
      <c r="E57" s="42" t="s">
        <v>390</v>
      </c>
      <c r="F57" s="42" t="s">
        <v>374</v>
      </c>
      <c r="G57" s="42" t="s">
        <v>391</v>
      </c>
      <c r="H57" s="42" t="s">
        <v>150</v>
      </c>
      <c r="I57" s="44" t="s">
        <v>151</v>
      </c>
      <c r="J57" s="42">
        <f>VLOOKUP(I57,[1]locations!A:E,3,FALSE)</f>
        <v>527</v>
      </c>
      <c r="K57" s="42" t="str">
        <f>VLOOKUP(I57,[1]locations!A:E,5,FALSE)</f>
        <v>USA_527</v>
      </c>
      <c r="L57" s="45">
        <v>0</v>
      </c>
      <c r="M57" s="46"/>
      <c r="N57" s="46" t="s">
        <v>392</v>
      </c>
      <c r="O57" s="47" t="s">
        <v>129</v>
      </c>
      <c r="P57" s="46" t="s">
        <v>177</v>
      </c>
      <c r="Q57" s="46">
        <v>1</v>
      </c>
      <c r="R57" s="46">
        <v>1</v>
      </c>
      <c r="S57" s="46" t="s">
        <v>131</v>
      </c>
      <c r="T57" s="42" t="s">
        <v>178</v>
      </c>
      <c r="Y57" s="42">
        <v>37</v>
      </c>
      <c r="Z57" s="48" t="s">
        <v>133</v>
      </c>
      <c r="AA57" s="44">
        <v>2005</v>
      </c>
      <c r="AB57" s="42">
        <v>2010</v>
      </c>
      <c r="AC57" s="45">
        <v>0</v>
      </c>
      <c r="AD57" s="46">
        <v>0</v>
      </c>
      <c r="AE57" s="42">
        <v>0</v>
      </c>
      <c r="AF57" s="44" t="s">
        <v>188</v>
      </c>
      <c r="AG57" s="42">
        <v>1.0009999999999999</v>
      </c>
      <c r="AH57" s="42">
        <v>1.0008999999999999</v>
      </c>
      <c r="AI57" s="42">
        <v>1.002</v>
      </c>
      <c r="AJ57" s="44"/>
      <c r="AK57" s="42">
        <v>86012</v>
      </c>
      <c r="AL57" s="42">
        <v>1066783</v>
      </c>
      <c r="AM57" s="42">
        <v>95</v>
      </c>
      <c r="AN57" s="44">
        <v>0</v>
      </c>
      <c r="AO57" s="42">
        <v>1</v>
      </c>
      <c r="AP57" s="42" t="s">
        <v>393</v>
      </c>
      <c r="AQ57" s="42">
        <v>0</v>
      </c>
      <c r="AR57" s="42">
        <v>1</v>
      </c>
      <c r="AS57" s="42">
        <v>0</v>
      </c>
      <c r="AT57" s="42">
        <v>0</v>
      </c>
      <c r="AU57" s="42">
        <v>0</v>
      </c>
      <c r="AV57" s="42">
        <v>1</v>
      </c>
      <c r="AW57" s="42">
        <v>2</v>
      </c>
      <c r="AX57" s="42" t="s">
        <v>394</v>
      </c>
      <c r="AY57" s="42" t="s">
        <v>558</v>
      </c>
      <c r="AZ57" s="42" t="s">
        <v>557</v>
      </c>
      <c r="BB57" s="42" t="s">
        <v>379</v>
      </c>
      <c r="BC57" s="44">
        <v>1</v>
      </c>
      <c r="BD57" s="44"/>
      <c r="BH57" s="42">
        <v>10.27</v>
      </c>
      <c r="BK57" s="42">
        <f>12.44-8.4</f>
        <v>4.0399999999999991</v>
      </c>
      <c r="BL57" s="44" t="s">
        <v>395</v>
      </c>
      <c r="BM57" s="42">
        <v>0</v>
      </c>
      <c r="BN57" s="42">
        <v>1</v>
      </c>
      <c r="BP57" s="42" t="s">
        <v>139</v>
      </c>
      <c r="BQ57" s="42">
        <v>0</v>
      </c>
    </row>
    <row r="58" spans="1:70" s="42" customFormat="1" x14ac:dyDescent="0.25">
      <c r="A58" s="40"/>
      <c r="B58" s="41">
        <v>394435</v>
      </c>
      <c r="D58" s="42" t="s">
        <v>389</v>
      </c>
      <c r="E58" s="42" t="s">
        <v>390</v>
      </c>
      <c r="F58" s="42" t="s">
        <v>396</v>
      </c>
      <c r="G58" s="42" t="s">
        <v>397</v>
      </c>
      <c r="H58" s="42" t="s">
        <v>150</v>
      </c>
      <c r="I58" s="44" t="s">
        <v>151</v>
      </c>
      <c r="J58" s="42">
        <f>VLOOKUP(I58,[1]locations!A:E,3,FALSE)</f>
        <v>527</v>
      </c>
      <c r="K58" s="42" t="str">
        <f>VLOOKUP(I58,[1]locations!A:E,5,FALSE)</f>
        <v>USA_527</v>
      </c>
      <c r="L58" s="45">
        <v>0</v>
      </c>
      <c r="M58" s="46"/>
      <c r="N58" s="46" t="s">
        <v>392</v>
      </c>
      <c r="O58" s="47" t="s">
        <v>129</v>
      </c>
      <c r="P58" s="46" t="s">
        <v>177</v>
      </c>
      <c r="Q58" s="46">
        <v>1</v>
      </c>
      <c r="R58" s="46">
        <v>0</v>
      </c>
      <c r="S58" s="46" t="s">
        <v>131</v>
      </c>
      <c r="T58" s="42" t="s">
        <v>367</v>
      </c>
      <c r="W58" s="42">
        <v>20</v>
      </c>
      <c r="Y58" s="42">
        <v>33</v>
      </c>
      <c r="Z58" s="48" t="s">
        <v>133</v>
      </c>
      <c r="AA58" s="44">
        <v>2005</v>
      </c>
      <c r="AB58" s="42">
        <v>2010</v>
      </c>
      <c r="AC58" s="45">
        <v>0</v>
      </c>
      <c r="AD58" s="46">
        <v>0</v>
      </c>
      <c r="AE58" s="42">
        <v>0</v>
      </c>
      <c r="AF58" s="44" t="s">
        <v>188</v>
      </c>
      <c r="AG58" s="42">
        <v>1.0009999999999999</v>
      </c>
      <c r="AH58" s="42">
        <v>1.0008999999999999</v>
      </c>
      <c r="AI58" s="42">
        <v>1.002</v>
      </c>
      <c r="AJ58" s="44"/>
      <c r="AK58" s="42">
        <f>3914+4834</f>
        <v>8748</v>
      </c>
      <c r="AL58" s="42">
        <v>1066783</v>
      </c>
      <c r="AM58" s="42">
        <v>95</v>
      </c>
      <c r="AN58" s="44">
        <v>0</v>
      </c>
      <c r="AO58" s="42">
        <v>1</v>
      </c>
      <c r="AP58" s="42" t="s">
        <v>393</v>
      </c>
      <c r="AQ58" s="42">
        <v>0</v>
      </c>
      <c r="AR58" s="42">
        <v>1</v>
      </c>
      <c r="AS58" s="42">
        <v>0</v>
      </c>
      <c r="AT58" s="42">
        <v>0</v>
      </c>
      <c r="AU58" s="42">
        <v>0</v>
      </c>
      <c r="AV58" s="42">
        <v>1</v>
      </c>
      <c r="AW58" s="42">
        <v>2</v>
      </c>
      <c r="AX58" s="42" t="s">
        <v>394</v>
      </c>
      <c r="AY58" s="42" t="s">
        <v>558</v>
      </c>
      <c r="AZ58" s="42" t="s">
        <v>557</v>
      </c>
      <c r="BB58" s="42" t="s">
        <v>379</v>
      </c>
      <c r="BC58" s="44">
        <v>1</v>
      </c>
      <c r="BD58" s="44"/>
      <c r="BH58" s="42">
        <v>10.27</v>
      </c>
      <c r="BK58" s="42">
        <f>12.44-8.4</f>
        <v>4.0399999999999991</v>
      </c>
      <c r="BL58" s="44" t="s">
        <v>395</v>
      </c>
      <c r="BM58" s="42">
        <v>0</v>
      </c>
      <c r="BN58" s="42">
        <v>1</v>
      </c>
      <c r="BO58" s="42" t="s">
        <v>398</v>
      </c>
      <c r="BP58" s="42" t="s">
        <v>139</v>
      </c>
      <c r="BQ58" s="42">
        <v>0</v>
      </c>
    </row>
    <row r="59" spans="1:70" s="29" customFormat="1" x14ac:dyDescent="0.25">
      <c r="A59" s="50"/>
      <c r="B59" s="51">
        <v>394437</v>
      </c>
      <c r="D59" s="29" t="s">
        <v>399</v>
      </c>
      <c r="E59" s="29" t="s">
        <v>400</v>
      </c>
      <c r="F59" s="29">
        <v>219</v>
      </c>
      <c r="G59" s="30" t="s">
        <v>401</v>
      </c>
      <c r="H59" s="29" t="s">
        <v>150</v>
      </c>
      <c r="I59" s="31" t="s">
        <v>402</v>
      </c>
      <c r="J59" s="30">
        <f>VLOOKUP(I59,[1]locations!A:E,3,FALSE)</f>
        <v>434</v>
      </c>
      <c r="K59" s="30" t="str">
        <f>VLOOKUP(I59,[1]locations!A:E,5,FALSE)</f>
        <v>GBR_434</v>
      </c>
      <c r="L59" s="32">
        <v>1</v>
      </c>
      <c r="M59" s="33" t="s">
        <v>403</v>
      </c>
      <c r="N59" s="33" t="s">
        <v>404</v>
      </c>
      <c r="O59" s="34" t="s">
        <v>129</v>
      </c>
      <c r="P59" s="33" t="s">
        <v>130</v>
      </c>
      <c r="Q59" s="33">
        <v>1</v>
      </c>
      <c r="R59" s="33">
        <v>0</v>
      </c>
      <c r="S59" s="33" t="s">
        <v>131</v>
      </c>
      <c r="T59" s="29" t="s">
        <v>132</v>
      </c>
      <c r="Z59" s="35" t="s">
        <v>133</v>
      </c>
      <c r="AA59" s="36">
        <v>2002</v>
      </c>
      <c r="AB59" s="30">
        <v>2011</v>
      </c>
      <c r="AC59" s="53">
        <v>0</v>
      </c>
      <c r="AD59" s="54">
        <v>0</v>
      </c>
      <c r="AE59" s="30">
        <v>0</v>
      </c>
      <c r="AF59" s="31" t="s">
        <v>134</v>
      </c>
      <c r="AG59" s="30">
        <v>-29.8</v>
      </c>
      <c r="AH59" s="30">
        <v>-70.2</v>
      </c>
      <c r="AI59" s="30">
        <v>11.6</v>
      </c>
      <c r="AJ59" s="31"/>
      <c r="AL59" s="29">
        <v>13775</v>
      </c>
      <c r="AM59" s="30">
        <v>95</v>
      </c>
      <c r="AN59" s="36">
        <v>0</v>
      </c>
      <c r="AO59" s="30">
        <v>1</v>
      </c>
      <c r="AP59" s="30" t="s">
        <v>405</v>
      </c>
      <c r="AQ59" s="30">
        <v>0</v>
      </c>
      <c r="AR59" s="30">
        <v>1</v>
      </c>
      <c r="AS59" s="30">
        <v>0</v>
      </c>
      <c r="AT59" s="30">
        <v>0</v>
      </c>
      <c r="AU59" s="30">
        <v>0</v>
      </c>
      <c r="AV59" s="30">
        <v>1</v>
      </c>
      <c r="AW59" s="30">
        <v>1</v>
      </c>
      <c r="AX59" s="29" t="s">
        <v>406</v>
      </c>
      <c r="AY59" s="29" t="s">
        <v>556</v>
      </c>
      <c r="AZ59" s="29" t="s">
        <v>555</v>
      </c>
      <c r="BA59" s="30"/>
      <c r="BB59" s="30" t="s">
        <v>379</v>
      </c>
      <c r="BC59" s="31">
        <v>5</v>
      </c>
      <c r="BD59" s="31">
        <v>3.3</v>
      </c>
      <c r="BG59" s="29">
        <v>10.9</v>
      </c>
      <c r="BH59" s="29">
        <v>7.2</v>
      </c>
      <c r="BI59" s="29">
        <v>1.6</v>
      </c>
      <c r="BJ59" s="29">
        <v>7.3</v>
      </c>
      <c r="BK59" s="29">
        <v>2.6</v>
      </c>
      <c r="BL59" s="31" t="s">
        <v>407</v>
      </c>
      <c r="BM59" s="29">
        <v>0</v>
      </c>
      <c r="BN59" s="29">
        <v>1</v>
      </c>
      <c r="BO59" s="52" t="s">
        <v>408</v>
      </c>
      <c r="BP59" s="29" t="s">
        <v>139</v>
      </c>
      <c r="BQ59" s="29">
        <v>0</v>
      </c>
    </row>
    <row r="60" spans="1:70" s="42" customFormat="1" x14ac:dyDescent="0.25">
      <c r="A60" s="40"/>
      <c r="B60" s="41">
        <v>394440</v>
      </c>
      <c r="D60" s="42" t="s">
        <v>409</v>
      </c>
      <c r="E60" s="42" t="s">
        <v>410</v>
      </c>
      <c r="F60" s="42">
        <v>11</v>
      </c>
      <c r="G60" s="42">
        <v>2</v>
      </c>
      <c r="H60" s="42" t="s">
        <v>150</v>
      </c>
      <c r="I60" s="44" t="s">
        <v>411</v>
      </c>
      <c r="J60" s="42">
        <f>VLOOKUP(I60,[1]locations!A:E,3,FALSE)</f>
        <v>4624</v>
      </c>
      <c r="K60" s="42" t="str">
        <f>VLOOKUP(I60,[1]locations!A:E,5,FALSE)</f>
        <v>GBR_4624</v>
      </c>
      <c r="L60" s="45">
        <v>1</v>
      </c>
      <c r="M60" s="46" t="s">
        <v>412</v>
      </c>
      <c r="N60" s="46" t="s">
        <v>413</v>
      </c>
      <c r="O60" s="47" t="s">
        <v>129</v>
      </c>
      <c r="P60" s="46" t="s">
        <v>130</v>
      </c>
      <c r="Q60" s="46">
        <v>0</v>
      </c>
      <c r="R60" s="46">
        <v>1</v>
      </c>
      <c r="S60" s="46" t="s">
        <v>131</v>
      </c>
      <c r="T60" s="42" t="s">
        <v>256</v>
      </c>
      <c r="U60" s="42">
        <v>200</v>
      </c>
      <c r="V60" s="42">
        <v>9000</v>
      </c>
      <c r="W60" s="42">
        <v>37</v>
      </c>
      <c r="X60" s="42">
        <v>44</v>
      </c>
      <c r="Y60" s="42">
        <v>2500</v>
      </c>
      <c r="Z60" s="48" t="s">
        <v>133</v>
      </c>
      <c r="AA60" s="44">
        <v>2006</v>
      </c>
      <c r="AB60" s="42">
        <v>2010</v>
      </c>
      <c r="AC60" s="45">
        <v>0</v>
      </c>
      <c r="AD60" s="46">
        <v>0</v>
      </c>
      <c r="AE60" s="42">
        <v>0</v>
      </c>
      <c r="AF60" s="44" t="s">
        <v>166</v>
      </c>
      <c r="AG60" s="42">
        <v>1.06</v>
      </c>
      <c r="AH60" s="42">
        <v>1.01</v>
      </c>
      <c r="AI60" s="42">
        <v>1.1200000000000001</v>
      </c>
      <c r="AJ60" s="44"/>
      <c r="AK60" s="42">
        <v>14049</v>
      </c>
      <c r="AL60" s="42">
        <v>540365</v>
      </c>
      <c r="AM60" s="42">
        <v>95</v>
      </c>
      <c r="AN60" s="44">
        <v>0</v>
      </c>
      <c r="AO60" s="42">
        <v>0</v>
      </c>
      <c r="AP60" s="42" t="s">
        <v>414</v>
      </c>
      <c r="AQ60" s="42">
        <v>0</v>
      </c>
      <c r="AR60" s="42">
        <v>0</v>
      </c>
      <c r="AS60" s="42">
        <v>0</v>
      </c>
      <c r="AT60" s="42">
        <v>0</v>
      </c>
      <c r="AU60" s="42">
        <v>0</v>
      </c>
      <c r="AV60" s="42">
        <v>1</v>
      </c>
      <c r="AW60" s="42">
        <v>1</v>
      </c>
      <c r="AX60" s="42" t="s">
        <v>415</v>
      </c>
      <c r="AY60" s="42" t="s">
        <v>556</v>
      </c>
      <c r="AZ60" s="42" t="s">
        <v>557</v>
      </c>
      <c r="BA60" s="42">
        <v>2</v>
      </c>
      <c r="BB60" s="42" t="s">
        <v>416</v>
      </c>
      <c r="BC60" s="44">
        <v>2.2000000000000002</v>
      </c>
      <c r="BD60" s="44">
        <v>10.9</v>
      </c>
      <c r="BG60" s="42">
        <v>26.6</v>
      </c>
      <c r="BH60" s="42">
        <v>14.4</v>
      </c>
      <c r="BI60" s="42">
        <v>1.4</v>
      </c>
      <c r="BK60" s="42">
        <v>2.2000000000000002</v>
      </c>
      <c r="BL60" s="44" t="s">
        <v>417</v>
      </c>
      <c r="BM60" s="42">
        <v>0</v>
      </c>
      <c r="BN60" s="42">
        <v>1</v>
      </c>
      <c r="BP60" s="42" t="s">
        <v>139</v>
      </c>
      <c r="BQ60" s="42">
        <v>0</v>
      </c>
    </row>
    <row r="61" spans="1:70" s="42" customFormat="1" x14ac:dyDescent="0.25">
      <c r="A61" s="40"/>
      <c r="B61" s="41">
        <v>394440</v>
      </c>
      <c r="D61" s="42" t="s">
        <v>409</v>
      </c>
      <c r="E61" s="42" t="s">
        <v>410</v>
      </c>
      <c r="G61" s="42" t="s">
        <v>233</v>
      </c>
      <c r="H61" s="42" t="s">
        <v>150</v>
      </c>
      <c r="I61" s="44" t="s">
        <v>411</v>
      </c>
      <c r="J61" s="42">
        <f>VLOOKUP(I61,[1]locations!A:E,3,FALSE)</f>
        <v>4624</v>
      </c>
      <c r="K61" s="42" t="str">
        <f>VLOOKUP(I61,[1]locations!A:E,5,FALSE)</f>
        <v>GBR_4624</v>
      </c>
      <c r="L61" s="45">
        <v>1</v>
      </c>
      <c r="M61" s="46" t="s">
        <v>412</v>
      </c>
      <c r="N61" s="46" t="s">
        <v>413</v>
      </c>
      <c r="O61" s="47" t="s">
        <v>129</v>
      </c>
      <c r="P61" s="46" t="s">
        <v>130</v>
      </c>
      <c r="Q61" s="46">
        <v>1</v>
      </c>
      <c r="R61" s="46">
        <v>0</v>
      </c>
      <c r="S61" s="46" t="s">
        <v>131</v>
      </c>
      <c r="T61" s="42" t="s">
        <v>418</v>
      </c>
      <c r="U61" s="42">
        <v>200</v>
      </c>
      <c r="V61" s="42">
        <v>9000</v>
      </c>
      <c r="W61" s="42">
        <v>37</v>
      </c>
      <c r="X61" s="42">
        <v>44</v>
      </c>
      <c r="Z61" s="48" t="s">
        <v>133</v>
      </c>
      <c r="AA61" s="44">
        <v>2006</v>
      </c>
      <c r="AB61" s="42">
        <v>2010</v>
      </c>
      <c r="AC61" s="45">
        <v>0</v>
      </c>
      <c r="AD61" s="46">
        <v>0</v>
      </c>
      <c r="AE61" s="42">
        <v>0</v>
      </c>
      <c r="AF61" s="44" t="s">
        <v>134</v>
      </c>
      <c r="AG61" s="42">
        <v>-12.94</v>
      </c>
      <c r="AH61" s="42">
        <v>-16.41</v>
      </c>
      <c r="AI61" s="42">
        <v>-9.4700000000000006</v>
      </c>
      <c r="AJ61" s="44"/>
      <c r="AL61" s="42">
        <v>540365</v>
      </c>
      <c r="AM61" s="42">
        <v>95</v>
      </c>
      <c r="AN61" s="44">
        <v>0</v>
      </c>
      <c r="AO61" s="42">
        <v>0</v>
      </c>
      <c r="AP61" s="42" t="s">
        <v>414</v>
      </c>
      <c r="AQ61" s="42">
        <v>0</v>
      </c>
      <c r="AR61" s="42">
        <v>0</v>
      </c>
      <c r="AS61" s="42">
        <v>0</v>
      </c>
      <c r="AT61" s="42">
        <v>0</v>
      </c>
      <c r="AU61" s="42">
        <v>0</v>
      </c>
      <c r="AV61" s="42">
        <v>1</v>
      </c>
      <c r="AW61" s="42">
        <v>1</v>
      </c>
      <c r="AX61" s="42" t="s">
        <v>562</v>
      </c>
      <c r="AY61" s="42" t="s">
        <v>556</v>
      </c>
      <c r="AZ61" s="42" t="s">
        <v>557</v>
      </c>
      <c r="BA61" s="42">
        <v>2</v>
      </c>
      <c r="BB61" s="42" t="s">
        <v>416</v>
      </c>
      <c r="BC61" s="44">
        <v>2.2000000000000002</v>
      </c>
      <c r="BD61" s="44">
        <v>10.9</v>
      </c>
      <c r="BG61" s="42">
        <v>26.6</v>
      </c>
      <c r="BH61" s="42">
        <v>14.4</v>
      </c>
      <c r="BI61" s="42">
        <v>1.4</v>
      </c>
      <c r="BK61" s="42">
        <v>2.2000000000000002</v>
      </c>
      <c r="BL61" s="44" t="s">
        <v>417</v>
      </c>
      <c r="BM61" s="42">
        <v>0</v>
      </c>
      <c r="BN61" s="42">
        <v>1</v>
      </c>
      <c r="BO61" s="42" t="s">
        <v>419</v>
      </c>
      <c r="BP61" s="42" t="s">
        <v>139</v>
      </c>
      <c r="BQ61" s="42">
        <v>0</v>
      </c>
    </row>
    <row r="62" spans="1:70" s="29" customFormat="1" x14ac:dyDescent="0.25">
      <c r="A62" s="50"/>
      <c r="B62" s="51">
        <v>394443</v>
      </c>
      <c r="D62" s="29" t="s">
        <v>420</v>
      </c>
      <c r="E62" s="29" t="s">
        <v>421</v>
      </c>
      <c r="F62" s="29">
        <v>529</v>
      </c>
      <c r="G62" s="30">
        <v>3</v>
      </c>
      <c r="H62" s="29" t="s">
        <v>125</v>
      </c>
      <c r="I62" s="31" t="s">
        <v>422</v>
      </c>
      <c r="J62" s="59" t="s">
        <v>423</v>
      </c>
      <c r="K62" s="30" t="e">
        <f ca="1">INDEX([1]locations!I:I,MATCH((INDIRECT("I"&amp;ROW())),[1]locations!E:E,0))</f>
        <v>#N/A</v>
      </c>
      <c r="L62" s="32">
        <v>1</v>
      </c>
      <c r="M62" s="33" t="s">
        <v>424</v>
      </c>
      <c r="N62" s="33" t="s">
        <v>425</v>
      </c>
      <c r="O62" s="34" t="s">
        <v>129</v>
      </c>
      <c r="P62" s="33" t="s">
        <v>130</v>
      </c>
      <c r="Q62" s="33">
        <v>1</v>
      </c>
      <c r="R62" s="33">
        <v>0</v>
      </c>
      <c r="S62" s="33" t="s">
        <v>131</v>
      </c>
      <c r="T62" s="29" t="s">
        <v>132</v>
      </c>
      <c r="Z62" s="35" t="s">
        <v>133</v>
      </c>
      <c r="AA62" s="36">
        <v>2010</v>
      </c>
      <c r="AB62" s="30">
        <v>2015</v>
      </c>
      <c r="AC62" s="53">
        <v>0</v>
      </c>
      <c r="AD62" s="54">
        <v>0</v>
      </c>
      <c r="AE62" s="30">
        <v>0</v>
      </c>
      <c r="AF62" s="31" t="s">
        <v>134</v>
      </c>
      <c r="AG62" s="30">
        <v>-3.9220000000000002</v>
      </c>
      <c r="AH62" s="30">
        <v>-6.7610000000000001</v>
      </c>
      <c r="AI62" s="30">
        <v>-1.083</v>
      </c>
      <c r="AJ62" s="31"/>
      <c r="AL62" s="29">
        <v>1121</v>
      </c>
      <c r="AM62" s="30">
        <v>95</v>
      </c>
      <c r="AN62" s="36">
        <v>0</v>
      </c>
      <c r="AO62" s="30">
        <v>0</v>
      </c>
      <c r="AP62" s="30" t="s">
        <v>426</v>
      </c>
      <c r="AQ62" s="30">
        <v>0</v>
      </c>
      <c r="AR62" s="30">
        <v>0</v>
      </c>
      <c r="AS62" s="30">
        <v>0</v>
      </c>
      <c r="AT62" s="30">
        <v>0</v>
      </c>
      <c r="AU62" s="30">
        <v>0</v>
      </c>
      <c r="AV62" s="30">
        <v>1</v>
      </c>
      <c r="AW62" s="30">
        <v>1</v>
      </c>
      <c r="AX62" s="29" t="s">
        <v>563</v>
      </c>
      <c r="AY62" s="29" t="s">
        <v>556</v>
      </c>
      <c r="AZ62" s="29" t="s">
        <v>556</v>
      </c>
      <c r="BA62" s="30">
        <v>2</v>
      </c>
      <c r="BB62" s="30">
        <v>80</v>
      </c>
      <c r="BC62" s="31">
        <v>10</v>
      </c>
      <c r="BD62" s="31">
        <v>2</v>
      </c>
      <c r="BG62" s="29">
        <v>800</v>
      </c>
      <c r="BH62" s="29">
        <v>88.7</v>
      </c>
      <c r="BI62" s="29">
        <v>101.1</v>
      </c>
      <c r="BL62" s="31" t="s">
        <v>427</v>
      </c>
      <c r="BM62" s="29">
        <v>0</v>
      </c>
      <c r="BN62" s="29">
        <v>1</v>
      </c>
      <c r="BO62" s="29" t="s">
        <v>428</v>
      </c>
      <c r="BP62" s="29" t="s">
        <v>139</v>
      </c>
      <c r="BQ62" s="29">
        <v>0</v>
      </c>
    </row>
    <row r="63" spans="1:70" s="29" customFormat="1" x14ac:dyDescent="0.25">
      <c r="A63" s="50"/>
      <c r="B63" s="51">
        <v>394443</v>
      </c>
      <c r="D63" s="29" t="s">
        <v>420</v>
      </c>
      <c r="E63" s="29" t="s">
        <v>421</v>
      </c>
      <c r="F63" s="29">
        <v>529</v>
      </c>
      <c r="G63" s="30">
        <v>3</v>
      </c>
      <c r="H63" s="29" t="s">
        <v>125</v>
      </c>
      <c r="I63" s="31" t="s">
        <v>422</v>
      </c>
      <c r="J63" s="59" t="s">
        <v>423</v>
      </c>
      <c r="K63" s="30" t="e">
        <f ca="1">INDEX([1]locations!I:I,MATCH((INDIRECT("I"&amp;ROW())),[1]locations!E:E,0))</f>
        <v>#N/A</v>
      </c>
      <c r="L63" s="32">
        <v>1</v>
      </c>
      <c r="M63" s="33" t="s">
        <v>424</v>
      </c>
      <c r="N63" s="33" t="s">
        <v>425</v>
      </c>
      <c r="O63" s="34" t="s">
        <v>129</v>
      </c>
      <c r="P63" s="33" t="s">
        <v>130</v>
      </c>
      <c r="Q63" s="33">
        <v>0</v>
      </c>
      <c r="R63" s="54">
        <v>1</v>
      </c>
      <c r="S63" s="33" t="s">
        <v>131</v>
      </c>
      <c r="T63" s="29" t="s">
        <v>429</v>
      </c>
      <c r="Y63" s="29">
        <v>2500</v>
      </c>
      <c r="Z63" s="35" t="s">
        <v>133</v>
      </c>
      <c r="AA63" s="36">
        <v>2010</v>
      </c>
      <c r="AB63" s="30">
        <v>2015</v>
      </c>
      <c r="AC63" s="53">
        <v>0</v>
      </c>
      <c r="AD63" s="54">
        <v>0</v>
      </c>
      <c r="AE63" s="30">
        <v>0</v>
      </c>
      <c r="AF63" s="31" t="s">
        <v>166</v>
      </c>
      <c r="AG63" s="30">
        <v>1.0232000000000001</v>
      </c>
      <c r="AH63" s="30">
        <v>1.0054000000000001</v>
      </c>
      <c r="AI63" s="30">
        <v>1.0412999999999999</v>
      </c>
      <c r="AJ63" s="31"/>
      <c r="AK63" s="29">
        <v>180</v>
      </c>
      <c r="AL63" s="29">
        <v>1121</v>
      </c>
      <c r="AM63" s="30">
        <v>95</v>
      </c>
      <c r="AN63" s="36">
        <v>0</v>
      </c>
      <c r="AO63" s="30">
        <v>0</v>
      </c>
      <c r="AP63" s="30" t="s">
        <v>426</v>
      </c>
      <c r="AQ63" s="30">
        <v>0</v>
      </c>
      <c r="AR63" s="30">
        <v>0</v>
      </c>
      <c r="AS63" s="30">
        <v>0</v>
      </c>
      <c r="AT63" s="30">
        <v>0</v>
      </c>
      <c r="AU63" s="30">
        <v>0</v>
      </c>
      <c r="AV63" s="30">
        <v>1</v>
      </c>
      <c r="AW63" s="30">
        <v>1</v>
      </c>
      <c r="AX63" s="29" t="s">
        <v>563</v>
      </c>
      <c r="AY63" s="29" t="s">
        <v>556</v>
      </c>
      <c r="AZ63" s="29" t="s">
        <v>556</v>
      </c>
      <c r="BA63" s="30">
        <v>2</v>
      </c>
      <c r="BB63" s="30">
        <v>80</v>
      </c>
      <c r="BC63" s="31">
        <v>10</v>
      </c>
      <c r="BD63" s="31">
        <v>2</v>
      </c>
      <c r="BG63" s="29">
        <v>800</v>
      </c>
      <c r="BH63" s="29">
        <v>88.7</v>
      </c>
      <c r="BI63" s="29">
        <v>101.1</v>
      </c>
      <c r="BL63" s="31" t="s">
        <v>427</v>
      </c>
      <c r="BM63" s="29">
        <v>0</v>
      </c>
      <c r="BN63" s="29">
        <v>1</v>
      </c>
      <c r="BO63" s="29" t="s">
        <v>428</v>
      </c>
      <c r="BP63" s="29" t="s">
        <v>139</v>
      </c>
      <c r="BQ63" s="29">
        <v>0</v>
      </c>
    </row>
    <row r="64" spans="1:70" s="42" customFormat="1" hidden="1" x14ac:dyDescent="0.25">
      <c r="A64" s="58"/>
      <c r="D64" s="42" t="s">
        <v>430</v>
      </c>
      <c r="E64" s="42" t="s">
        <v>431</v>
      </c>
      <c r="F64" s="42">
        <v>1775</v>
      </c>
      <c r="G64" s="42">
        <v>3</v>
      </c>
      <c r="H64" s="42" t="s">
        <v>150</v>
      </c>
      <c r="I64" s="44" t="s">
        <v>151</v>
      </c>
      <c r="J64" s="42" t="e">
        <f ca="1">INDEX([1]locations!G:G,MATCH((INDIRECT("I"&amp;ROW())),[1]locations!E:E,0))</f>
        <v>#N/A</v>
      </c>
      <c r="K64" s="42" t="e">
        <f ca="1">INDEX([1]locations!I:I,MATCH((INDIRECT("I"&amp;ROW())),[1]locations!E:E,0))</f>
        <v>#N/A</v>
      </c>
      <c r="L64" s="45">
        <v>1</v>
      </c>
      <c r="M64" s="46" t="s">
        <v>250</v>
      </c>
      <c r="N64" s="46"/>
      <c r="O64" s="47" t="s">
        <v>129</v>
      </c>
      <c r="P64" s="46" t="s">
        <v>177</v>
      </c>
      <c r="Q64" s="46"/>
      <c r="R64" s="46">
        <v>1</v>
      </c>
      <c r="S64" s="46" t="s">
        <v>131</v>
      </c>
      <c r="T64" s="42" t="s">
        <v>290</v>
      </c>
      <c r="Y64" s="42">
        <v>37</v>
      </c>
      <c r="Z64" s="48" t="s">
        <v>133</v>
      </c>
      <c r="AA64" s="44">
        <v>1997</v>
      </c>
      <c r="AB64" s="42">
        <v>2006</v>
      </c>
      <c r="AC64" s="45">
        <v>0</v>
      </c>
      <c r="AD64" s="46">
        <v>0</v>
      </c>
      <c r="AE64" s="49">
        <v>0</v>
      </c>
      <c r="AF64" s="42" t="s">
        <v>166</v>
      </c>
      <c r="AG64" s="42">
        <v>1.03</v>
      </c>
      <c r="AH64" s="42">
        <v>1.01</v>
      </c>
      <c r="AI64" s="49">
        <v>1.06</v>
      </c>
      <c r="AK64" s="42">
        <v>6712</v>
      </c>
      <c r="AL64" s="42">
        <v>81186</v>
      </c>
      <c r="AM64" s="42">
        <v>95</v>
      </c>
      <c r="AN64" s="44">
        <v>0</v>
      </c>
      <c r="AQ64" s="42">
        <v>0</v>
      </c>
      <c r="AS64" s="42">
        <v>0</v>
      </c>
      <c r="AT64" s="42">
        <v>0</v>
      </c>
      <c r="AU64" s="42">
        <v>0</v>
      </c>
      <c r="AV64" s="42">
        <v>1</v>
      </c>
      <c r="AX64" s="42" t="s">
        <v>432</v>
      </c>
      <c r="BC64" s="49">
        <v>1.35</v>
      </c>
      <c r="BH64" s="42">
        <v>1.82</v>
      </c>
      <c r="BI64" s="42">
        <v>1.33</v>
      </c>
      <c r="BK64" s="49">
        <v>1.35</v>
      </c>
      <c r="BL64" s="42" t="s">
        <v>430</v>
      </c>
      <c r="BM64" s="42">
        <v>0</v>
      </c>
      <c r="BN64" s="42">
        <v>1</v>
      </c>
      <c r="BP64" s="42" t="s">
        <v>139</v>
      </c>
      <c r="BQ64" s="42">
        <v>1</v>
      </c>
      <c r="BR64" s="42" t="s">
        <v>433</v>
      </c>
    </row>
    <row r="65" spans="1:70" s="42" customFormat="1" hidden="1" x14ac:dyDescent="0.25">
      <c r="A65" s="58"/>
      <c r="D65" s="42" t="s">
        <v>430</v>
      </c>
      <c r="E65" s="42" t="s">
        <v>431</v>
      </c>
      <c r="F65" s="42">
        <v>1775</v>
      </c>
      <c r="G65" s="42">
        <v>3</v>
      </c>
      <c r="H65" s="42" t="s">
        <v>150</v>
      </c>
      <c r="I65" s="44" t="s">
        <v>151</v>
      </c>
      <c r="J65" s="42" t="e">
        <f ca="1">INDEX([1]locations!G:G,MATCH((INDIRECT("I"&amp;ROW())),[1]locations!E:E,0))</f>
        <v>#N/A</v>
      </c>
      <c r="K65" s="42" t="e">
        <f ca="1">INDEX([1]locations!I:I,MATCH((INDIRECT("I"&amp;ROW())),[1]locations!E:E,0))</f>
        <v>#N/A</v>
      </c>
      <c r="L65" s="45">
        <v>1</v>
      </c>
      <c r="M65" s="46" t="s">
        <v>250</v>
      </c>
      <c r="N65" s="46"/>
      <c r="O65" s="47" t="s">
        <v>129</v>
      </c>
      <c r="P65" s="46" t="s">
        <v>177</v>
      </c>
      <c r="Q65" s="46"/>
      <c r="R65" s="46"/>
      <c r="S65" s="46" t="s">
        <v>131</v>
      </c>
      <c r="T65" s="42" t="s">
        <v>434</v>
      </c>
      <c r="Y65" s="42">
        <v>35</v>
      </c>
      <c r="Z65" s="48" t="s">
        <v>133</v>
      </c>
      <c r="AA65" s="44">
        <v>1997</v>
      </c>
      <c r="AB65" s="42">
        <v>2006</v>
      </c>
      <c r="AC65" s="45">
        <v>0</v>
      </c>
      <c r="AD65" s="46">
        <v>0</v>
      </c>
      <c r="AE65" s="49">
        <v>0</v>
      </c>
      <c r="AF65" s="42" t="s">
        <v>166</v>
      </c>
      <c r="AG65" s="42">
        <v>1.07</v>
      </c>
      <c r="AH65" s="42">
        <v>1.03</v>
      </c>
      <c r="AI65" s="49">
        <v>1.1200000000000001</v>
      </c>
      <c r="AK65" s="42">
        <v>2749</v>
      </c>
      <c r="AL65" s="42">
        <v>81186</v>
      </c>
      <c r="AM65" s="42">
        <v>95</v>
      </c>
      <c r="AN65" s="44">
        <v>0</v>
      </c>
      <c r="AQ65" s="42">
        <v>0</v>
      </c>
      <c r="AS65" s="42">
        <v>0</v>
      </c>
      <c r="AT65" s="42">
        <v>0</v>
      </c>
      <c r="AU65" s="42">
        <v>0</v>
      </c>
      <c r="AV65" s="42">
        <v>1</v>
      </c>
      <c r="AX65" s="42" t="s">
        <v>432</v>
      </c>
      <c r="BC65" s="49">
        <v>1.35</v>
      </c>
      <c r="BH65" s="42">
        <v>1.82</v>
      </c>
      <c r="BI65" s="42">
        <v>1.33</v>
      </c>
      <c r="BK65" s="49">
        <v>1.35</v>
      </c>
      <c r="BL65" s="42" t="s">
        <v>430</v>
      </c>
      <c r="BM65" s="42">
        <v>0</v>
      </c>
      <c r="BN65" s="42">
        <v>1</v>
      </c>
      <c r="BO65" s="42" t="s">
        <v>435</v>
      </c>
      <c r="BP65" s="42" t="s">
        <v>139</v>
      </c>
      <c r="BQ65" s="42">
        <v>1</v>
      </c>
      <c r="BR65" s="42" t="s">
        <v>433</v>
      </c>
    </row>
    <row r="66" spans="1:70" s="42" customFormat="1" hidden="1" x14ac:dyDescent="0.25">
      <c r="A66" s="58"/>
      <c r="D66" s="42" t="s">
        <v>430</v>
      </c>
      <c r="E66" s="42" t="s">
        <v>431</v>
      </c>
      <c r="F66" s="42">
        <v>1775</v>
      </c>
      <c r="G66" s="42">
        <v>3</v>
      </c>
      <c r="H66" s="42" t="s">
        <v>150</v>
      </c>
      <c r="I66" s="44" t="s">
        <v>151</v>
      </c>
      <c r="J66" s="42" t="e">
        <f ca="1">INDEX([1]locations!G:G,MATCH((INDIRECT("I"&amp;ROW())),[1]locations!E:E,0))</f>
        <v>#N/A</v>
      </c>
      <c r="K66" s="42" t="e">
        <f ca="1">INDEX([1]locations!I:I,MATCH((INDIRECT("I"&amp;ROW())),[1]locations!E:E,0))</f>
        <v>#N/A</v>
      </c>
      <c r="L66" s="45">
        <v>1</v>
      </c>
      <c r="M66" s="46" t="s">
        <v>250</v>
      </c>
      <c r="N66" s="46"/>
      <c r="O66" s="47" t="s">
        <v>129</v>
      </c>
      <c r="P66" s="46" t="s">
        <v>177</v>
      </c>
      <c r="Q66" s="46"/>
      <c r="R66" s="46">
        <v>1</v>
      </c>
      <c r="S66" s="46" t="s">
        <v>131</v>
      </c>
      <c r="T66" s="42" t="s">
        <v>436</v>
      </c>
      <c r="Y66" s="42">
        <v>30</v>
      </c>
      <c r="Z66" s="48" t="s">
        <v>133</v>
      </c>
      <c r="AA66" s="44">
        <v>1997</v>
      </c>
      <c r="AB66" s="42">
        <v>2006</v>
      </c>
      <c r="AC66" s="45">
        <v>0</v>
      </c>
      <c r="AD66" s="46">
        <v>0</v>
      </c>
      <c r="AE66" s="49">
        <v>0</v>
      </c>
      <c r="AF66" s="42" t="s">
        <v>166</v>
      </c>
      <c r="AG66" s="42">
        <v>1.18</v>
      </c>
      <c r="AH66" s="42">
        <v>1.1000000000000001</v>
      </c>
      <c r="AI66" s="49">
        <v>1.26</v>
      </c>
      <c r="AK66" s="42">
        <v>775</v>
      </c>
      <c r="AL66" s="42">
        <v>81186</v>
      </c>
      <c r="AM66" s="42">
        <v>95</v>
      </c>
      <c r="AN66" s="44">
        <v>0</v>
      </c>
      <c r="AQ66" s="42">
        <v>0</v>
      </c>
      <c r="AS66" s="42">
        <v>0</v>
      </c>
      <c r="AT66" s="42">
        <v>0</v>
      </c>
      <c r="AU66" s="42">
        <v>0</v>
      </c>
      <c r="AV66" s="42">
        <v>1</v>
      </c>
      <c r="AX66" s="42" t="s">
        <v>432</v>
      </c>
      <c r="BC66" s="49">
        <v>1.35</v>
      </c>
      <c r="BH66" s="42">
        <v>1.82</v>
      </c>
      <c r="BI66" s="42">
        <v>1.33</v>
      </c>
      <c r="BK66" s="49">
        <v>1.35</v>
      </c>
      <c r="BL66" s="42" t="s">
        <v>430</v>
      </c>
      <c r="BM66" s="42">
        <v>0</v>
      </c>
      <c r="BN66" s="42">
        <v>1</v>
      </c>
      <c r="BO66" s="42" t="s">
        <v>435</v>
      </c>
      <c r="BP66" s="42" t="s">
        <v>139</v>
      </c>
      <c r="BQ66" s="42">
        <v>1</v>
      </c>
      <c r="BR66" s="42" t="s">
        <v>433</v>
      </c>
    </row>
    <row r="67" spans="1:70" s="64" customFormat="1" x14ac:dyDescent="0.25">
      <c r="A67" s="62"/>
      <c r="B67" s="63">
        <v>394460</v>
      </c>
      <c r="D67" s="65" t="s">
        <v>437</v>
      </c>
      <c r="E67" s="65" t="s">
        <v>222</v>
      </c>
      <c r="F67" s="64">
        <v>690</v>
      </c>
      <c r="G67" s="64">
        <v>4</v>
      </c>
      <c r="H67" s="64" t="s">
        <v>150</v>
      </c>
      <c r="I67" s="66" t="s">
        <v>151</v>
      </c>
      <c r="J67" s="64">
        <f>VLOOKUP(I67,[1]locations!A:E,3,FALSE)</f>
        <v>527</v>
      </c>
      <c r="K67" s="64" t="str">
        <f>VLOOKUP(I67,[1]locations!A:E,5,FALSE)</f>
        <v>USA_527</v>
      </c>
      <c r="L67" s="67">
        <v>1</v>
      </c>
      <c r="M67" s="68" t="s">
        <v>438</v>
      </c>
      <c r="N67" s="68" t="s">
        <v>439</v>
      </c>
      <c r="O67" s="69" t="s">
        <v>129</v>
      </c>
      <c r="P67" s="68" t="s">
        <v>177</v>
      </c>
      <c r="Q67" s="68">
        <v>1</v>
      </c>
      <c r="R67" s="68">
        <v>1</v>
      </c>
      <c r="S67" s="68" t="s">
        <v>131</v>
      </c>
      <c r="T67" s="64" t="s">
        <v>178</v>
      </c>
      <c r="Y67" s="64">
        <v>37</v>
      </c>
      <c r="Z67" s="70" t="s">
        <v>133</v>
      </c>
      <c r="AA67" s="71">
        <v>1997</v>
      </c>
      <c r="AB67" s="64">
        <v>2006</v>
      </c>
      <c r="AC67" s="72">
        <v>0</v>
      </c>
      <c r="AD67" s="64">
        <v>0</v>
      </c>
      <c r="AE67" s="64">
        <v>0</v>
      </c>
      <c r="AF67" s="71" t="s">
        <v>166</v>
      </c>
      <c r="AG67" s="64">
        <v>1.04</v>
      </c>
      <c r="AH67" s="64">
        <v>0.94</v>
      </c>
      <c r="AI67" s="64">
        <v>1.1499999999999999</v>
      </c>
      <c r="AJ67" s="71"/>
      <c r="AK67" s="73">
        <v>3174</v>
      </c>
      <c r="AL67" s="73">
        <v>68055</v>
      </c>
      <c r="AM67" s="64">
        <v>95</v>
      </c>
      <c r="AN67" s="71">
        <v>0</v>
      </c>
      <c r="AO67" s="64">
        <v>1</v>
      </c>
      <c r="AP67" s="64" t="s">
        <v>440</v>
      </c>
      <c r="AQ67" s="64">
        <v>0</v>
      </c>
      <c r="AR67" s="64">
        <v>0</v>
      </c>
      <c r="AS67" s="64">
        <v>0</v>
      </c>
      <c r="AT67" s="64">
        <v>0</v>
      </c>
      <c r="AU67" s="64">
        <v>0</v>
      </c>
      <c r="AV67" s="64">
        <v>1</v>
      </c>
      <c r="AW67" s="30">
        <v>2</v>
      </c>
      <c r="AX67" s="30" t="s">
        <v>441</v>
      </c>
      <c r="AY67" s="30" t="s">
        <v>556</v>
      </c>
      <c r="AZ67" s="30" t="s">
        <v>555</v>
      </c>
      <c r="BA67" s="74">
        <v>2</v>
      </c>
      <c r="BB67" s="74">
        <v>84</v>
      </c>
      <c r="BC67" s="71">
        <v>5.0999999999999996</v>
      </c>
      <c r="BD67" s="71"/>
      <c r="BH67" s="64">
        <v>17.3</v>
      </c>
      <c r="BI67" s="64">
        <v>3.5</v>
      </c>
      <c r="BK67" s="64">
        <v>5.0999999999999996</v>
      </c>
      <c r="BL67" s="66" t="s">
        <v>442</v>
      </c>
      <c r="BM67" s="65">
        <v>0</v>
      </c>
      <c r="BN67" s="65">
        <v>1</v>
      </c>
      <c r="BP67" s="64" t="s">
        <v>139</v>
      </c>
      <c r="BQ67" s="64">
        <v>0</v>
      </c>
    </row>
    <row r="68" spans="1:70" s="30" customFormat="1" x14ac:dyDescent="0.25">
      <c r="A68" s="50"/>
      <c r="B68" s="75">
        <v>394460</v>
      </c>
      <c r="D68" s="29" t="s">
        <v>437</v>
      </c>
      <c r="E68" s="29" t="s">
        <v>222</v>
      </c>
      <c r="F68" s="30">
        <v>690</v>
      </c>
      <c r="G68" s="30">
        <v>4</v>
      </c>
      <c r="H68" s="30" t="s">
        <v>150</v>
      </c>
      <c r="I68" s="31" t="s">
        <v>151</v>
      </c>
      <c r="J68" s="30">
        <f>VLOOKUP(I68,[1]locations!A:E,3,FALSE)</f>
        <v>527</v>
      </c>
      <c r="K68" s="30" t="str">
        <f>VLOOKUP(I68,[1]locations!A:E,5,FALSE)</f>
        <v>USA_527</v>
      </c>
      <c r="L68" s="32">
        <v>1</v>
      </c>
      <c r="M68" s="54" t="s">
        <v>443</v>
      </c>
      <c r="N68" s="54" t="s">
        <v>444</v>
      </c>
      <c r="O68" s="34" t="s">
        <v>129</v>
      </c>
      <c r="P68" s="54" t="s">
        <v>177</v>
      </c>
      <c r="Q68" s="54">
        <v>1</v>
      </c>
      <c r="R68" s="33">
        <v>1</v>
      </c>
      <c r="S68" s="54" t="s">
        <v>131</v>
      </c>
      <c r="T68" s="30" t="s">
        <v>178</v>
      </c>
      <c r="Y68" s="30">
        <v>37</v>
      </c>
      <c r="Z68" s="35" t="s">
        <v>133</v>
      </c>
      <c r="AA68" s="36">
        <v>1997</v>
      </c>
      <c r="AB68" s="30">
        <v>2006</v>
      </c>
      <c r="AC68" s="53">
        <v>0</v>
      </c>
      <c r="AD68" s="30">
        <v>0</v>
      </c>
      <c r="AE68" s="30">
        <v>0</v>
      </c>
      <c r="AF68" s="36" t="s">
        <v>166</v>
      </c>
      <c r="AG68" s="30">
        <v>1.0900000000000001</v>
      </c>
      <c r="AH68" s="30">
        <v>1</v>
      </c>
      <c r="AI68" s="30">
        <v>1.2</v>
      </c>
      <c r="AJ68" s="36"/>
      <c r="AK68" s="52">
        <v>2333</v>
      </c>
      <c r="AL68" s="52">
        <v>68055</v>
      </c>
      <c r="AM68" s="30">
        <v>95</v>
      </c>
      <c r="AN68" s="36">
        <v>0</v>
      </c>
      <c r="AO68" s="30">
        <v>1</v>
      </c>
      <c r="AP68" s="30" t="s">
        <v>440</v>
      </c>
      <c r="AQ68" s="30">
        <v>0</v>
      </c>
      <c r="AR68" s="30">
        <v>0</v>
      </c>
      <c r="AS68" s="30">
        <v>0</v>
      </c>
      <c r="AT68" s="30">
        <v>0</v>
      </c>
      <c r="AU68" s="30">
        <v>0</v>
      </c>
      <c r="AV68" s="30">
        <v>1</v>
      </c>
      <c r="AW68" s="30">
        <v>2</v>
      </c>
      <c r="AX68" s="30" t="s">
        <v>441</v>
      </c>
      <c r="AY68" s="30" t="s">
        <v>556</v>
      </c>
      <c r="AZ68" s="30" t="s">
        <v>555</v>
      </c>
      <c r="BA68" s="28">
        <v>2</v>
      </c>
      <c r="BB68" s="28">
        <v>84</v>
      </c>
      <c r="BC68" s="36">
        <v>5.0999999999999996</v>
      </c>
      <c r="BD68" s="36"/>
      <c r="BH68" s="30">
        <v>17.3</v>
      </c>
      <c r="BI68" s="30">
        <v>3.5</v>
      </c>
      <c r="BK68" s="30">
        <v>5.0999999999999996</v>
      </c>
      <c r="BL68" s="31" t="s">
        <v>442</v>
      </c>
      <c r="BM68" s="29">
        <v>0</v>
      </c>
      <c r="BN68" s="29">
        <v>1</v>
      </c>
      <c r="BP68" s="30" t="s">
        <v>139</v>
      </c>
      <c r="BQ68" s="30">
        <v>0</v>
      </c>
    </row>
    <row r="69" spans="1:70" s="30" customFormat="1" x14ac:dyDescent="0.25">
      <c r="A69" s="50"/>
      <c r="B69" s="75">
        <v>394460</v>
      </c>
      <c r="D69" s="29" t="s">
        <v>437</v>
      </c>
      <c r="E69" s="29" t="s">
        <v>222</v>
      </c>
      <c r="F69" s="30">
        <v>690</v>
      </c>
      <c r="G69" s="30">
        <v>5</v>
      </c>
      <c r="H69" s="30" t="s">
        <v>150</v>
      </c>
      <c r="I69" s="31" t="s">
        <v>151</v>
      </c>
      <c r="J69" s="30">
        <f>VLOOKUP(I69,[1]locations!A:E,3,FALSE)</f>
        <v>527</v>
      </c>
      <c r="K69" s="30" t="str">
        <f>VLOOKUP(I69,[1]locations!A:E,5,FALSE)</f>
        <v>USA_527</v>
      </c>
      <c r="L69" s="32">
        <v>1</v>
      </c>
      <c r="M69" s="54" t="s">
        <v>438</v>
      </c>
      <c r="N69" s="54" t="s">
        <v>439</v>
      </c>
      <c r="O69" s="34" t="s">
        <v>129</v>
      </c>
      <c r="P69" s="54" t="s">
        <v>177</v>
      </c>
      <c r="Q69" s="54">
        <v>1</v>
      </c>
      <c r="R69" s="33">
        <v>0</v>
      </c>
      <c r="S69" s="54" t="s">
        <v>131</v>
      </c>
      <c r="T69" s="30" t="s">
        <v>367</v>
      </c>
      <c r="Y69" s="30">
        <v>30</v>
      </c>
      <c r="Z69" s="35" t="s">
        <v>133</v>
      </c>
      <c r="AA69" s="36">
        <v>1997</v>
      </c>
      <c r="AB69" s="30">
        <v>2006</v>
      </c>
      <c r="AC69" s="53">
        <v>0</v>
      </c>
      <c r="AD69" s="30">
        <v>0</v>
      </c>
      <c r="AE69" s="30">
        <v>0</v>
      </c>
      <c r="AF69" s="36" t="s">
        <v>166</v>
      </c>
      <c r="AG69" s="30">
        <v>1.03</v>
      </c>
      <c r="AH69" s="30">
        <v>0.81</v>
      </c>
      <c r="AI69" s="30">
        <v>1.3</v>
      </c>
      <c r="AJ69" s="36"/>
      <c r="AK69" s="30">
        <v>410</v>
      </c>
      <c r="AL69" s="30">
        <v>68055</v>
      </c>
      <c r="AM69" s="30">
        <v>95</v>
      </c>
      <c r="AN69" s="36">
        <v>0</v>
      </c>
      <c r="AO69" s="30">
        <v>1</v>
      </c>
      <c r="AP69" s="30" t="s">
        <v>440</v>
      </c>
      <c r="AQ69" s="30">
        <v>0</v>
      </c>
      <c r="AR69" s="30">
        <v>0</v>
      </c>
      <c r="AS69" s="30">
        <v>0</v>
      </c>
      <c r="AT69" s="30">
        <v>0</v>
      </c>
      <c r="AU69" s="30">
        <v>0</v>
      </c>
      <c r="AV69" s="30">
        <v>1</v>
      </c>
      <c r="AW69" s="30">
        <v>2</v>
      </c>
      <c r="AX69" s="30" t="s">
        <v>441</v>
      </c>
      <c r="AY69" s="30" t="s">
        <v>556</v>
      </c>
      <c r="AZ69" s="30" t="s">
        <v>555</v>
      </c>
      <c r="BA69" s="28">
        <v>2</v>
      </c>
      <c r="BB69" s="28">
        <v>84</v>
      </c>
      <c r="BC69" s="36">
        <v>5.0999999999999996</v>
      </c>
      <c r="BD69" s="36"/>
      <c r="BH69" s="30">
        <v>17.3</v>
      </c>
      <c r="BI69" s="30">
        <v>3.5</v>
      </c>
      <c r="BK69" s="30">
        <v>5.0999999999999996</v>
      </c>
      <c r="BL69" s="31" t="s">
        <v>442</v>
      </c>
      <c r="BM69" s="29">
        <v>0</v>
      </c>
      <c r="BN69" s="29">
        <v>1</v>
      </c>
      <c r="BO69" s="52" t="s">
        <v>445</v>
      </c>
      <c r="BP69" s="30" t="s">
        <v>139</v>
      </c>
      <c r="BQ69" s="30">
        <v>0</v>
      </c>
    </row>
    <row r="70" spans="1:70" s="30" customFormat="1" x14ac:dyDescent="0.25">
      <c r="A70" s="50"/>
      <c r="B70" s="75">
        <v>394460</v>
      </c>
      <c r="D70" s="29" t="s">
        <v>437</v>
      </c>
      <c r="E70" s="29" t="s">
        <v>222</v>
      </c>
      <c r="F70" s="30">
        <v>690</v>
      </c>
      <c r="G70" s="30">
        <v>5</v>
      </c>
      <c r="H70" s="30" t="s">
        <v>150</v>
      </c>
      <c r="I70" s="31" t="s">
        <v>151</v>
      </c>
      <c r="J70" s="30">
        <f>VLOOKUP(I70,[1]locations!A:E,3,FALSE)</f>
        <v>527</v>
      </c>
      <c r="K70" s="30" t="str">
        <f>VLOOKUP(I70,[1]locations!A:E,5,FALSE)</f>
        <v>USA_527</v>
      </c>
      <c r="L70" s="32">
        <v>1</v>
      </c>
      <c r="M70" s="54" t="s">
        <v>443</v>
      </c>
      <c r="N70" s="54" t="s">
        <v>444</v>
      </c>
      <c r="O70" s="34" t="s">
        <v>129</v>
      </c>
      <c r="P70" s="54" t="s">
        <v>177</v>
      </c>
      <c r="Q70" s="54">
        <v>1</v>
      </c>
      <c r="R70" s="33">
        <v>0</v>
      </c>
      <c r="S70" s="54" t="s">
        <v>131</v>
      </c>
      <c r="T70" s="30" t="s">
        <v>367</v>
      </c>
      <c r="Y70" s="30">
        <v>30</v>
      </c>
      <c r="Z70" s="35" t="s">
        <v>133</v>
      </c>
      <c r="AA70" s="36">
        <v>1997</v>
      </c>
      <c r="AB70" s="30">
        <v>2006</v>
      </c>
      <c r="AC70" s="53">
        <v>0</v>
      </c>
      <c r="AD70" s="30">
        <v>0</v>
      </c>
      <c r="AE70" s="30">
        <v>0</v>
      </c>
      <c r="AF70" s="36" t="s">
        <v>166</v>
      </c>
      <c r="AG70" s="30">
        <v>1.33</v>
      </c>
      <c r="AH70" s="30">
        <v>0.99</v>
      </c>
      <c r="AI70" s="30">
        <v>1.77</v>
      </c>
      <c r="AJ70" s="36"/>
      <c r="AK70" s="30">
        <v>190</v>
      </c>
      <c r="AL70" s="30">
        <v>68055</v>
      </c>
      <c r="AM70" s="30">
        <v>95</v>
      </c>
      <c r="AN70" s="36">
        <v>0</v>
      </c>
      <c r="AO70" s="30">
        <v>1</v>
      </c>
      <c r="AP70" s="30" t="s">
        <v>440</v>
      </c>
      <c r="AQ70" s="30">
        <v>0</v>
      </c>
      <c r="AR70" s="30">
        <v>0</v>
      </c>
      <c r="AS70" s="30">
        <v>0</v>
      </c>
      <c r="AT70" s="30">
        <v>0</v>
      </c>
      <c r="AU70" s="30">
        <v>0</v>
      </c>
      <c r="AV70" s="30">
        <v>1</v>
      </c>
      <c r="AW70" s="30">
        <v>2</v>
      </c>
      <c r="AX70" s="30" t="s">
        <v>441</v>
      </c>
      <c r="AY70" s="30" t="s">
        <v>556</v>
      </c>
      <c r="AZ70" s="30" t="s">
        <v>555</v>
      </c>
      <c r="BA70" s="28">
        <v>2</v>
      </c>
      <c r="BB70" s="28">
        <v>84</v>
      </c>
      <c r="BC70" s="36">
        <v>5.0999999999999996</v>
      </c>
      <c r="BD70" s="36"/>
      <c r="BH70" s="30">
        <v>17.3</v>
      </c>
      <c r="BI70" s="30">
        <v>3.5</v>
      </c>
      <c r="BK70" s="30">
        <v>5.0999999999999996</v>
      </c>
      <c r="BL70" s="31" t="s">
        <v>442</v>
      </c>
      <c r="BM70" s="29">
        <v>0</v>
      </c>
      <c r="BN70" s="29">
        <v>1</v>
      </c>
      <c r="BO70" s="52" t="s">
        <v>445</v>
      </c>
      <c r="BP70" s="30" t="s">
        <v>139</v>
      </c>
      <c r="BQ70" s="30">
        <v>0</v>
      </c>
    </row>
    <row r="71" spans="1:70" s="42" customFormat="1" ht="16.149999999999999" customHeight="1" x14ac:dyDescent="0.25">
      <c r="A71" s="40"/>
      <c r="B71" s="41">
        <v>394464</v>
      </c>
      <c r="D71" s="42" t="s">
        <v>446</v>
      </c>
      <c r="E71" s="42" t="s">
        <v>447</v>
      </c>
      <c r="F71" s="42">
        <v>95</v>
      </c>
      <c r="H71" s="42" t="s">
        <v>150</v>
      </c>
      <c r="I71" s="44" t="s">
        <v>192</v>
      </c>
      <c r="J71" s="42">
        <f>VLOOKUP(I71,[1]locations!A:E,3,FALSE)</f>
        <v>556</v>
      </c>
      <c r="K71" s="42" t="str">
        <f>VLOOKUP(I71,[1]locations!A:E,5,FALSE)</f>
        <v>USA_556</v>
      </c>
      <c r="L71" s="45">
        <v>0</v>
      </c>
      <c r="M71" s="46"/>
      <c r="N71" s="46" t="s">
        <v>448</v>
      </c>
      <c r="O71" s="47" t="s">
        <v>129</v>
      </c>
      <c r="P71" s="46" t="s">
        <v>177</v>
      </c>
      <c r="Q71" s="46">
        <v>1</v>
      </c>
      <c r="R71" s="46">
        <v>1</v>
      </c>
      <c r="S71" s="46" t="s">
        <v>131</v>
      </c>
      <c r="T71" s="42" t="s">
        <v>178</v>
      </c>
      <c r="U71" s="42">
        <v>400</v>
      </c>
      <c r="W71" s="42">
        <v>27</v>
      </c>
      <c r="X71" s="42">
        <v>42</v>
      </c>
      <c r="Y71" s="42">
        <v>37</v>
      </c>
      <c r="Z71" s="48" t="s">
        <v>133</v>
      </c>
      <c r="AA71" s="44">
        <v>2001</v>
      </c>
      <c r="AB71" s="42">
        <v>2005</v>
      </c>
      <c r="AC71" s="45">
        <v>0</v>
      </c>
      <c r="AD71" s="46">
        <v>0</v>
      </c>
      <c r="AE71" s="42">
        <v>0</v>
      </c>
      <c r="AF71" s="44" t="s">
        <v>166</v>
      </c>
      <c r="AG71" s="42">
        <v>1.0349999999999999</v>
      </c>
      <c r="AH71" s="42">
        <v>1.008</v>
      </c>
      <c r="AI71" s="42">
        <v>1.0629999999999999</v>
      </c>
      <c r="AJ71" s="44"/>
      <c r="AK71" s="42">
        <v>39006</v>
      </c>
      <c r="AL71" s="42">
        <v>453562</v>
      </c>
      <c r="AM71" s="42">
        <v>95</v>
      </c>
      <c r="AN71" s="44">
        <v>0</v>
      </c>
      <c r="AO71" s="42">
        <v>1</v>
      </c>
      <c r="AP71" s="42" t="s">
        <v>449</v>
      </c>
      <c r="AQ71" s="42">
        <v>0</v>
      </c>
      <c r="AR71" s="42">
        <v>0</v>
      </c>
      <c r="AS71" s="42">
        <v>0</v>
      </c>
      <c r="AT71" s="42">
        <v>0</v>
      </c>
      <c r="AU71" s="42">
        <v>0</v>
      </c>
      <c r="AV71" s="42">
        <v>1</v>
      </c>
      <c r="AW71" s="42">
        <v>1</v>
      </c>
      <c r="AX71" s="42" t="s">
        <v>450</v>
      </c>
      <c r="AY71" s="42" t="s">
        <v>555</v>
      </c>
      <c r="AZ71" s="42" t="s">
        <v>556</v>
      </c>
      <c r="BA71" s="42">
        <v>2</v>
      </c>
      <c r="BB71" s="42" t="s">
        <v>451</v>
      </c>
      <c r="BC71" s="44">
        <v>2.5099999999999998</v>
      </c>
      <c r="BD71" s="44"/>
      <c r="BJ71" s="42">
        <v>15.12</v>
      </c>
      <c r="BK71" s="42">
        <v>2.5099999999999998</v>
      </c>
      <c r="BL71" s="44" t="s">
        <v>452</v>
      </c>
      <c r="BM71" s="42">
        <v>0</v>
      </c>
      <c r="BN71" s="42">
        <v>1</v>
      </c>
      <c r="BO71" s="42" t="s">
        <v>453</v>
      </c>
      <c r="BP71" s="42" t="s">
        <v>139</v>
      </c>
      <c r="BQ71" s="42">
        <v>0</v>
      </c>
    </row>
    <row r="72" spans="1:70" s="29" customFormat="1" x14ac:dyDescent="0.25">
      <c r="A72" s="50"/>
      <c r="B72" s="51">
        <v>394466</v>
      </c>
      <c r="D72" s="29" t="s">
        <v>454</v>
      </c>
      <c r="E72" s="29" t="s">
        <v>455</v>
      </c>
      <c r="F72" s="29">
        <v>6</v>
      </c>
      <c r="G72" s="30">
        <v>3</v>
      </c>
      <c r="H72" s="29" t="s">
        <v>150</v>
      </c>
      <c r="I72" s="31" t="s">
        <v>456</v>
      </c>
      <c r="J72" s="30">
        <f>VLOOKUP(I72,[1]locations!A:E,3,FALSE)</f>
        <v>544</v>
      </c>
      <c r="K72" s="30" t="str">
        <f>VLOOKUP(I72,[1]locations!A:E,5,FALSE)</f>
        <v>USA_544</v>
      </c>
      <c r="L72" s="32">
        <v>0</v>
      </c>
      <c r="M72" s="33"/>
      <c r="N72" s="33" t="s">
        <v>457</v>
      </c>
      <c r="O72" s="34" t="s">
        <v>129</v>
      </c>
      <c r="P72" s="33" t="s">
        <v>130</v>
      </c>
      <c r="Q72" s="33">
        <v>1</v>
      </c>
      <c r="R72" s="33">
        <v>0</v>
      </c>
      <c r="S72" s="33" t="s">
        <v>131</v>
      </c>
      <c r="T72" s="29" t="s">
        <v>216</v>
      </c>
      <c r="W72" s="29">
        <v>37</v>
      </c>
      <c r="Z72" s="35" t="s">
        <v>133</v>
      </c>
      <c r="AA72" s="36">
        <v>2000</v>
      </c>
      <c r="AB72" s="30">
        <v>2008</v>
      </c>
      <c r="AC72" s="53">
        <v>0</v>
      </c>
      <c r="AD72" s="54">
        <v>0</v>
      </c>
      <c r="AE72" s="30">
        <v>0</v>
      </c>
      <c r="AF72" s="31" t="s">
        <v>134</v>
      </c>
      <c r="AG72" s="29">
        <v>-13.8</v>
      </c>
      <c r="AH72" s="29">
        <v>-21.1</v>
      </c>
      <c r="AI72" s="29">
        <v>-6.05</v>
      </c>
      <c r="AJ72" s="31"/>
      <c r="AL72" s="29">
        <v>634244</v>
      </c>
      <c r="AM72" s="30">
        <v>95</v>
      </c>
      <c r="AN72" s="36">
        <v>0</v>
      </c>
      <c r="AO72" s="30">
        <v>1</v>
      </c>
      <c r="AP72" s="30" t="s">
        <v>458</v>
      </c>
      <c r="AQ72" s="30">
        <v>0</v>
      </c>
      <c r="AR72" s="30">
        <v>0</v>
      </c>
      <c r="AS72" s="30">
        <v>0</v>
      </c>
      <c r="AT72" s="30">
        <v>0</v>
      </c>
      <c r="AU72" s="30">
        <v>0</v>
      </c>
      <c r="AV72" s="30">
        <v>1</v>
      </c>
      <c r="AW72" s="30">
        <v>1</v>
      </c>
      <c r="AX72" s="29" t="s">
        <v>459</v>
      </c>
      <c r="AY72" s="29" t="s">
        <v>556</v>
      </c>
      <c r="AZ72" s="29" t="s">
        <v>557</v>
      </c>
      <c r="BA72" s="28">
        <v>0</v>
      </c>
      <c r="BB72" s="28">
        <v>99.9</v>
      </c>
      <c r="BC72" s="31">
        <v>10</v>
      </c>
      <c r="BD72" s="31"/>
      <c r="BH72" s="29">
        <v>9.6</v>
      </c>
      <c r="BI72" s="29">
        <v>5.0999999999999996</v>
      </c>
      <c r="BJ72" s="29">
        <v>8.4</v>
      </c>
      <c r="BK72" s="29">
        <v>5.3</v>
      </c>
      <c r="BL72" s="31" t="s">
        <v>460</v>
      </c>
      <c r="BM72" s="29">
        <v>0</v>
      </c>
      <c r="BN72" s="29">
        <v>1</v>
      </c>
      <c r="BP72" s="29" t="s">
        <v>139</v>
      </c>
      <c r="BQ72" s="29">
        <v>0</v>
      </c>
    </row>
    <row r="73" spans="1:70" s="29" customFormat="1" x14ac:dyDescent="0.25">
      <c r="A73" s="50"/>
      <c r="B73" s="51">
        <v>394466</v>
      </c>
      <c r="D73" s="29" t="s">
        <v>454</v>
      </c>
      <c r="E73" s="29" t="s">
        <v>455</v>
      </c>
      <c r="F73" s="29">
        <v>6</v>
      </c>
      <c r="G73" s="30">
        <v>3</v>
      </c>
      <c r="H73" s="29" t="s">
        <v>150</v>
      </c>
      <c r="I73" s="31" t="s">
        <v>456</v>
      </c>
      <c r="J73" s="30">
        <f>VLOOKUP(I73,[1]locations!A:E,3,FALSE)</f>
        <v>544</v>
      </c>
      <c r="K73" s="30" t="str">
        <f>VLOOKUP(I73,[1]locations!A:E,5,FALSE)</f>
        <v>USA_544</v>
      </c>
      <c r="L73" s="32">
        <v>0</v>
      </c>
      <c r="M73" s="33"/>
      <c r="N73" s="33" t="s">
        <v>457</v>
      </c>
      <c r="O73" s="34" t="s">
        <v>129</v>
      </c>
      <c r="P73" s="33" t="s">
        <v>177</v>
      </c>
      <c r="Q73" s="33">
        <v>1</v>
      </c>
      <c r="R73" s="54">
        <v>1</v>
      </c>
      <c r="S73" s="33" t="s">
        <v>131</v>
      </c>
      <c r="T73" s="29" t="s">
        <v>178</v>
      </c>
      <c r="Y73" s="29">
        <v>37</v>
      </c>
      <c r="Z73" s="35" t="s">
        <v>133</v>
      </c>
      <c r="AA73" s="36">
        <v>2000</v>
      </c>
      <c r="AB73" s="30">
        <v>2008</v>
      </c>
      <c r="AC73" s="53">
        <v>0</v>
      </c>
      <c r="AD73" s="54">
        <v>0</v>
      </c>
      <c r="AE73" s="30">
        <v>0</v>
      </c>
      <c r="AF73" s="31" t="s">
        <v>166</v>
      </c>
      <c r="AG73" s="29">
        <v>1.06</v>
      </c>
      <c r="AH73" s="29">
        <v>1.01</v>
      </c>
      <c r="AI73" s="29">
        <v>1.1299999999999999</v>
      </c>
      <c r="AJ73" s="31"/>
      <c r="AL73" s="29">
        <v>572272</v>
      </c>
      <c r="AM73" s="30">
        <v>95</v>
      </c>
      <c r="AN73" s="36">
        <v>0</v>
      </c>
      <c r="AO73" s="30">
        <v>1</v>
      </c>
      <c r="AP73" s="30" t="s">
        <v>461</v>
      </c>
      <c r="AQ73" s="30">
        <v>0</v>
      </c>
      <c r="AR73" s="30">
        <v>0</v>
      </c>
      <c r="AS73" s="30">
        <v>0</v>
      </c>
      <c r="AT73" s="30">
        <v>0</v>
      </c>
      <c r="AU73" s="30">
        <v>0</v>
      </c>
      <c r="AV73" s="30">
        <v>1</v>
      </c>
      <c r="AW73" s="30">
        <v>1</v>
      </c>
      <c r="AX73" s="29" t="s">
        <v>459</v>
      </c>
      <c r="AY73" s="29" t="s">
        <v>556</v>
      </c>
      <c r="AZ73" s="29" t="s">
        <v>557</v>
      </c>
      <c r="BA73" s="28">
        <v>0</v>
      </c>
      <c r="BB73" s="28">
        <v>99.9</v>
      </c>
      <c r="BC73" s="31">
        <v>10</v>
      </c>
      <c r="BD73" s="31"/>
      <c r="BH73" s="29">
        <v>9.6</v>
      </c>
      <c r="BI73" s="29">
        <v>5.0999999999999996</v>
      </c>
      <c r="BJ73" s="29">
        <v>8.4</v>
      </c>
      <c r="BK73" s="29">
        <v>5.3</v>
      </c>
      <c r="BL73" s="31" t="s">
        <v>460</v>
      </c>
      <c r="BM73" s="29">
        <v>0</v>
      </c>
      <c r="BN73" s="29">
        <v>1</v>
      </c>
      <c r="BP73" s="29" t="s">
        <v>139</v>
      </c>
      <c r="BQ73" s="29">
        <v>0</v>
      </c>
    </row>
    <row r="74" spans="1:70" s="42" customFormat="1" x14ac:dyDescent="0.25">
      <c r="A74" s="40"/>
      <c r="B74" s="41">
        <v>394468</v>
      </c>
      <c r="D74" s="42" t="s">
        <v>462</v>
      </c>
      <c r="E74" s="42" t="s">
        <v>265</v>
      </c>
      <c r="F74" s="42">
        <v>521</v>
      </c>
      <c r="G74" s="42">
        <v>3</v>
      </c>
      <c r="H74" s="42" t="s">
        <v>125</v>
      </c>
      <c r="I74" s="44" t="s">
        <v>463</v>
      </c>
      <c r="J74" s="42">
        <f>VLOOKUP(I74,[1]locations!A:E,3,FALSE)</f>
        <v>92</v>
      </c>
      <c r="K74" s="42" t="str">
        <f>VLOOKUP(I74,[1]locations!A:E,5,FALSE)</f>
        <v>ESP</v>
      </c>
      <c r="L74" s="45">
        <v>1</v>
      </c>
      <c r="M74" s="46" t="s">
        <v>464</v>
      </c>
      <c r="N74" s="46" t="s">
        <v>465</v>
      </c>
      <c r="O74" s="47" t="s">
        <v>129</v>
      </c>
      <c r="P74" s="46" t="s">
        <v>130</v>
      </c>
      <c r="Q74" s="46">
        <v>1</v>
      </c>
      <c r="R74" s="46">
        <v>1</v>
      </c>
      <c r="S74" s="46" t="s">
        <v>131</v>
      </c>
      <c r="T74" s="42" t="s">
        <v>256</v>
      </c>
      <c r="W74" s="42">
        <v>37</v>
      </c>
      <c r="Y74" s="42">
        <v>2500</v>
      </c>
      <c r="Z74" s="48" t="s">
        <v>133</v>
      </c>
      <c r="AA74" s="44">
        <v>2001</v>
      </c>
      <c r="AB74" s="42">
        <v>2005</v>
      </c>
      <c r="AC74" s="45">
        <v>0</v>
      </c>
      <c r="AD74" s="46">
        <v>0</v>
      </c>
      <c r="AE74" s="42">
        <v>0</v>
      </c>
      <c r="AF74" s="44" t="s">
        <v>166</v>
      </c>
      <c r="AG74" s="42">
        <v>1.17</v>
      </c>
      <c r="AH74" s="42">
        <v>0.98</v>
      </c>
      <c r="AI74" s="42">
        <v>1.39</v>
      </c>
      <c r="AJ74" s="44"/>
      <c r="AK74" s="42">
        <v>190</v>
      </c>
      <c r="AL74" s="42">
        <v>6438</v>
      </c>
      <c r="AM74" s="42">
        <v>95</v>
      </c>
      <c r="AN74" s="44">
        <v>0</v>
      </c>
      <c r="AO74" s="42">
        <v>0</v>
      </c>
      <c r="AP74" s="42" t="s">
        <v>466</v>
      </c>
      <c r="AQ74" s="42">
        <v>0</v>
      </c>
      <c r="AR74" s="42">
        <v>0</v>
      </c>
      <c r="AS74" s="42">
        <v>0</v>
      </c>
      <c r="AT74" s="42">
        <v>0</v>
      </c>
      <c r="AU74" s="42">
        <v>0</v>
      </c>
      <c r="AV74" s="42">
        <v>1</v>
      </c>
      <c r="AW74" s="42">
        <v>0</v>
      </c>
      <c r="AX74" s="42" t="s">
        <v>467</v>
      </c>
      <c r="AY74" s="42" t="s">
        <v>555</v>
      </c>
      <c r="AZ74" s="42" t="s">
        <v>555</v>
      </c>
      <c r="BA74" s="42">
        <v>0</v>
      </c>
      <c r="BB74" s="42">
        <v>100</v>
      </c>
      <c r="BC74" s="44">
        <v>3.1</v>
      </c>
      <c r="BD74" s="44"/>
      <c r="BJ74" s="42">
        <v>16.899999999999999</v>
      </c>
      <c r="BK74" s="42">
        <v>3.1</v>
      </c>
      <c r="BL74" s="44" t="s">
        <v>468</v>
      </c>
      <c r="BM74" s="42">
        <v>0</v>
      </c>
      <c r="BN74" s="42">
        <v>1</v>
      </c>
      <c r="BP74" s="42" t="s">
        <v>139</v>
      </c>
      <c r="BQ74" s="42">
        <v>0</v>
      </c>
    </row>
    <row r="75" spans="1:70" s="29" customFormat="1" x14ac:dyDescent="0.25">
      <c r="A75" s="50"/>
      <c r="B75" s="51">
        <v>394470</v>
      </c>
      <c r="D75" s="29" t="s">
        <v>469</v>
      </c>
      <c r="E75" s="29" t="s">
        <v>258</v>
      </c>
      <c r="F75" s="29">
        <v>492</v>
      </c>
      <c r="G75" s="30">
        <v>2</v>
      </c>
      <c r="H75" s="29" t="s">
        <v>150</v>
      </c>
      <c r="I75" s="31" t="s">
        <v>151</v>
      </c>
      <c r="J75" s="30">
        <f>VLOOKUP(I75,[1]locations!A:E,3,FALSE)</f>
        <v>527</v>
      </c>
      <c r="K75" s="30" t="str">
        <f>VLOOKUP(I75,[1]locations!A:E,5,FALSE)</f>
        <v>USA_527</v>
      </c>
      <c r="L75" s="32">
        <v>1</v>
      </c>
      <c r="M75" s="54" t="s">
        <v>438</v>
      </c>
      <c r="N75" s="54" t="s">
        <v>470</v>
      </c>
      <c r="O75" s="34" t="s">
        <v>129</v>
      </c>
      <c r="P75" s="33" t="s">
        <v>130</v>
      </c>
      <c r="Q75" s="33">
        <v>1</v>
      </c>
      <c r="R75" s="33">
        <v>1</v>
      </c>
      <c r="S75" s="33" t="s">
        <v>131</v>
      </c>
      <c r="T75" s="29" t="s">
        <v>256</v>
      </c>
      <c r="W75" s="29">
        <f>260/7</f>
        <v>37.142857142857146</v>
      </c>
      <c r="X75" s="29">
        <f>308/7</f>
        <v>44</v>
      </c>
      <c r="Y75" s="29">
        <v>2500</v>
      </c>
      <c r="Z75" s="35" t="s">
        <v>133</v>
      </c>
      <c r="AA75" s="36">
        <v>2001</v>
      </c>
      <c r="AB75" s="30">
        <v>2008</v>
      </c>
      <c r="AC75" s="53">
        <v>0</v>
      </c>
      <c r="AD75" s="54">
        <v>0</v>
      </c>
      <c r="AE75" s="30">
        <v>0</v>
      </c>
      <c r="AF75" s="31" t="s">
        <v>166</v>
      </c>
      <c r="AG75" s="29">
        <v>1.02</v>
      </c>
      <c r="AH75" s="29">
        <v>1.01</v>
      </c>
      <c r="AI75" s="29">
        <v>1.0309999999999999</v>
      </c>
      <c r="AJ75" s="31"/>
      <c r="AK75" s="29">
        <v>22420</v>
      </c>
      <c r="AL75" s="29">
        <v>938629</v>
      </c>
      <c r="AM75" s="30">
        <v>95</v>
      </c>
      <c r="AN75" s="36">
        <v>0</v>
      </c>
      <c r="AO75" s="30">
        <v>0</v>
      </c>
      <c r="AP75" s="30" t="s">
        <v>471</v>
      </c>
      <c r="AQ75" s="30">
        <v>0</v>
      </c>
      <c r="AR75" s="30">
        <v>0</v>
      </c>
      <c r="AS75" s="30">
        <v>0</v>
      </c>
      <c r="AT75" s="30">
        <v>0</v>
      </c>
      <c r="AU75" s="30">
        <v>0</v>
      </c>
      <c r="AV75" s="30">
        <v>1</v>
      </c>
      <c r="AW75" s="30">
        <v>2</v>
      </c>
      <c r="AX75" s="29" t="s">
        <v>472</v>
      </c>
      <c r="AY75" s="29" t="s">
        <v>555</v>
      </c>
      <c r="AZ75" s="29" t="s">
        <v>557</v>
      </c>
      <c r="BA75" s="30">
        <v>2</v>
      </c>
      <c r="BB75" s="30">
        <v>80</v>
      </c>
      <c r="BC75" s="31">
        <v>5.82</v>
      </c>
      <c r="BD75" s="31"/>
      <c r="BH75" s="29">
        <v>17.399999999999999</v>
      </c>
      <c r="BI75" s="29">
        <v>3.69</v>
      </c>
      <c r="BL75" s="31" t="s">
        <v>473</v>
      </c>
      <c r="BM75" s="29">
        <v>0</v>
      </c>
      <c r="BN75" s="29">
        <v>1</v>
      </c>
      <c r="BP75" s="29" t="s">
        <v>139</v>
      </c>
      <c r="BQ75" s="29">
        <v>0</v>
      </c>
    </row>
    <row r="76" spans="1:70" s="42" customFormat="1" x14ac:dyDescent="0.25">
      <c r="A76" s="40"/>
      <c r="B76" s="41">
        <v>394472</v>
      </c>
      <c r="D76" s="42" t="s">
        <v>474</v>
      </c>
      <c r="E76" s="42" t="s">
        <v>475</v>
      </c>
      <c r="F76" s="42">
        <v>357</v>
      </c>
      <c r="G76" s="42">
        <v>2</v>
      </c>
      <c r="H76" s="42" t="s">
        <v>150</v>
      </c>
      <c r="I76" s="44" t="s">
        <v>151</v>
      </c>
      <c r="J76" s="42">
        <f>VLOOKUP(I76,[1]locations!A:E,3,FALSE)</f>
        <v>527</v>
      </c>
      <c r="K76" s="42" t="str">
        <f>VLOOKUP(I76,[1]locations!A:E,5,FALSE)</f>
        <v>USA_527</v>
      </c>
      <c r="L76" s="45">
        <v>1</v>
      </c>
      <c r="M76" s="46" t="s">
        <v>438</v>
      </c>
      <c r="N76" s="46" t="s">
        <v>476</v>
      </c>
      <c r="O76" s="47" t="s">
        <v>129</v>
      </c>
      <c r="P76" s="46" t="s">
        <v>130</v>
      </c>
      <c r="Q76" s="46">
        <v>1</v>
      </c>
      <c r="R76" s="46">
        <v>1</v>
      </c>
      <c r="S76" s="46" t="s">
        <v>131</v>
      </c>
      <c r="T76" s="42" t="s">
        <v>256</v>
      </c>
      <c r="U76" s="42">
        <v>500</v>
      </c>
      <c r="V76" s="42">
        <v>5000</v>
      </c>
      <c r="W76" s="42">
        <f>259/7</f>
        <v>37</v>
      </c>
      <c r="X76" s="42">
        <f>320/7</f>
        <v>45.714285714285715</v>
      </c>
      <c r="Y76" s="42">
        <v>2500</v>
      </c>
      <c r="Z76" s="48" t="s">
        <v>133</v>
      </c>
      <c r="AA76" s="44">
        <v>1995</v>
      </c>
      <c r="AB76" s="42">
        <v>2006</v>
      </c>
      <c r="AC76" s="45">
        <v>0</v>
      </c>
      <c r="AD76" s="46">
        <v>0</v>
      </c>
      <c r="AE76" s="42">
        <v>0</v>
      </c>
      <c r="AF76" s="44" t="s">
        <v>166</v>
      </c>
      <c r="AG76" s="42">
        <v>1.17</v>
      </c>
      <c r="AH76" s="42">
        <v>1.1000000000000001</v>
      </c>
      <c r="AI76" s="42">
        <v>1.24</v>
      </c>
      <c r="AJ76" s="44"/>
      <c r="AK76" s="42">
        <v>27714</v>
      </c>
      <c r="AL76" s="42">
        <v>1356304</v>
      </c>
      <c r="AM76" s="42">
        <v>95</v>
      </c>
      <c r="AN76" s="44">
        <v>0</v>
      </c>
      <c r="AO76" s="42">
        <v>0</v>
      </c>
      <c r="AP76" s="42" t="s">
        <v>477</v>
      </c>
      <c r="AQ76" s="42">
        <v>0</v>
      </c>
      <c r="AR76" s="58">
        <v>1</v>
      </c>
      <c r="AS76" s="42">
        <v>0</v>
      </c>
      <c r="AT76" s="42">
        <v>0</v>
      </c>
      <c r="AU76" s="42">
        <v>0</v>
      </c>
      <c r="AV76" s="42">
        <v>1</v>
      </c>
      <c r="AW76" s="42">
        <v>2</v>
      </c>
      <c r="AX76" s="42" t="s">
        <v>478</v>
      </c>
      <c r="AY76" s="42" t="s">
        <v>555</v>
      </c>
      <c r="AZ76" s="42" t="s">
        <v>556</v>
      </c>
      <c r="BA76" s="42">
        <v>1</v>
      </c>
      <c r="BB76" s="42">
        <v>89</v>
      </c>
      <c r="BC76" s="44">
        <v>10</v>
      </c>
      <c r="BD76" s="44"/>
      <c r="BH76" s="42">
        <v>17.04</v>
      </c>
      <c r="BK76" s="42">
        <v>1.96</v>
      </c>
      <c r="BL76" s="44" t="s">
        <v>479</v>
      </c>
      <c r="BM76" s="42">
        <v>0</v>
      </c>
      <c r="BN76" s="42">
        <v>1</v>
      </c>
      <c r="BP76" s="42" t="s">
        <v>139</v>
      </c>
      <c r="BQ76" s="42">
        <v>0</v>
      </c>
    </row>
    <row r="77" spans="1:70" s="29" customFormat="1" x14ac:dyDescent="0.25">
      <c r="A77" s="50"/>
      <c r="B77" s="51">
        <v>394474</v>
      </c>
      <c r="D77" s="29" t="s">
        <v>480</v>
      </c>
      <c r="E77" s="29" t="s">
        <v>481</v>
      </c>
      <c r="F77" s="29">
        <v>458</v>
      </c>
      <c r="G77" s="30">
        <v>4</v>
      </c>
      <c r="H77" s="29" t="s">
        <v>358</v>
      </c>
      <c r="I77" s="31" t="s">
        <v>151</v>
      </c>
      <c r="J77" s="30">
        <f>VLOOKUP(I77,[1]locations!A:E,3,FALSE)</f>
        <v>527</v>
      </c>
      <c r="K77" s="30" t="str">
        <f>VLOOKUP(I77,[1]locations!A:E,5,FALSE)</f>
        <v>USA_527</v>
      </c>
      <c r="L77" s="32">
        <v>0</v>
      </c>
      <c r="M77" s="33"/>
      <c r="N77" s="33" t="s">
        <v>482</v>
      </c>
      <c r="O77" s="34" t="s">
        <v>129</v>
      </c>
      <c r="P77" s="33" t="s">
        <v>177</v>
      </c>
      <c r="Q77" s="33">
        <v>1</v>
      </c>
      <c r="R77" s="33">
        <v>1</v>
      </c>
      <c r="S77" s="33" t="s">
        <v>131</v>
      </c>
      <c r="T77" s="29" t="s">
        <v>178</v>
      </c>
      <c r="W77" s="29">
        <v>24</v>
      </c>
      <c r="X77" s="29">
        <v>44</v>
      </c>
      <c r="Y77" s="30">
        <v>37</v>
      </c>
      <c r="Z77" s="35" t="s">
        <v>133</v>
      </c>
      <c r="AA77" s="36">
        <v>1999</v>
      </c>
      <c r="AB77" s="30">
        <v>2000</v>
      </c>
      <c r="AC77" s="53">
        <v>0</v>
      </c>
      <c r="AD77" s="54">
        <v>0</v>
      </c>
      <c r="AE77" s="30">
        <v>0</v>
      </c>
      <c r="AF77" s="31" t="s">
        <v>166</v>
      </c>
      <c r="AG77" s="29">
        <v>1.1499999999999999</v>
      </c>
      <c r="AH77" s="29">
        <v>1.149</v>
      </c>
      <c r="AI77" s="29">
        <v>1.1599999999999999</v>
      </c>
      <c r="AJ77" s="31"/>
      <c r="AK77" s="29">
        <v>10673</v>
      </c>
      <c r="AL77" s="29">
        <v>42692</v>
      </c>
      <c r="AM77" s="30">
        <v>95</v>
      </c>
      <c r="AN77" s="36">
        <v>0</v>
      </c>
      <c r="AO77" s="30">
        <v>1</v>
      </c>
      <c r="AP77" s="30" t="s">
        <v>483</v>
      </c>
      <c r="AQ77" s="30">
        <v>0</v>
      </c>
      <c r="AR77" s="28">
        <v>0</v>
      </c>
      <c r="AS77" s="30">
        <v>0</v>
      </c>
      <c r="AT77" s="30">
        <v>0</v>
      </c>
      <c r="AU77" s="30">
        <v>0</v>
      </c>
      <c r="AV77" s="30">
        <v>1</v>
      </c>
      <c r="AW77" s="30">
        <v>2</v>
      </c>
      <c r="AX77" s="29" t="s">
        <v>484</v>
      </c>
      <c r="AY77" s="29" t="s">
        <v>555</v>
      </c>
      <c r="AZ77" s="29" t="s">
        <v>556</v>
      </c>
      <c r="BA77" s="30">
        <v>2</v>
      </c>
      <c r="BB77" s="30" t="s">
        <v>485</v>
      </c>
      <c r="BC77" s="31">
        <v>10</v>
      </c>
      <c r="BD77" s="31"/>
      <c r="BH77" s="29">
        <f>(18*10673+17.5*32019)/(10673+32019)</f>
        <v>17.625</v>
      </c>
      <c r="BI77" s="29">
        <v>5.2</v>
      </c>
      <c r="BL77" s="31" t="s">
        <v>486</v>
      </c>
      <c r="BM77" s="29">
        <v>0</v>
      </c>
      <c r="BN77" s="29">
        <v>1</v>
      </c>
      <c r="BO77" s="52" t="s">
        <v>487</v>
      </c>
      <c r="BP77" s="29" t="s">
        <v>139</v>
      </c>
      <c r="BQ77" s="29">
        <v>0</v>
      </c>
    </row>
    <row r="78" spans="1:70" s="42" customFormat="1" x14ac:dyDescent="0.25">
      <c r="A78" s="40"/>
      <c r="B78" s="41">
        <v>394477</v>
      </c>
      <c r="D78" s="42" t="s">
        <v>488</v>
      </c>
      <c r="E78" s="42" t="s">
        <v>489</v>
      </c>
      <c r="F78" s="42">
        <v>221</v>
      </c>
      <c r="G78" s="42">
        <v>3</v>
      </c>
      <c r="H78" s="42" t="s">
        <v>150</v>
      </c>
      <c r="I78" s="44" t="s">
        <v>159</v>
      </c>
      <c r="J78" s="42">
        <f>VLOOKUP(I78,[1]locations!A:E,3,FALSE)</f>
        <v>102</v>
      </c>
      <c r="K78" s="42" t="str">
        <f>VLOOKUP(I78,[1]locations!A:E,5,FALSE)</f>
        <v>USA</v>
      </c>
      <c r="L78" s="45">
        <v>1</v>
      </c>
      <c r="M78" s="46" t="s">
        <v>326</v>
      </c>
      <c r="N78" s="46" t="s">
        <v>490</v>
      </c>
      <c r="O78" s="47" t="s">
        <v>129</v>
      </c>
      <c r="P78" s="46" t="s">
        <v>130</v>
      </c>
      <c r="Q78" s="46">
        <v>1</v>
      </c>
      <c r="R78" s="46">
        <v>0</v>
      </c>
      <c r="S78" s="46" t="s">
        <v>131</v>
      </c>
      <c r="T78" s="42" t="s">
        <v>491</v>
      </c>
      <c r="U78" s="42">
        <v>500</v>
      </c>
      <c r="V78" s="42">
        <v>5500</v>
      </c>
      <c r="W78" s="42">
        <v>40</v>
      </c>
      <c r="X78" s="42">
        <v>40</v>
      </c>
      <c r="Z78" s="48" t="s">
        <v>133</v>
      </c>
      <c r="AA78" s="44">
        <v>2001</v>
      </c>
      <c r="AB78" s="42">
        <v>2003</v>
      </c>
      <c r="AC78" s="45">
        <v>0</v>
      </c>
      <c r="AD78" s="46">
        <v>0</v>
      </c>
      <c r="AE78" s="42">
        <v>0</v>
      </c>
      <c r="AF78" s="44" t="s">
        <v>134</v>
      </c>
      <c r="AG78" s="42">
        <v>14.2</v>
      </c>
      <c r="AH78" s="42">
        <v>4.5</v>
      </c>
      <c r="AI78" s="42">
        <v>24</v>
      </c>
      <c r="AJ78" s="44"/>
      <c r="AL78" s="42">
        <v>401273</v>
      </c>
      <c r="AM78" s="42">
        <v>95</v>
      </c>
      <c r="AN78" s="44">
        <v>0</v>
      </c>
      <c r="AO78" s="42">
        <v>1</v>
      </c>
      <c r="AP78" s="42" t="s">
        <v>492</v>
      </c>
      <c r="AQ78" s="42">
        <v>0</v>
      </c>
      <c r="AR78" s="58">
        <v>0</v>
      </c>
      <c r="AS78" s="42">
        <v>0</v>
      </c>
      <c r="AT78" s="42">
        <v>0</v>
      </c>
      <c r="AU78" s="42">
        <v>0</v>
      </c>
      <c r="AV78" s="42">
        <v>1</v>
      </c>
      <c r="AW78" s="42">
        <v>2</v>
      </c>
      <c r="AX78" s="42" t="s">
        <v>493</v>
      </c>
      <c r="AY78" s="42" t="s">
        <v>556</v>
      </c>
      <c r="AZ78" s="42" t="s">
        <v>556</v>
      </c>
      <c r="BA78" s="58">
        <v>2</v>
      </c>
      <c r="BB78" s="58" t="s">
        <v>494</v>
      </c>
      <c r="BC78" s="44">
        <v>10</v>
      </c>
      <c r="BD78" s="44"/>
      <c r="BJ78" s="42">
        <v>14.5</v>
      </c>
      <c r="BK78" s="42">
        <v>3.5</v>
      </c>
      <c r="BL78" s="44" t="s">
        <v>495</v>
      </c>
      <c r="BM78" s="42">
        <v>0</v>
      </c>
      <c r="BN78" s="42">
        <v>1</v>
      </c>
      <c r="BP78" s="42" t="s">
        <v>139</v>
      </c>
      <c r="BQ78" s="42">
        <v>0</v>
      </c>
    </row>
    <row r="79" spans="1:70" s="42" customFormat="1" x14ac:dyDescent="0.25">
      <c r="A79" s="40"/>
      <c r="B79" s="41">
        <v>394477</v>
      </c>
      <c r="D79" s="42" t="s">
        <v>488</v>
      </c>
      <c r="E79" s="42" t="s">
        <v>489</v>
      </c>
      <c r="F79" s="42">
        <v>223</v>
      </c>
      <c r="G79" s="42">
        <v>5</v>
      </c>
      <c r="H79" s="42" t="s">
        <v>150</v>
      </c>
      <c r="I79" s="44" t="s">
        <v>159</v>
      </c>
      <c r="J79" s="42">
        <f>VLOOKUP(I79,[1]locations!A:E,3,FALSE)</f>
        <v>102</v>
      </c>
      <c r="K79" s="42" t="str">
        <f>VLOOKUP(I79,[1]locations!A:E,5,FALSE)</f>
        <v>USA</v>
      </c>
      <c r="L79" s="45">
        <v>1</v>
      </c>
      <c r="M79" s="46" t="s">
        <v>326</v>
      </c>
      <c r="N79" s="46" t="s">
        <v>490</v>
      </c>
      <c r="O79" s="47" t="s">
        <v>129</v>
      </c>
      <c r="P79" s="46" t="s">
        <v>130</v>
      </c>
      <c r="Q79" s="46">
        <v>0</v>
      </c>
      <c r="R79" s="46">
        <v>1</v>
      </c>
      <c r="S79" s="46" t="s">
        <v>131</v>
      </c>
      <c r="T79" s="42" t="s">
        <v>496</v>
      </c>
      <c r="U79" s="42">
        <v>500</v>
      </c>
      <c r="V79" s="42">
        <v>5500</v>
      </c>
      <c r="W79" s="42">
        <v>40</v>
      </c>
      <c r="X79" s="42">
        <v>40</v>
      </c>
      <c r="Y79" s="42">
        <v>2500</v>
      </c>
      <c r="Z79" s="48" t="s">
        <v>133</v>
      </c>
      <c r="AA79" s="44">
        <v>2001</v>
      </c>
      <c r="AB79" s="42">
        <v>2003</v>
      </c>
      <c r="AC79" s="45">
        <v>0</v>
      </c>
      <c r="AD79" s="46">
        <v>0</v>
      </c>
      <c r="AE79" s="42">
        <v>0</v>
      </c>
      <c r="AF79" s="44" t="s">
        <v>166</v>
      </c>
      <c r="AG79" s="42">
        <v>1</v>
      </c>
      <c r="AH79" s="42">
        <v>0.91</v>
      </c>
      <c r="AI79" s="42">
        <v>1.1000000000000001</v>
      </c>
      <c r="AJ79" s="44"/>
      <c r="AK79" s="42">
        <v>5136</v>
      </c>
      <c r="AL79" s="42">
        <v>401273</v>
      </c>
      <c r="AM79" s="42">
        <v>95</v>
      </c>
      <c r="AN79" s="44">
        <v>0</v>
      </c>
      <c r="AO79" s="42">
        <v>1</v>
      </c>
      <c r="AP79" s="42" t="s">
        <v>492</v>
      </c>
      <c r="AQ79" s="42">
        <v>0</v>
      </c>
      <c r="AR79" s="58">
        <v>0</v>
      </c>
      <c r="AS79" s="42">
        <v>0</v>
      </c>
      <c r="AT79" s="42">
        <v>0</v>
      </c>
      <c r="AU79" s="42">
        <v>0</v>
      </c>
      <c r="AV79" s="42">
        <v>1</v>
      </c>
      <c r="AW79" s="42">
        <v>2</v>
      </c>
      <c r="AX79" s="42" t="s">
        <v>493</v>
      </c>
      <c r="AY79" s="42" t="s">
        <v>556</v>
      </c>
      <c r="AZ79" s="42" t="s">
        <v>556</v>
      </c>
      <c r="BA79" s="58">
        <v>2</v>
      </c>
      <c r="BB79" s="58" t="s">
        <v>494</v>
      </c>
      <c r="BC79" s="44">
        <v>10</v>
      </c>
      <c r="BD79" s="44"/>
      <c r="BJ79" s="42">
        <v>14.5</v>
      </c>
      <c r="BK79" s="42">
        <v>3.5</v>
      </c>
      <c r="BL79" s="44" t="s">
        <v>495</v>
      </c>
      <c r="BM79" s="42">
        <v>0</v>
      </c>
      <c r="BN79" s="42">
        <v>1</v>
      </c>
      <c r="BP79" s="42" t="s">
        <v>139</v>
      </c>
      <c r="BQ79" s="42">
        <v>0</v>
      </c>
    </row>
    <row r="80" spans="1:70" s="29" customFormat="1" x14ac:dyDescent="0.25">
      <c r="A80" s="50"/>
      <c r="B80" s="51">
        <v>394479</v>
      </c>
      <c r="D80" s="29" t="s">
        <v>497</v>
      </c>
      <c r="E80" s="29" t="s">
        <v>498</v>
      </c>
      <c r="F80" s="29">
        <v>1747</v>
      </c>
      <c r="G80" s="30">
        <v>4</v>
      </c>
      <c r="H80" s="29" t="s">
        <v>150</v>
      </c>
      <c r="I80" s="31" t="s">
        <v>159</v>
      </c>
      <c r="J80" s="76" t="s">
        <v>499</v>
      </c>
      <c r="K80" s="30" t="e">
        <f ca="1">INDEX([1]locations!I:I,MATCH((INDIRECT("I"&amp;ROW())),[1]locations!E:E,0))</f>
        <v>#N/A</v>
      </c>
      <c r="L80" s="32">
        <v>1</v>
      </c>
      <c r="M80" s="33" t="s">
        <v>500</v>
      </c>
      <c r="N80" s="33" t="s">
        <v>501</v>
      </c>
      <c r="O80" s="34" t="s">
        <v>129</v>
      </c>
      <c r="P80" s="33" t="s">
        <v>130</v>
      </c>
      <c r="Q80" s="33">
        <v>1</v>
      </c>
      <c r="R80" s="33">
        <v>1</v>
      </c>
      <c r="S80" s="33" t="s">
        <v>131</v>
      </c>
      <c r="T80" s="29" t="s">
        <v>256</v>
      </c>
      <c r="U80" s="29">
        <v>1000</v>
      </c>
      <c r="V80" s="29">
        <v>5500</v>
      </c>
      <c r="W80" s="29">
        <v>37</v>
      </c>
      <c r="X80" s="29">
        <v>44</v>
      </c>
      <c r="Y80" s="29">
        <v>2500</v>
      </c>
      <c r="Z80" s="35" t="s">
        <v>133</v>
      </c>
      <c r="AA80" s="36">
        <v>2000</v>
      </c>
      <c r="AB80" s="30">
        <v>2007</v>
      </c>
      <c r="AC80" s="53">
        <v>0</v>
      </c>
      <c r="AD80" s="54">
        <v>0</v>
      </c>
      <c r="AE80" s="30">
        <v>0</v>
      </c>
      <c r="AF80" s="31" t="s">
        <v>166</v>
      </c>
      <c r="AG80" s="29">
        <v>1.022</v>
      </c>
      <c r="AH80" s="52">
        <v>0.998</v>
      </c>
      <c r="AI80" s="29">
        <v>1.048</v>
      </c>
      <c r="AJ80" s="31"/>
      <c r="AK80" s="29">
        <v>34308</v>
      </c>
      <c r="AL80" s="29">
        <v>1207800</v>
      </c>
      <c r="AM80" s="30">
        <v>95</v>
      </c>
      <c r="AN80" s="36">
        <v>0</v>
      </c>
      <c r="AO80" s="30">
        <v>1</v>
      </c>
      <c r="AP80" s="30" t="s">
        <v>502</v>
      </c>
      <c r="AQ80" s="30">
        <v>0</v>
      </c>
      <c r="AR80" s="28">
        <v>0</v>
      </c>
      <c r="AS80" s="30">
        <v>0</v>
      </c>
      <c r="AT80" s="30">
        <v>0</v>
      </c>
      <c r="AU80" s="30">
        <v>0</v>
      </c>
      <c r="AV80" s="30">
        <v>1</v>
      </c>
      <c r="AW80" s="30">
        <v>0</v>
      </c>
      <c r="AX80" s="29" t="s">
        <v>503</v>
      </c>
      <c r="AY80" s="29" t="s">
        <v>555</v>
      </c>
      <c r="AZ80" s="29" t="s">
        <v>557</v>
      </c>
      <c r="BA80" s="30">
        <v>1</v>
      </c>
      <c r="BB80" s="30">
        <v>87</v>
      </c>
      <c r="BC80" s="31">
        <v>2.71</v>
      </c>
      <c r="BD80" s="31"/>
      <c r="BH80" s="29">
        <v>13.41</v>
      </c>
      <c r="BI80" s="29">
        <v>2.0499999999999998</v>
      </c>
      <c r="BL80" s="31" t="s">
        <v>504</v>
      </c>
      <c r="BM80" s="29">
        <v>0</v>
      </c>
      <c r="BN80" s="29">
        <v>1</v>
      </c>
      <c r="BP80" s="29" t="s">
        <v>139</v>
      </c>
      <c r="BQ80" s="29">
        <v>0</v>
      </c>
    </row>
    <row r="81" spans="1:69" s="42" customFormat="1" x14ac:dyDescent="0.25">
      <c r="A81" s="40"/>
      <c r="B81" s="41">
        <v>394524</v>
      </c>
      <c r="D81" s="42" t="s">
        <v>505</v>
      </c>
      <c r="E81" s="42" t="s">
        <v>258</v>
      </c>
      <c r="F81" s="42">
        <v>430</v>
      </c>
      <c r="G81" s="42">
        <v>2</v>
      </c>
      <c r="H81" s="42" t="s">
        <v>150</v>
      </c>
      <c r="I81" s="44" t="s">
        <v>159</v>
      </c>
      <c r="J81" s="77" t="s">
        <v>506</v>
      </c>
      <c r="K81" s="42" t="e">
        <f ca="1">INDEX([1]locations!I:I,MATCH((INDIRECT("I"&amp;ROW())),[1]locations!E:E,0))</f>
        <v>#N/A</v>
      </c>
      <c r="L81" s="45">
        <v>1</v>
      </c>
      <c r="M81" s="46" t="s">
        <v>507</v>
      </c>
      <c r="N81" s="46" t="s">
        <v>508</v>
      </c>
      <c r="O81" s="47" t="s">
        <v>129</v>
      </c>
      <c r="P81" s="46" t="s">
        <v>130</v>
      </c>
      <c r="Q81" s="46">
        <v>1</v>
      </c>
      <c r="R81" s="46">
        <v>1</v>
      </c>
      <c r="S81" s="46" t="s">
        <v>131</v>
      </c>
      <c r="T81" s="42" t="s">
        <v>509</v>
      </c>
      <c r="W81" s="42">
        <v>37</v>
      </c>
      <c r="X81" s="42">
        <v>40</v>
      </c>
      <c r="Y81" s="42">
        <v>2500</v>
      </c>
      <c r="Z81" s="48" t="s">
        <v>133</v>
      </c>
      <c r="AA81" s="44">
        <v>2001</v>
      </c>
      <c r="AB81" s="42">
        <v>2004</v>
      </c>
      <c r="AC81" s="45">
        <v>0</v>
      </c>
      <c r="AD81" s="46">
        <v>0</v>
      </c>
      <c r="AE81" s="42">
        <v>0</v>
      </c>
      <c r="AF81" s="44" t="s">
        <v>166</v>
      </c>
      <c r="AG81" s="42">
        <v>1.03</v>
      </c>
      <c r="AH81" s="42">
        <v>1.022</v>
      </c>
      <c r="AI81" s="42">
        <v>1.0369999999999999</v>
      </c>
      <c r="AJ81" s="44"/>
      <c r="AK81" s="42">
        <v>34784</v>
      </c>
      <c r="AL81" s="42">
        <v>1374875</v>
      </c>
      <c r="AM81" s="42">
        <v>95</v>
      </c>
      <c r="AN81" s="44">
        <v>0</v>
      </c>
      <c r="AO81" s="42">
        <v>1</v>
      </c>
      <c r="AP81" s="42" t="s">
        <v>510</v>
      </c>
      <c r="AQ81" s="42">
        <v>0</v>
      </c>
      <c r="AR81" s="58">
        <v>0</v>
      </c>
      <c r="AS81" s="42">
        <v>0</v>
      </c>
      <c r="AT81" s="42">
        <v>0</v>
      </c>
      <c r="AU81" s="42">
        <v>0</v>
      </c>
      <c r="AV81" s="42">
        <v>1</v>
      </c>
      <c r="AW81" s="42">
        <v>1</v>
      </c>
      <c r="AX81" s="42" t="s">
        <v>511</v>
      </c>
      <c r="AY81" s="42" t="s">
        <v>555</v>
      </c>
      <c r="AZ81" s="42" t="s">
        <v>556</v>
      </c>
      <c r="BB81" s="42" t="s">
        <v>379</v>
      </c>
      <c r="BC81" s="44">
        <v>1</v>
      </c>
      <c r="BD81" s="44">
        <v>4.5</v>
      </c>
      <c r="BG81" s="42">
        <v>16.600000000000001</v>
      </c>
      <c r="BH81" s="42">
        <v>11.9</v>
      </c>
      <c r="BI81" s="42">
        <v>2.2999999999999998</v>
      </c>
      <c r="BL81" s="44" t="s">
        <v>512</v>
      </c>
      <c r="BM81" s="42">
        <v>0</v>
      </c>
      <c r="BN81" s="42">
        <v>1</v>
      </c>
      <c r="BP81" s="42" t="s">
        <v>139</v>
      </c>
      <c r="BQ81" s="42">
        <v>0</v>
      </c>
    </row>
    <row r="82" spans="1:69" s="29" customFormat="1" x14ac:dyDescent="0.25">
      <c r="A82" s="50"/>
      <c r="B82" s="51">
        <v>397896</v>
      </c>
      <c r="D82" s="29" t="s">
        <v>513</v>
      </c>
      <c r="E82" s="56" t="s">
        <v>514</v>
      </c>
      <c r="F82" s="29">
        <v>246</v>
      </c>
      <c r="G82" s="30">
        <v>3</v>
      </c>
      <c r="H82" s="29" t="s">
        <v>150</v>
      </c>
      <c r="I82" s="31" t="s">
        <v>169</v>
      </c>
      <c r="J82" s="30">
        <v>102</v>
      </c>
      <c r="K82" s="30" t="s">
        <v>515</v>
      </c>
      <c r="L82" s="32">
        <v>0</v>
      </c>
      <c r="M82" s="33"/>
      <c r="N82" s="33" t="s">
        <v>516</v>
      </c>
      <c r="O82" s="34" t="s">
        <v>129</v>
      </c>
      <c r="P82" s="33" t="s">
        <v>130</v>
      </c>
      <c r="Q82" s="33">
        <v>1</v>
      </c>
      <c r="R82" s="33">
        <v>0</v>
      </c>
      <c r="S82" s="33" t="s">
        <v>131</v>
      </c>
      <c r="T82" s="29" t="s">
        <v>517</v>
      </c>
      <c r="W82" s="29">
        <v>37</v>
      </c>
      <c r="Z82" s="35" t="s">
        <v>133</v>
      </c>
      <c r="AA82" s="31">
        <v>1999</v>
      </c>
      <c r="AB82" s="29">
        <v>2008</v>
      </c>
      <c r="AC82" s="53">
        <v>0</v>
      </c>
      <c r="AD82" s="54">
        <v>0</v>
      </c>
      <c r="AE82" s="30">
        <v>0</v>
      </c>
      <c r="AF82" s="31" t="s">
        <v>134</v>
      </c>
      <c r="AG82" s="29">
        <v>-20.5</v>
      </c>
      <c r="AH82" s="29">
        <v>-24.7</v>
      </c>
      <c r="AI82" s="29">
        <v>-16.399999999999999</v>
      </c>
      <c r="AJ82" s="31"/>
      <c r="AL82" s="29">
        <v>2781940</v>
      </c>
      <c r="AM82" s="30">
        <v>95</v>
      </c>
      <c r="AN82" s="36">
        <v>0</v>
      </c>
      <c r="AO82" s="28">
        <v>0</v>
      </c>
      <c r="AP82" s="30" t="s">
        <v>518</v>
      </c>
      <c r="AQ82" s="30">
        <v>0</v>
      </c>
      <c r="AR82" s="28">
        <v>0</v>
      </c>
      <c r="AS82" s="30">
        <v>0</v>
      </c>
      <c r="AT82" s="30">
        <v>0</v>
      </c>
      <c r="AU82" s="30">
        <v>0</v>
      </c>
      <c r="AV82" s="30">
        <v>1</v>
      </c>
      <c r="AW82" s="30">
        <v>2</v>
      </c>
      <c r="AX82" s="29" t="s">
        <v>519</v>
      </c>
      <c r="AY82" s="29" t="s">
        <v>557</v>
      </c>
      <c r="AZ82" s="29" t="s">
        <v>557</v>
      </c>
      <c r="BA82" s="30">
        <v>1</v>
      </c>
      <c r="BB82" s="30">
        <v>94</v>
      </c>
      <c r="BC82" s="31">
        <v>10</v>
      </c>
      <c r="BD82" s="31"/>
      <c r="BE82" s="29">
        <v>4.6100000000000003</v>
      </c>
      <c r="BF82" s="29">
        <v>12.42</v>
      </c>
      <c r="BH82" s="29">
        <v>8.43</v>
      </c>
      <c r="BI82" s="29">
        <v>2.4</v>
      </c>
      <c r="BJ82" s="29">
        <v>8.44</v>
      </c>
      <c r="BK82" s="29">
        <v>3.58</v>
      </c>
      <c r="BL82" s="31" t="s">
        <v>520</v>
      </c>
      <c r="BM82" s="29">
        <v>0</v>
      </c>
      <c r="BN82" s="29">
        <v>1</v>
      </c>
      <c r="BP82" s="29" t="s">
        <v>139</v>
      </c>
      <c r="BQ82" s="29">
        <v>0</v>
      </c>
    </row>
    <row r="83" spans="1:69" s="29" customFormat="1" x14ac:dyDescent="0.25">
      <c r="A83" s="50"/>
      <c r="B83" s="51">
        <v>397896</v>
      </c>
      <c r="D83" s="29" t="s">
        <v>513</v>
      </c>
      <c r="E83" s="56" t="s">
        <v>514</v>
      </c>
      <c r="F83" s="29">
        <v>246</v>
      </c>
      <c r="G83" s="30">
        <v>3</v>
      </c>
      <c r="H83" s="29" t="s">
        <v>150</v>
      </c>
      <c r="I83" s="31" t="s">
        <v>169</v>
      </c>
      <c r="J83" s="30">
        <v>102</v>
      </c>
      <c r="K83" s="30" t="s">
        <v>515</v>
      </c>
      <c r="L83" s="32">
        <v>0</v>
      </c>
      <c r="M83" s="33"/>
      <c r="N83" s="33" t="s">
        <v>516</v>
      </c>
      <c r="O83" s="34" t="s">
        <v>129</v>
      </c>
      <c r="P83" s="33" t="s">
        <v>130</v>
      </c>
      <c r="Q83" s="33">
        <v>0</v>
      </c>
      <c r="R83" s="33">
        <v>1</v>
      </c>
      <c r="S83" s="33" t="s">
        <v>131</v>
      </c>
      <c r="T83" s="29" t="s">
        <v>256</v>
      </c>
      <c r="Y83" s="29">
        <v>2500</v>
      </c>
      <c r="Z83" s="35" t="s">
        <v>133</v>
      </c>
      <c r="AA83" s="31">
        <v>1999</v>
      </c>
      <c r="AB83" s="29">
        <v>2008</v>
      </c>
      <c r="AC83" s="53">
        <v>0</v>
      </c>
      <c r="AD83" s="54">
        <v>0</v>
      </c>
      <c r="AE83" s="30">
        <v>0</v>
      </c>
      <c r="AF83" s="31" t="s">
        <v>166</v>
      </c>
      <c r="AG83" s="29">
        <v>1.01</v>
      </c>
      <c r="AH83" s="29">
        <v>0.94</v>
      </c>
      <c r="AI83" s="29">
        <v>1.08</v>
      </c>
      <c r="AJ83" s="31"/>
      <c r="AK83" s="29">
        <v>43676</v>
      </c>
      <c r="AL83" s="29">
        <v>2781940</v>
      </c>
      <c r="AM83" s="30">
        <v>95</v>
      </c>
      <c r="AN83" s="36">
        <v>0</v>
      </c>
      <c r="AO83" s="28">
        <v>0</v>
      </c>
      <c r="AP83" s="30" t="s">
        <v>518</v>
      </c>
      <c r="AQ83" s="30">
        <v>0</v>
      </c>
      <c r="AR83" s="28">
        <v>0</v>
      </c>
      <c r="AS83" s="30">
        <v>0</v>
      </c>
      <c r="AT83" s="30">
        <v>0</v>
      </c>
      <c r="AU83" s="30">
        <v>0</v>
      </c>
      <c r="AV83" s="30">
        <v>1</v>
      </c>
      <c r="AW83" s="30">
        <v>2</v>
      </c>
      <c r="AX83" s="29" t="s">
        <v>519</v>
      </c>
      <c r="AY83" s="29" t="s">
        <v>557</v>
      </c>
      <c r="AZ83" s="29" t="s">
        <v>557</v>
      </c>
      <c r="BA83" s="30">
        <v>1</v>
      </c>
      <c r="BB83" s="30">
        <v>94</v>
      </c>
      <c r="BC83" s="31">
        <v>10</v>
      </c>
      <c r="BD83" s="31"/>
      <c r="BE83" s="29">
        <v>4.6100000000000003</v>
      </c>
      <c r="BF83" s="29">
        <v>12.42</v>
      </c>
      <c r="BH83" s="29">
        <v>8.43</v>
      </c>
      <c r="BI83" s="29">
        <v>2.4</v>
      </c>
      <c r="BJ83" s="29">
        <v>8.44</v>
      </c>
      <c r="BK83" s="29">
        <v>3.58</v>
      </c>
      <c r="BL83" s="31" t="s">
        <v>520</v>
      </c>
      <c r="BM83" s="29">
        <v>0</v>
      </c>
      <c r="BN83" s="29">
        <v>1</v>
      </c>
      <c r="BP83" s="29" t="s">
        <v>139</v>
      </c>
      <c r="BQ83" s="29">
        <v>0</v>
      </c>
    </row>
    <row r="84" spans="1:69" s="29" customFormat="1" x14ac:dyDescent="0.25">
      <c r="A84" s="50"/>
      <c r="B84" s="51">
        <v>397896</v>
      </c>
      <c r="D84" s="29" t="s">
        <v>513</v>
      </c>
      <c r="E84" s="56" t="s">
        <v>514</v>
      </c>
      <c r="F84" s="29">
        <v>246</v>
      </c>
      <c r="G84" s="30">
        <v>3</v>
      </c>
      <c r="H84" s="29" t="s">
        <v>150</v>
      </c>
      <c r="I84" s="31" t="s">
        <v>169</v>
      </c>
      <c r="J84" s="30">
        <v>102</v>
      </c>
      <c r="K84" s="30" t="s">
        <v>515</v>
      </c>
      <c r="L84" s="32">
        <v>0</v>
      </c>
      <c r="M84" s="33"/>
      <c r="N84" s="33" t="s">
        <v>516</v>
      </c>
      <c r="O84" s="34" t="s">
        <v>129</v>
      </c>
      <c r="P84" s="33" t="s">
        <v>177</v>
      </c>
      <c r="Q84" s="33">
        <v>1</v>
      </c>
      <c r="R84" s="33">
        <v>1</v>
      </c>
      <c r="S84" s="33" t="s">
        <v>131</v>
      </c>
      <c r="T84" s="29" t="s">
        <v>178</v>
      </c>
      <c r="Y84" s="29">
        <v>37</v>
      </c>
      <c r="Z84" s="35" t="s">
        <v>133</v>
      </c>
      <c r="AA84" s="31">
        <v>1999</v>
      </c>
      <c r="AB84" s="29">
        <v>2008</v>
      </c>
      <c r="AC84" s="53">
        <v>0</v>
      </c>
      <c r="AD84" s="54">
        <v>0</v>
      </c>
      <c r="AE84" s="30">
        <v>0</v>
      </c>
      <c r="AF84" s="31" t="s">
        <v>166</v>
      </c>
      <c r="AG84" s="29">
        <v>0.96</v>
      </c>
      <c r="AH84" s="29">
        <v>0.93</v>
      </c>
      <c r="AI84" s="29">
        <v>0.99</v>
      </c>
      <c r="AJ84" s="31"/>
      <c r="AK84" s="29">
        <v>184826</v>
      </c>
      <c r="AL84" s="29">
        <v>2966705</v>
      </c>
      <c r="AM84" s="30">
        <v>95</v>
      </c>
      <c r="AN84" s="36">
        <v>0</v>
      </c>
      <c r="AO84" s="28">
        <v>0</v>
      </c>
      <c r="AP84" s="30" t="s">
        <v>518</v>
      </c>
      <c r="AQ84" s="30">
        <v>0</v>
      </c>
      <c r="AR84" s="28">
        <v>0</v>
      </c>
      <c r="AS84" s="30">
        <v>0</v>
      </c>
      <c r="AT84" s="30">
        <v>0</v>
      </c>
      <c r="AU84" s="30">
        <v>0</v>
      </c>
      <c r="AV84" s="30">
        <v>1</v>
      </c>
      <c r="AW84" s="30">
        <v>2</v>
      </c>
      <c r="AX84" s="29" t="s">
        <v>519</v>
      </c>
      <c r="AY84" s="29" t="s">
        <v>557</v>
      </c>
      <c r="AZ84" s="29" t="s">
        <v>557</v>
      </c>
      <c r="BA84" s="30">
        <v>1</v>
      </c>
      <c r="BB84" s="30">
        <v>94</v>
      </c>
      <c r="BC84" s="31">
        <v>10</v>
      </c>
      <c r="BD84" s="31"/>
      <c r="BE84" s="29">
        <v>4.6100000000000003</v>
      </c>
      <c r="BF84" s="29">
        <v>12.42</v>
      </c>
      <c r="BH84" s="29">
        <v>8.43</v>
      </c>
      <c r="BI84" s="29">
        <v>2.4</v>
      </c>
      <c r="BJ84" s="29">
        <v>8.44</v>
      </c>
      <c r="BK84" s="29">
        <v>3.58</v>
      </c>
      <c r="BL84" s="31" t="s">
        <v>520</v>
      </c>
      <c r="BM84" s="29">
        <v>0</v>
      </c>
      <c r="BN84" s="29">
        <v>1</v>
      </c>
      <c r="BP84" s="29" t="s">
        <v>139</v>
      </c>
      <c r="BQ84" s="29">
        <v>0</v>
      </c>
    </row>
    <row r="85" spans="1:69" s="42" customFormat="1" x14ac:dyDescent="0.25">
      <c r="A85" s="40"/>
      <c r="B85" s="41">
        <v>397902</v>
      </c>
      <c r="D85" s="42" t="s">
        <v>521</v>
      </c>
      <c r="E85" s="42" t="s">
        <v>522</v>
      </c>
      <c r="F85" s="42">
        <v>429</v>
      </c>
      <c r="G85" s="42">
        <v>2</v>
      </c>
      <c r="H85" s="42" t="s">
        <v>150</v>
      </c>
      <c r="I85" s="44" t="s">
        <v>523</v>
      </c>
      <c r="J85" s="57" t="s">
        <v>524</v>
      </c>
      <c r="K85" s="42" t="e">
        <f ca="1">INDEX([1]locations!I:I,MATCH((INDIRECT("I"&amp;ROW())),[1]locations!E:E,0))</f>
        <v>#N/A</v>
      </c>
      <c r="L85" s="45">
        <v>1</v>
      </c>
      <c r="M85" s="46" t="s">
        <v>525</v>
      </c>
      <c r="N85" s="46" t="s">
        <v>526</v>
      </c>
      <c r="O85" s="47" t="s">
        <v>129</v>
      </c>
      <c r="P85" s="46" t="s">
        <v>130</v>
      </c>
      <c r="Q85" s="46">
        <v>1</v>
      </c>
      <c r="R85" s="46">
        <v>1</v>
      </c>
      <c r="S85" s="46" t="s">
        <v>131</v>
      </c>
      <c r="T85" s="42" t="s">
        <v>429</v>
      </c>
      <c r="Y85" s="42">
        <v>2500</v>
      </c>
      <c r="Z85" s="48" t="s">
        <v>133</v>
      </c>
      <c r="AA85" s="44">
        <v>2004</v>
      </c>
      <c r="AB85" s="42">
        <v>2008</v>
      </c>
      <c r="AC85" s="45">
        <v>0</v>
      </c>
      <c r="AD85" s="46">
        <v>0</v>
      </c>
      <c r="AE85" s="42">
        <v>0</v>
      </c>
      <c r="AF85" s="44" t="s">
        <v>166</v>
      </c>
      <c r="AG85" s="42">
        <v>0.99</v>
      </c>
      <c r="AH85" s="42">
        <v>0.96</v>
      </c>
      <c r="AI85" s="42">
        <v>1.01</v>
      </c>
      <c r="AJ85" s="44"/>
      <c r="AK85" s="42">
        <v>16466</v>
      </c>
      <c r="AL85" s="42">
        <v>192900</v>
      </c>
      <c r="AM85" s="42">
        <v>95</v>
      </c>
      <c r="AN85" s="44">
        <v>0</v>
      </c>
      <c r="AO85" s="42">
        <v>1</v>
      </c>
      <c r="AP85" s="42" t="s">
        <v>527</v>
      </c>
      <c r="AQ85" s="42">
        <v>0</v>
      </c>
      <c r="AR85" s="58">
        <v>0</v>
      </c>
      <c r="AS85" s="42">
        <v>0</v>
      </c>
      <c r="AT85" s="42">
        <v>0</v>
      </c>
      <c r="AU85" s="42">
        <v>0</v>
      </c>
      <c r="AV85" s="42">
        <v>1</v>
      </c>
      <c r="AW85" s="42">
        <v>2</v>
      </c>
      <c r="AX85" s="42" t="s">
        <v>528</v>
      </c>
      <c r="AY85" s="42" t="s">
        <v>555</v>
      </c>
      <c r="AZ85" s="42" t="s">
        <v>557</v>
      </c>
      <c r="BA85" s="42">
        <v>2</v>
      </c>
      <c r="BB85" s="42">
        <v>67</v>
      </c>
      <c r="BC85" s="44">
        <v>10</v>
      </c>
      <c r="BD85" s="44">
        <v>1.4</v>
      </c>
      <c r="BG85" s="42">
        <v>98.1</v>
      </c>
      <c r="BJ85" s="42">
        <v>12.32</v>
      </c>
      <c r="BL85" s="44" t="s">
        <v>529</v>
      </c>
      <c r="BM85" s="42">
        <v>0</v>
      </c>
      <c r="BN85" s="42">
        <v>1</v>
      </c>
      <c r="BO85" s="42" t="s">
        <v>530</v>
      </c>
      <c r="BP85" s="42" t="s">
        <v>139</v>
      </c>
      <c r="BQ85" s="42">
        <v>0</v>
      </c>
    </row>
    <row r="86" spans="1:69" s="42" customFormat="1" x14ac:dyDescent="0.25">
      <c r="A86" s="40"/>
      <c r="B86" s="41">
        <v>397902</v>
      </c>
      <c r="D86" s="42" t="s">
        <v>521</v>
      </c>
      <c r="E86" s="42" t="s">
        <v>522</v>
      </c>
      <c r="F86" s="42">
        <v>429</v>
      </c>
      <c r="G86" s="42">
        <v>2</v>
      </c>
      <c r="H86" s="42" t="s">
        <v>150</v>
      </c>
      <c r="I86" s="44" t="s">
        <v>523</v>
      </c>
      <c r="J86" s="57" t="s">
        <v>524</v>
      </c>
      <c r="K86" s="42" t="e">
        <f ca="1">INDEX([1]locations!I:I,MATCH((INDIRECT("I"&amp;ROW())),[1]locations!E:E,0))</f>
        <v>#N/A</v>
      </c>
      <c r="L86" s="45">
        <v>1</v>
      </c>
      <c r="M86" s="46" t="s">
        <v>525</v>
      </c>
      <c r="N86" s="46" t="s">
        <v>526</v>
      </c>
      <c r="O86" s="47" t="s">
        <v>129</v>
      </c>
      <c r="P86" s="46" t="s">
        <v>177</v>
      </c>
      <c r="Q86" s="46">
        <v>1</v>
      </c>
      <c r="R86" s="46">
        <v>1</v>
      </c>
      <c r="S86" s="46" t="s">
        <v>131</v>
      </c>
      <c r="T86" s="42" t="s">
        <v>178</v>
      </c>
      <c r="Y86" s="42">
        <v>37</v>
      </c>
      <c r="Z86" s="48" t="s">
        <v>133</v>
      </c>
      <c r="AA86" s="44">
        <v>2004</v>
      </c>
      <c r="AB86" s="42">
        <v>2008</v>
      </c>
      <c r="AC86" s="45">
        <v>0</v>
      </c>
      <c r="AD86" s="46">
        <v>0</v>
      </c>
      <c r="AE86" s="42">
        <v>0</v>
      </c>
      <c r="AF86" s="44" t="s">
        <v>166</v>
      </c>
      <c r="AG86" s="42">
        <v>0.96</v>
      </c>
      <c r="AH86" s="42">
        <v>0.9</v>
      </c>
      <c r="AI86" s="42">
        <v>1.02</v>
      </c>
      <c r="AJ86" s="44"/>
      <c r="AK86" s="42">
        <v>13378</v>
      </c>
      <c r="AL86" s="42">
        <v>192900</v>
      </c>
      <c r="AM86" s="42">
        <v>95</v>
      </c>
      <c r="AN86" s="44">
        <v>0</v>
      </c>
      <c r="AO86" s="42">
        <v>1</v>
      </c>
      <c r="AP86" s="42" t="s">
        <v>527</v>
      </c>
      <c r="AQ86" s="42">
        <v>0</v>
      </c>
      <c r="AR86" s="58">
        <v>0</v>
      </c>
      <c r="AS86" s="42">
        <v>0</v>
      </c>
      <c r="AT86" s="42">
        <v>0</v>
      </c>
      <c r="AU86" s="42">
        <v>0</v>
      </c>
      <c r="AV86" s="42">
        <v>1</v>
      </c>
      <c r="AW86" s="42">
        <v>2</v>
      </c>
      <c r="AX86" s="42" t="s">
        <v>528</v>
      </c>
      <c r="AY86" s="42" t="s">
        <v>555</v>
      </c>
      <c r="AZ86" s="42" t="s">
        <v>557</v>
      </c>
      <c r="BA86" s="42">
        <v>2</v>
      </c>
      <c r="BB86" s="42">
        <v>67</v>
      </c>
      <c r="BC86" s="44">
        <v>10</v>
      </c>
      <c r="BD86" s="44">
        <v>1.4</v>
      </c>
      <c r="BG86" s="42">
        <v>98.1</v>
      </c>
      <c r="BJ86" s="42">
        <v>12.32</v>
      </c>
      <c r="BL86" s="44" t="s">
        <v>529</v>
      </c>
      <c r="BM86" s="42">
        <v>0</v>
      </c>
      <c r="BN86" s="42">
        <v>1</v>
      </c>
      <c r="BO86" s="42" t="s">
        <v>531</v>
      </c>
      <c r="BP86" s="42" t="s">
        <v>139</v>
      </c>
      <c r="BQ86" s="42">
        <v>0</v>
      </c>
    </row>
    <row r="87" spans="1:69" s="29" customFormat="1" x14ac:dyDescent="0.25">
      <c r="A87" s="50"/>
      <c r="B87" s="51">
        <v>403407</v>
      </c>
      <c r="D87" s="29" t="s">
        <v>532</v>
      </c>
      <c r="E87" s="56" t="s">
        <v>533</v>
      </c>
      <c r="G87" s="30" t="s">
        <v>534</v>
      </c>
      <c r="H87" s="29" t="s">
        <v>150</v>
      </c>
      <c r="I87" s="31" t="s">
        <v>523</v>
      </c>
      <c r="J87" s="54">
        <f>VLOOKUP(I87,[1]locations!A:E,3,FALSE)</f>
        <v>1</v>
      </c>
      <c r="K87" s="30" t="s">
        <v>515</v>
      </c>
      <c r="L87" s="32">
        <v>1</v>
      </c>
      <c r="M87" s="33" t="s">
        <v>535</v>
      </c>
      <c r="N87" s="33" t="s">
        <v>536</v>
      </c>
      <c r="O87" s="34" t="s">
        <v>129</v>
      </c>
      <c r="P87" s="33" t="s">
        <v>130</v>
      </c>
      <c r="Q87" s="33">
        <v>1</v>
      </c>
      <c r="R87" s="33">
        <v>0</v>
      </c>
      <c r="S87" s="33" t="s">
        <v>131</v>
      </c>
      <c r="T87" s="29" t="s">
        <v>537</v>
      </c>
      <c r="U87" s="29">
        <v>1500</v>
      </c>
      <c r="V87" s="29">
        <v>5000</v>
      </c>
      <c r="Z87" s="35" t="s">
        <v>133</v>
      </c>
      <c r="AA87" s="31">
        <v>2001</v>
      </c>
      <c r="AB87" s="29">
        <v>2015</v>
      </c>
      <c r="AC87" s="53">
        <v>0</v>
      </c>
      <c r="AD87" s="54">
        <v>0</v>
      </c>
      <c r="AE87" s="30">
        <v>0</v>
      </c>
      <c r="AF87" s="31" t="s">
        <v>134</v>
      </c>
      <c r="AG87" s="29">
        <v>-0.877</v>
      </c>
      <c r="AH87" s="29">
        <v>-3.7410000000000001</v>
      </c>
      <c r="AI87" s="29">
        <v>1.7250000000000001</v>
      </c>
      <c r="AJ87" s="31"/>
      <c r="AL87" s="29">
        <v>215975</v>
      </c>
      <c r="AM87" s="30">
        <v>95</v>
      </c>
      <c r="AN87" s="36">
        <v>0</v>
      </c>
      <c r="AO87" s="28">
        <v>0</v>
      </c>
      <c r="AP87" s="30" t="s">
        <v>538</v>
      </c>
      <c r="AQ87" s="30">
        <v>0</v>
      </c>
      <c r="AR87" s="28">
        <v>0</v>
      </c>
      <c r="AS87" s="30">
        <v>0</v>
      </c>
      <c r="AT87" s="30">
        <v>0</v>
      </c>
      <c r="AU87" s="30">
        <v>0</v>
      </c>
      <c r="AV87" s="30">
        <v>1</v>
      </c>
      <c r="AW87" s="30">
        <v>2</v>
      </c>
      <c r="AX87" s="29" t="s">
        <v>539</v>
      </c>
      <c r="AY87" s="29" t="s">
        <v>556</v>
      </c>
      <c r="AZ87" s="29" t="s">
        <v>556</v>
      </c>
      <c r="BA87" s="30">
        <v>2</v>
      </c>
      <c r="BB87" s="30" t="s">
        <v>540</v>
      </c>
      <c r="BC87" s="31">
        <v>1</v>
      </c>
      <c r="BD87" s="31">
        <v>1.88</v>
      </c>
      <c r="BE87" s="29">
        <v>7</v>
      </c>
      <c r="BF87" s="29">
        <v>42.11</v>
      </c>
      <c r="BG87" s="29">
        <v>95.57</v>
      </c>
      <c r="BH87" s="29">
        <v>21.99</v>
      </c>
      <c r="BI87" s="29">
        <v>11.39</v>
      </c>
      <c r="BJ87" s="29">
        <v>18.96</v>
      </c>
      <c r="BK87" s="29">
        <f>31.06-12.69</f>
        <v>18.369999999999997</v>
      </c>
      <c r="BL87" s="31" t="s">
        <v>541</v>
      </c>
      <c r="BM87" s="29">
        <v>1</v>
      </c>
      <c r="BN87" s="29">
        <v>1</v>
      </c>
      <c r="BO87" s="29" t="s">
        <v>542</v>
      </c>
      <c r="BP87" s="29" t="s">
        <v>139</v>
      </c>
      <c r="BQ87" s="29">
        <v>0</v>
      </c>
    </row>
    <row r="88" spans="1:69" s="80" customFormat="1" ht="15.75" thickBot="1" x14ac:dyDescent="0.3">
      <c r="A88" s="78"/>
      <c r="B88" s="79">
        <v>403431</v>
      </c>
      <c r="D88" s="80" t="s">
        <v>543</v>
      </c>
      <c r="E88" s="81" t="s">
        <v>544</v>
      </c>
      <c r="H88" s="80" t="s">
        <v>150</v>
      </c>
      <c r="I88" s="82" t="s">
        <v>169</v>
      </c>
      <c r="J88" s="46">
        <f>VLOOKUP(I88,[1]locations!A:E,3,FALSE)</f>
        <v>101</v>
      </c>
      <c r="K88" s="80" t="s">
        <v>515</v>
      </c>
      <c r="L88" s="83">
        <v>1</v>
      </c>
      <c r="M88" s="84" t="s">
        <v>545</v>
      </c>
      <c r="N88" s="84" t="s">
        <v>546</v>
      </c>
      <c r="O88" s="85" t="s">
        <v>129</v>
      </c>
      <c r="P88" s="84" t="s">
        <v>130</v>
      </c>
      <c r="Q88" s="84">
        <v>1</v>
      </c>
      <c r="R88" s="84">
        <v>0</v>
      </c>
      <c r="S88" s="84" t="s">
        <v>131</v>
      </c>
      <c r="T88" s="80" t="s">
        <v>537</v>
      </c>
      <c r="U88" s="80">
        <v>500</v>
      </c>
      <c r="W88" s="80">
        <v>20</v>
      </c>
      <c r="Z88" s="86" t="s">
        <v>133</v>
      </c>
      <c r="AA88" s="82">
        <v>2001</v>
      </c>
      <c r="AB88" s="80">
        <v>2006</v>
      </c>
      <c r="AC88" s="83">
        <v>0</v>
      </c>
      <c r="AD88" s="84">
        <v>0</v>
      </c>
      <c r="AE88" s="42">
        <v>0</v>
      </c>
      <c r="AF88" s="82" t="s">
        <v>134</v>
      </c>
      <c r="AG88" s="87">
        <v>-23.401387</v>
      </c>
      <c r="AH88" s="87">
        <v>-25.947144999999999</v>
      </c>
      <c r="AI88" s="87">
        <v>-20.855629</v>
      </c>
      <c r="AJ88" s="82"/>
      <c r="AL88" s="80">
        <v>231929</v>
      </c>
      <c r="AM88" s="80">
        <v>95</v>
      </c>
      <c r="AN88" s="82">
        <v>0</v>
      </c>
      <c r="AO88" s="80">
        <v>1</v>
      </c>
      <c r="AP88" s="80" t="s">
        <v>547</v>
      </c>
      <c r="AQ88" s="80">
        <v>0</v>
      </c>
      <c r="AR88" s="88">
        <v>1</v>
      </c>
      <c r="AS88" s="80">
        <v>0</v>
      </c>
      <c r="AT88" s="80">
        <v>0</v>
      </c>
      <c r="AU88" s="80">
        <v>0</v>
      </c>
      <c r="AV88" s="80">
        <v>1</v>
      </c>
      <c r="AW88" s="42">
        <v>1</v>
      </c>
      <c r="AX88" s="42" t="s">
        <v>548</v>
      </c>
      <c r="AY88" s="42" t="s">
        <v>555</v>
      </c>
      <c r="AZ88" s="42" t="s">
        <v>556</v>
      </c>
      <c r="BA88" s="80">
        <v>0</v>
      </c>
      <c r="BB88" s="80">
        <v>98</v>
      </c>
      <c r="BC88" s="82">
        <v>2.8201999999999998</v>
      </c>
      <c r="BD88" s="82">
        <v>4.41</v>
      </c>
      <c r="BG88" s="80">
        <v>10.23</v>
      </c>
      <c r="BH88" s="80">
        <v>7.3</v>
      </c>
      <c r="BI88" s="80">
        <v>0.86</v>
      </c>
      <c r="BL88" s="82" t="s">
        <v>549</v>
      </c>
      <c r="BM88" s="80">
        <v>1</v>
      </c>
      <c r="BN88" s="80">
        <v>1</v>
      </c>
      <c r="BO88" s="80" t="s">
        <v>550</v>
      </c>
      <c r="BP88" s="80" t="s">
        <v>139</v>
      </c>
      <c r="BQ88" s="80">
        <v>0</v>
      </c>
    </row>
  </sheetData>
  <autoFilter ref="A1:BS88">
    <filterColumn colId="68">
      <filters>
        <filter val="0"/>
        <filter val="0 = not outliered; 1 = outlier; will be 0 for all rows after initial upload"/>
      </filters>
    </filterColumn>
  </autoFilter>
  <dataValidations count="18">
    <dataValidation type="whole" allowBlank="1" showErrorMessage="1" promptTitle="year_end" prompt="format YYYY; for articles that don't specify year or length of data collection, default is pub year - 1 = year_end" sqref="AB3:AB88">
      <formula1>1900</formula1>
      <formula2>2017</formula2>
    </dataValidation>
    <dataValidation type="whole" allowBlank="1" showErrorMessage="1" promptTitle="year_start" prompt="format YYYY; for articles that don't specify year or length of data collection the default is pub year - 3 = year_start; if length of data collection is specified use year_end - time period of data collection  year_start" sqref="AA3:AA88">
      <formula1>1900</formula1>
      <formula2>2017</formula2>
    </dataValidation>
    <dataValidation allowBlank="1" showErrorMessage="1" promptTitle="table_num" prompt="table/figure number from literature, or survey question" sqref="G3:G88"/>
    <dataValidation allowBlank="1" showInputMessage="1" showErrorMessage="1" promptTitle="extractor" prompt="uwnet id of person who extracted the data" sqref="BR82:BR88"/>
    <dataValidation allowBlank="1" showErrorMessage="1" promptTitle="extractor" prompt="uwnet id of person who extracted the data" sqref="BP3:BP88"/>
    <dataValidation type="whole" allowBlank="1" showErrorMessage="1" promptTitle="underlying_nid" prompt="for meta-analyses, certain database source, and in some other specific cases this is required" sqref="A3:A88">
      <formula1>1</formula1>
      <formula2>600000</formula2>
    </dataValidation>
    <dataValidation allowBlank="1" showErrorMessage="1" promptTitle="note_SR" prompt="for SRs only, audience is modeler, not for correspondence" sqref="BO3:BO88"/>
    <dataValidation allowBlank="1" showErrorMessage="1" promptTitle="site_memo" prompt="open-ended site field; direct copy and paste from article (city name, site to be assigned subnational later, etc)" sqref="N14:N15 N3:R13 M3:M88 N18:N88 O14:R88"/>
    <dataValidation type="whole" showInputMessage="1" showErrorMessage="1" promptTitle="nid" prompt="unique identifier of a source from the GHDx" sqref="B3 B5:B81 B85:B88">
      <formula1>1</formula1>
      <formula2>600000</formula2>
    </dataValidation>
    <dataValidation allowBlank="1" showErrorMessage="1" promptTitle="field_citation" prompt="IHME Zotero format" sqref="N16:N17 D3 BL71:BN81 BL3:BN66 D5:D66 D71:D88"/>
    <dataValidation type="decimal" allowBlank="1" showErrorMessage="1" error="Enter a value between 0 and 99. Decimals are accepted." promptTitle="age_end" prompt="Extracted exactly how presented in article" sqref="AE67:AE70 AC3:AC88">
      <formula1>0</formula1>
      <formula2>99</formula2>
    </dataValidation>
    <dataValidation allowBlank="1" showErrorMessage="1" promptTitle="smaller_site_unit" prompt="if data are collected in a location more granular than the assigned location_id=1 if not=0" sqref="U26:V26 L3:L88"/>
    <dataValidation allowBlank="1" showErrorMessage="1" promptTitle="file_path" prompt="full file path of article. This field is not getting uploaded into the EPI database" sqref="BL67:BN70 D67:D70 E3 E31:E39 E5:E7 E46:E49 E43 E41 E54:E81 E18:E26 E12:E14 E85:E86"/>
    <dataValidation allowBlank="1" showErrorMessage="1" promptTitle="case_name" prompt="text directly from article; case name as it appears in source" sqref="W3:Y77 U27:V76 U3:V25 T3:T77 T78:Y88"/>
    <dataValidation allowBlank="1" showErrorMessage="1" promptTitle="note_modeler" prompt="for modelers only, audience is modeler, not for correspondence" sqref="BL82:BN88 BC3:BK88"/>
    <dataValidation type="whole" allowBlank="1" showErrorMessage="1" promptTitle="uncertainty_type_value" prompt="only required if article provides confidence intervals - column represents the confidence level which is reported at (Eg. 95, 90, 99)" sqref="AM3:AM88">
      <formula1>0</formula1>
      <formula2>100</formula2>
    </dataValidation>
    <dataValidation allowBlank="1" showErrorMessage="1" promptTitle="page_num" prompt="page number from literature, or survey question. Use page # of article, not page # of .pdf" sqref="F3:F43 F45:F88"/>
    <dataValidation allowBlank="1" showErrorMessage="1" sqref="AE65:AE66 AF65:AG81 AI3:AL81 J1:R2 AE71:AE88 AF82:AL88 T1:AC2 A1:H2 AE3:AG64 AE1:AM2 BC1:XFD2"/>
  </dataValidations>
  <hyperlinks>
    <hyperlink ref="E8" r:id="rId1" display="../../../../../../../../DATA/JOURNAL_ARTICLES/ENVIRON_HEALTH_PERSPECT/2008"/>
    <hyperlink ref="E9" r:id="rId2" display="../../../../../../../../DATA/JOURNAL_ARTICLES/ENVIRON_HEALTH_PERSPECT/2008"/>
    <hyperlink ref="E10" r:id="rId3" display="../../../../../../../../DATA/JOURNAL_ARTICLES/ENVIRON_HEALTH_PERSPECT/2008"/>
    <hyperlink ref="E11" r:id="rId4" display="../../../../../../../../DATA/JOURNAL_ARTICLES/ENVIRON_HEALTH_PERSPECT/2008"/>
    <hyperlink ref="E27" r:id="rId5" display="../../../../../../../../DATA/JOURNAL_ARTICLES/EPIDEMIOLOGY/2014"/>
    <hyperlink ref="E28" r:id="rId6" display="../../../../../../../../DATA/JOURNAL_ARTICLES/EPIDEMIOLOGY/2014"/>
    <hyperlink ref="E29" r:id="rId7" display="../../../../../../../../DATA/JOURNAL_ARTICLES/EPIDEMIOLOGY/2014"/>
    <hyperlink ref="E30" r:id="rId8" display="../../../../../../../../DATA/JOURNAL_ARTICLES/EPIDEMIOLOGY/2014"/>
    <hyperlink ref="E40" r:id="rId9" display="../../../../../../../../DATA/JOURNAL_ARTICLES/ENVIRON_INT/2014"/>
    <hyperlink ref="E42" r:id="rId10" display="../../../../../../../../DATA/JOURNAL_ARTICLES/AM_J_EPIDEMIOL/2014"/>
    <hyperlink ref="E44" r:id="rId11" display="../../../../../../../../DATA/JOURNAL_ARTICLES/ENVIRON_HEALTH_PERSPECT/2016"/>
    <hyperlink ref="E45" r:id="rId12" display="../../../../../../../../DATA/JOURNAL_ARTICLES/ENVIRON_HEALTH_PERSPECT/2016"/>
    <hyperlink ref="E4" r:id="rId13" display="..\..\..\..\..\..\..\..\DATA\JOURNAL_ARTICLES\ENVIRON_RES\2009"/>
    <hyperlink ref="E15" r:id="rId14" display="../../../../../../../../DATA/JOURNAL_ARTICLES/STAT_MED/2011"/>
    <hyperlink ref="E87" r:id="rId15" display="../../../../../../../../DATA/JOURNAL_ARTICLES/NATURE/2018"/>
    <hyperlink ref="E88" r:id="rId16" display="../../../../../../../../DATA/JOURNAL_ARTICLES/ENVIRON_HEALTH/2016"/>
    <hyperlink ref="E82" r:id="rId17" display="../../../../../../../../DATA/JOURNAL_ARTICLES/ENVIRON_HEALTH_PERSPECT/2016"/>
    <hyperlink ref="E83" r:id="rId18" display="../../../../../../../../DATA/JOURNAL_ARTICLES/ENVIRON_HEALTH_PERSPECT/2016"/>
    <hyperlink ref="E84" r:id="rId19" display="../../../../../../../../DATA/JOURNAL_ARTICLES/ENVIRON_HEALTH_PERSPECT/2016"/>
  </hyperlinks>
  <pageMargins left="0.7" right="0.7" top="0.75" bottom="0.75" header="0.3" footer="0.3"/>
  <legacyDrawing r:id="rId2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extraction</vt:lpstr>
    </vt:vector>
  </TitlesOfParts>
  <Company>University of Washington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Kate Causey</dc:creator>
  <cp:lastModifiedBy>Kate Causey</cp:lastModifiedBy>
  <dcterms:created xsi:type="dcterms:W3CDTF">2019-08-06T23:22:35Z</dcterms:created>
  <dcterms:modified xsi:type="dcterms:W3CDTF">2019-08-23T00:03:55Z</dcterms:modified>
</cp:coreProperties>
</file>