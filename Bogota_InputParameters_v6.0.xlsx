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all_city_parameter_inputs" sheetId="2" state="visible" r:id="rId4"/>
    <sheet name="All_city_list" sheetId="3" state="visible" r:id="rId5"/>
    <sheet name="all_global_parameter_inputs" sheetId="4" state="visible" r:id="rId6"/>
    <sheet name="All_global_list" sheetId="5" state="visible" r:id="rId7"/>
    <sheet name="Default" sheetId="6" state="visible" r:id="rId8"/>
    <sheet name="Further_input_files" sheetId="7" state="visible" r:id="rId9"/>
    <sheet name="Grouped_Sources" sheetId="8" state="visible" r:id="rId10"/>
    <sheet name="Lookup" sheetId="9" state="visible" r:id="rId11"/>
    <sheet name="Safety in Numbers" sheetId="10" state="visible" r:id="rId12"/>
  </sheets>
  <definedNames>
    <definedName function="false" hidden="true" localSheetId="2" name="_xlnm._FilterDatabase" vbProcedure="false">All_city_list!$A$3:$R$2775</definedName>
    <definedName function="false" hidden="true" localSheetId="1" name="_xlnm._FilterDatabase" vbProcedure="false">all_city_parameter_inputs!$A$1:$C$39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<sst xmlns="http://schemas.openxmlformats.org/spreadsheetml/2006/main" count="1463" uniqueCount="597">
  <si>
    <t xml:space="preserve">Spreadsheet giving details about the various input parameters used in the ITHIM Global run for Bogotá, note that any distribution parameters used for running ITHIM-Global in sampling mode are omitted</t>
  </si>
  <si>
    <t xml:space="preserve">blue cells</t>
  </si>
  <si>
    <t xml:space="preserve">contain formula</t>
  </si>
  <si>
    <t xml:space="preserve">green cells</t>
  </si>
  <si>
    <t xml:space="preserve">need manual filling in </t>
  </si>
  <si>
    <t xml:space="preserve">Tab name</t>
  </si>
  <si>
    <t xml:space="preserve">Description</t>
  </si>
  <si>
    <t xml:space="preserve">all_city_parameter_inputs</t>
  </si>
  <si>
    <t xml:space="preserve">Table detailing all the city specific parameters which are read in during an ITHIM-Global run</t>
  </si>
  <si>
    <t xml:space="preserve">All_city_list</t>
  </si>
  <si>
    <t xml:space="preserve">List of all city specific parameters including their source and and explanation of what the parameter does. Takes its values from all_city_parameter_inputs and Default tabs. Parameter explanations and sources are added manually. 
To add a new city, add the city to the all_city_parameter_inputs tab (new column) and copy down the blue cells of the last populated row.
If the structure of all_city_parameter_inputs is changed, i.e. if parameters are added or deleted, add or delete rows for all cities to ensure the parameter descriptions and references are still in line with the correct parameter. The input values from all_city_parameter_inputs are currently being read based on their row and column value.</t>
  </si>
  <si>
    <t xml:space="preserve">all_global_parameter_inputs</t>
  </si>
  <si>
    <t xml:space="preserve">Details the global parameters, used as input file for ITHIM runs.</t>
  </si>
  <si>
    <t xml:space="preserve">All_global_list</t>
  </si>
  <si>
    <t xml:space="preserve">Details the values of the global parameters, i.e. the values that are not city specific. Reads values from all_global_parameter_inputs tab and Default tab and gives further information of where these values come from. </t>
  </si>
  <si>
    <t xml:space="preserve">Default</t>
  </si>
  <si>
    <t xml:space="preserve">List default values for all parameters, parameter explanations added to this tab are used in All_city_list</t>
  </si>
  <si>
    <t xml:space="preserve">Further_input_files</t>
  </si>
  <si>
    <t xml:space="preserve">Details where the additional input files needed for an ITHIM run can be found within the ITHIM-Global R package</t>
  </si>
  <si>
    <t xml:space="preserve">Grouped_sources</t>
  </si>
  <si>
    <t xml:space="preserve">Lookup table that shows from which city input parameter information on the all_city_list tab can be copied for other cities </t>
  </si>
  <si>
    <t xml:space="preserve">Lookup </t>
  </si>
  <si>
    <t xml:space="preserve">table linking different parameter names and classifications</t>
  </si>
  <si>
    <t xml:space="preserve">Safety in Numbers</t>
  </si>
  <si>
    <t xml:space="preserve">Details how the safety in numbers parameters were derived</t>
  </si>
  <si>
    <t xml:space="preserve">Document history</t>
  </si>
  <si>
    <t xml:space="preserve">version</t>
  </si>
  <si>
    <t xml:space="preserve">Changes made</t>
  </si>
  <si>
    <t xml:space="preserve">Author</t>
  </si>
  <si>
    <t xml:space="preserve">Date</t>
  </si>
  <si>
    <t xml:space="preserve">v0.1</t>
  </si>
  <si>
    <t xml:space="preserve">Initial set-up based on InputParameters_v35.1</t>
  </si>
  <si>
    <t xml:space="preserve">AKS</t>
  </si>
  <si>
    <t xml:space="preserve">v1.0</t>
  </si>
  <si>
    <t xml:space="preserve">Changed the retirement ages of bus, truck and commercial motorcycle drivers</t>
  </si>
  <si>
    <t xml:space="preserve">v1.01</t>
  </si>
  <si>
    <t xml:space="preserve">update MET values for light activity</t>
  </si>
  <si>
    <t xml:space="preserve">LT</t>
  </si>
  <si>
    <t xml:space="preserve">21/03/2024</t>
  </si>
  <si>
    <t xml:space="preserve">v1.02</t>
  </si>
  <si>
    <t xml:space="preserve">update CO2 from EDGAR database. The values come from: https://github.com/ITHIM/CO2_EDGAR_2018/blob/main/output/CO2_2018_ALL_cities.csv</t>
  </si>
  <si>
    <t xml:space="preserve">AA</t>
  </si>
  <si>
    <t xml:space="preserve">v2.0</t>
  </si>
  <si>
    <t xml:space="preserve">Removed backround_pa_confidence, PM_emissions_confidence and CO2_emissions_confidence parameter values as not needed for constant model run, updated cycling MET source, set minimum_pt_time to 5</t>
  </si>
  <si>
    <t xml:space="preserve">v2.1</t>
  </si>
  <si>
    <t xml:space="preserve">Introduced a new parameter called TREAT_TAXI_AS_CAR, which treats taxis as cars (and essentially adds taxi's distance to car/car_driver)</t>
  </si>
  <si>
    <t xml:space="preserve">v2.2</t>
  </si>
  <si>
    <t xml:space="preserve">Set TREAT_TAXI_AS_CAR to FALSE</t>
  </si>
  <si>
    <t xml:space="preserve">v3.0</t>
  </si>
  <si>
    <t xml:space="preserve">updated the SIN coefficients using the random effects values from the meta analysis</t>
  </si>
  <si>
    <t xml:space="preserve">v3.1</t>
  </si>
  <si>
    <t xml:space="preserve">Replaced big_truck with heavy_truck</t>
  </si>
  <si>
    <t xml:space="preserve">v3.2</t>
  </si>
  <si>
    <t xml:space="preserve">Set auto_rickshaw speed to 4, same as default speed in model</t>
  </si>
  <si>
    <t xml:space="preserve">v3.3</t>
  </si>
  <si>
    <t xml:space="preserve">Updated references</t>
  </si>
  <si>
    <t xml:space="preserve">v3.4</t>
  </si>
  <si>
    <t xml:space="preserve">added TREAT_TAXI_AS_CAR parameter to entire spreadsheet</t>
  </si>
  <si>
    <t xml:space="preserve">v4.0</t>
  </si>
  <si>
    <t xml:space="preserve">converted MET to MMET input parameters</t>
  </si>
  <si>
    <t xml:space="preserve">V5.0</t>
  </si>
  <si>
    <t xml:space="preserve">ITHIM Simple stripped down version with only handful parameters. Also, note injury module is turned off</t>
  </si>
  <si>
    <t xml:space="preserve">22/4/2025</t>
  </si>
  <si>
    <t xml:space="preserve">parameter</t>
  </si>
  <si>
    <t xml:space="preserve">detail</t>
  </si>
  <si>
    <t xml:space="preserve">bogota</t>
  </si>
  <si>
    <t xml:space="preserve">speeds</t>
  </si>
  <si>
    <t xml:space="preserve">auto_rickshaw</t>
  </si>
  <si>
    <t xml:space="preserve">bus</t>
  </si>
  <si>
    <t xml:space="preserve">car</t>
  </si>
  <si>
    <t xml:space="preserve">cycle</t>
  </si>
  <si>
    <t xml:space="preserve">subway</t>
  </si>
  <si>
    <t xml:space="preserve">motorcycle</t>
  </si>
  <si>
    <t xml:space="preserve">other</t>
  </si>
  <si>
    <t xml:space="preserve">pedestrian</t>
  </si>
  <si>
    <t xml:space="preserve">rail</t>
  </si>
  <si>
    <t xml:space="preserve">taxi</t>
  </si>
  <si>
    <t xml:space="preserve">truck</t>
  </si>
  <si>
    <t xml:space="preserve">van</t>
  </si>
  <si>
    <t xml:space="preserve">PM_emission_inventories</t>
  </si>
  <si>
    <t xml:space="preserve">bus_driver</t>
  </si>
  <si>
    <t xml:space="preserve">heavy_truck</t>
  </si>
  <si>
    <t xml:space="preserve">pm_conc_base</t>
  </si>
  <si>
    <t xml:space="preserve">constant</t>
  </si>
  <si>
    <t xml:space="preserve">mean</t>
  </si>
  <si>
    <t xml:space="preserve">sd</t>
  </si>
  <si>
    <t xml:space="preserve">pm_trans_share</t>
  </si>
  <si>
    <t xml:space="preserve">alpha</t>
  </si>
  <si>
    <t xml:space="preserve">beta</t>
  </si>
  <si>
    <t xml:space="preserve">CO2_emission_inventories</t>
  </si>
  <si>
    <t xml:space="preserve">country</t>
  </si>
  <si>
    <t xml:space="preserve">Colombia</t>
  </si>
  <si>
    <t xml:space="preserve">continent</t>
  </si>
  <si>
    <t xml:space="preserve">Latin_America</t>
  </si>
  <si>
    <t xml:space="preserve">List of parameters found in all_city_parameter_inputs</t>
  </si>
  <si>
    <t xml:space="preserve">Values that have been entered manually</t>
  </si>
  <si>
    <t xml:space="preserve">Values read in from other locations</t>
  </si>
  <si>
    <t xml:space="preserve">Location column</t>
  </si>
  <si>
    <t xml:space="preserve">Row location</t>
  </si>
  <si>
    <t xml:space="preserve">Default lookup</t>
  </si>
  <si>
    <t xml:space="preserve">Grouped sources lookup</t>
  </si>
  <si>
    <t xml:space="preserve">Location</t>
  </si>
  <si>
    <t xml:space="preserve">Parameter</t>
  </si>
  <si>
    <t xml:space="preserve">Detail</t>
  </si>
  <si>
    <t xml:space="preserve">Value</t>
  </si>
  <si>
    <t xml:space="preserve">Default value</t>
  </si>
  <si>
    <t xml:space="preserve">Classification</t>
  </si>
  <si>
    <t xml:space="preserve">Location of data (e.g. in v-drive, web link)</t>
  </si>
  <si>
    <t xml:space="preserve">Source of data</t>
  </si>
  <si>
    <t xml:space="preserve">Comments</t>
  </si>
  <si>
    <t xml:space="preserve">average speeds between London and Delhi travel surveys and where the speeds for Delhi are higher than those for London, the London speeds are chosen</t>
  </si>
  <si>
    <t xml:space="preserve">https://edgar.jrc.ec.europa.eu/, obtained values based on private correspondence</t>
  </si>
  <si>
    <t xml:space="preserve">EDGAR, 2018</t>
  </si>
  <si>
    <t xml:space="preserve">https://www.who.int/publications/i/item/9789241565684 </t>
  </si>
  <si>
    <t xml:space="preserve">WHO report giving reported and estimated injury statistics at a country level. The underreporting for Colombia is approx 20% but we assumed that the underreporting at a city level is half this value, i.e. 10%. So parameter was set to 1-0.1= 0.9</t>
  </si>
  <si>
    <t xml:space="preserve">assumes no bias in the disease data, distribution values need updating</t>
  </si>
  <si>
    <t xml:space="preserve">https://www.who.int/publications/m/item/who-air-quality-database-2022 </t>
  </si>
  <si>
    <t xml:space="preserve">WHO Air Quality Database, Update 2022</t>
  </si>
  <si>
    <t xml:space="preserve">HEYDARI, S., TAINIO, M., WOODCOCK, J. &amp; DE NAZELLE, A. 2020. Estimating traffic contribution to particulate matter concentration in urban areas using a multilevel Bayesian meta-regression approach. Environment international, 141, 105800.</t>
  </si>
  <si>
    <t xml:space="preserve">EDGAR and various other sources, detailed in document</t>
  </si>
  <si>
    <t xml:space="preserve">deduced values</t>
  </si>
  <si>
    <t xml:space="preserve">assumes no bias in PA data (could be improved by looking at PA surveys) </t>
  </si>
  <si>
    <t xml:space="preserve">https://www.datos.gov.co/Transporte/Encuesta-de-movilidad-de-Bogot-2015-Caracterizaci-/mvbb-bn7j</t>
  </si>
  <si>
    <t xml:space="preserve">median walking stage duration for all bus trips with a walking stage in the Bogota 2019 travel survey</t>
  </si>
  <si>
    <t xml:space="preserve">Sao Paulo: https://transparencia.metrosp.com.br/dataset/pesquisa-de-mobilidade-urbana
Mexico City: http://www.beta.inegi.org.mx/programas/eod/2017/</t>
  </si>
  <si>
    <t xml:space="preserve">average of median walking stage duration for all rail trips with a walking stage in the Sao Paulo 2017 and the Mexico City 2017 travel surveys</t>
  </si>
  <si>
    <t xml:space="preserve">Bogotá travel survey contains motorcycle trips</t>
  </si>
  <si>
    <t xml:space="preserve">want to add commercial motorcycle trips</t>
  </si>
  <si>
    <t xml:space="preserve">https://scioteca.caf.com/bitstream/handle/123456789/754/CAF%20LIBRO%20motos%20digital.pdf?sequence=1&amp;isAllowed=y </t>
  </si>
  <si>
    <t xml:space="preserve">Rodríguez 2015 </t>
  </si>
  <si>
    <t xml:space="preserve">Not used for constant run</t>
  </si>
  <si>
    <t xml:space="preserve">Want to include all walk to pt trips</t>
  </si>
  <si>
    <t xml:space="preserve">WRI Mexico: https://www.dtpm.cl/descargas/estudios/Estudio%20evaluaci%C3%B3n%20Transantiago%202016.pdf  
Camara de comercio: https://bibliotecadigital.ccb.org.co/handle/11520/25083</t>
  </si>
  <si>
    <t xml:space="preserve">Get number of passengers per km, speed and passenger duration from WRI Mèxico, Cámara de comercio de Bogotá gives proportion of each bus type </t>
  </si>
  <si>
    <t xml:space="preserve">Banco de desarollog: https://publications.iadb.org/publications/spanish/document/Congestion-urbana-en-America-Latina-y-el-Caribe-Caracter%C3%ADsticas-costos-mitigacion.pdf
Cano Torres: CANO TORRES, A.M., RODRIGUEZ DURÁN, S. 2018. Influencia de los vehículos de carga pesada en la congestión vial de la ciudad de Bogotá D.C., Colombia</t>
  </si>
  <si>
    <t xml:space="preserve">Banco de desarollo to get car vehicle kilometres travelled by car and Cano Torres to get HGV km </t>
  </si>
  <si>
    <t xml:space="preserve">set to 1 as distances in travel survey are expected to be without bias</t>
  </si>
  <si>
    <t xml:space="preserve">https://www.autofact.com.co/blog/mi-carro/actividades/carpooling-colombia </t>
  </si>
  <si>
    <t xml:space="preserve">Autofact, 2022 </t>
  </si>
  <si>
    <t xml:space="preserve">https://www.despacio.org/wp-content/uploads/2020/03/mujeresbogotalascuentas20200303web.pdf, p.90</t>
  </si>
  <si>
    <t xml:space="preserve">Moscoso, 2020</t>
  </si>
  <si>
    <t xml:space="preserve">Sí hay empleo para ser operadores de TransMilenio, https://www.oecd.org/els/public-pensions/OECD-Pension-Policy-Notes-Colombia.pdf, One year of driving experience is required and you can get your licence with 18, retirement age for men is 62</t>
  </si>
  <si>
    <t xml:space="preserve">Transmilenio, 2019, OECD data explorer, 2020</t>
  </si>
  <si>
    <t xml:space="preserve">Sí hay empleo para ser operadores de  https://www.oecd.org/els/public-pensions/OECD-Pension-Policy-Notes-Colombia.pdf, One year of driving experience is required and you can get your licence with 18, retirement age for women is 57</t>
  </si>
  <si>
    <t xml:space="preserve">Guesstimate, in 2020, 2.328 females had driving licence for tractocamiones (trucks? https://www.busesycamioneschevrolet.com.co/blog/mujeres-y-madres-transportadoras-un-mundo-que-cada-vez-crece-mas/), used same percentage as for male bus drivers</t>
  </si>
  <si>
    <t xml:space="preserve">https://www.autofact.com.co/blog/mi-carro/licencias/licencia-c3#:~:text=La%20licencia%20C3%20pertenece%20a,identifican%20por%20llevar%20placa%20blanca.,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men is 62</t>
  </si>
  <si>
    <t xml:space="preserve">Autofact, 2024, OECD data explorer, 2020</t>
  </si>
  <si>
    <t xml:space="preserve">https://www.autofact.com.co/blog/mi-carro/licencias/licencia-c3#:~:text=La%20licencia%20C3%20pertenece%20a,identifican%20por%20llevar%20placa%20blanca.,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women is 57</t>
  </si>
  <si>
    <t xml:space="preserve">La motocicleta en América Latina (CAF LIBRO motos digital.pdf)</t>
  </si>
  <si>
    <t xml:space="preserve">La motocicleta en América Latina (CAF LIBRO motos digital.pdf),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retirement age for men is 62</t>
  </si>
  <si>
    <t xml:space="preserve">Rodríguez 2015 , OECD data explorer 2020</t>
  </si>
  <si>
    <t xml:space="preserve">La motocicleta en América Latina (CAF LIBRO motos digital.pdf),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p.150, retirement age for women is 57</t>
  </si>
  <si>
    <t xml:space="preserve">Assumption that travel in travel survey represents a typical day within a week</t>
  </si>
  <si>
    <t xml:space="preserve">If set to False do not include taxi distance when calculating car vehicle emission factors</t>
  </si>
  <si>
    <t xml:space="preserve">global</t>
  </si>
  <si>
    <t xml:space="preserve">cycling_mmet</t>
  </si>
  <si>
    <t xml:space="preserve">walking_mmet</t>
  </si>
  <si>
    <t xml:space="preserve">passenger_mmet</t>
  </si>
  <si>
    <t xml:space="preserve">car_driver_mmet</t>
  </si>
  <si>
    <t xml:space="preserve">motorcyclist_mmet</t>
  </si>
  <si>
    <t xml:space="preserve">sedentary_activity_mmet</t>
  </si>
  <si>
    <t xml:space="preserve">light_activity_mmet</t>
  </si>
  <si>
    <t xml:space="preserve">moderate_pa_mmet</t>
  </si>
  <si>
    <t xml:space="preserve">vigorous_pa_mmet</t>
  </si>
  <si>
    <t xml:space="preserve">pa_dr_quantile_city1</t>
  </si>
  <si>
    <t xml:space="preserve">T</t>
  </si>
  <si>
    <t xml:space="preserve">ap_dr_quantile_city1</t>
  </si>
  <si>
    <t xml:space="preserve">min_age</t>
  </si>
  <si>
    <t xml:space="preserve">max_age</t>
  </si>
  <si>
    <t xml:space="preserve">dist_cat</t>
  </si>
  <si>
    <t xml:space="preserve">0-2 km, 2-6 km, 6+ km</t>
  </si>
  <si>
    <t xml:space="preserve">minimum_pt_time</t>
  </si>
  <si>
    <t xml:space="preserve">moderate_pa_contribution</t>
  </si>
  <si>
    <t xml:space="preserve">Compendium of physical activity https://sites.google.com/site/compendiumofphysicalactivities/Activity-Categories/bicycling?authuser=1 </t>
  </si>
  <si>
    <t xml:space="preserve">Compendium of physical activity 16060 https://sites.google.com/site/compendiumofphysicalactivities/Activity-Categories/transportation?authuser=0</t>
  </si>
  <si>
    <t xml:space="preserve">Compendium of physical activity 16015-15016 https://sites.google.com/site/compendiumofphysicalactivities/Activity-Categories/transportation?authuser=1</t>
  </si>
  <si>
    <t xml:space="preserve">Compendium of physical activity 16010 https://sites.google.com/site/compendiumofphysicalactivities/Activity-Categories/transportation?authuser=2</t>
  </si>
  <si>
    <t xml:space="preserve">Compendium of physical activity 16030 https://sites.google.com/site/compendiumofphysicalactivities/Activity-Categories/transportation?authuser=3</t>
  </si>
  <si>
    <t xml:space="preserve">Compendium of physical activity 05080 https://sites.google.com/site/compendiumofphysicalactivities/Activity-Categories/home-activity?authuser=0</t>
  </si>
  <si>
    <t xml:space="preserve">Compendium of physical activity 05160 (https://sites.google.com/site/compendiumofphysicalactivities/Activity-Categories/home-activity?authuser=1</t>
  </si>
  <si>
    <t xml:space="preserve">--</t>
  </si>
  <si>
    <t xml:space="preserve">GPAQ. P3. https://www.who.int/docs/default-source/ncds/ncd-surveillance/gpaq-analysis-guide.pdf</t>
  </si>
  <si>
    <t xml:space="preserve">sin_exponent_sum</t>
  </si>
  <si>
    <t xml:space="preserve">see Safety in Numbers tab</t>
  </si>
  <si>
    <t xml:space="preserve">casualty_exponent_fraction</t>
  </si>
  <si>
    <t xml:space="preserve">sin_exponent_sum_nov</t>
  </si>
  <si>
    <t xml:space="preserve">sin_exponent_sum_cycle</t>
  </si>
  <si>
    <t xml:space="preserve">casualty_exponent_fraction_cycle</t>
  </si>
  <si>
    <t xml:space="preserve">sin_exponent_sum_ped</t>
  </si>
  <si>
    <t xml:space="preserve">casualty_exponent_fraction_ped</t>
  </si>
  <si>
    <t xml:space="preserve">sin_exponent_sum_veh</t>
  </si>
  <si>
    <t xml:space="preserve">casualty_exponent_fraction_veh</t>
  </si>
  <si>
    <t xml:space="preserve">call_individual_sin</t>
  </si>
  <si>
    <t xml:space="preserve">Assumed that individual safety in number coefficients give more accurate results, see Safety in Numbers tab</t>
  </si>
  <si>
    <t xml:space="preserve">add_truck_drivers</t>
  </si>
  <si>
    <t xml:space="preserve">set to true as this mode is not given in travel survey</t>
  </si>
  <si>
    <t xml:space="preserve">add_bus_drivers</t>
  </si>
  <si>
    <t xml:space="preserve">add_car_drivers</t>
  </si>
  <si>
    <t xml:space="preserve">pa_dose_response_quantile</t>
  </si>
  <si>
    <t xml:space="preserve">Whether or not to sample from DR curves, set for first city and then repeated for all other cities</t>
  </si>
  <si>
    <t xml:space="preserve">set to true as want to sample from DR curves in VoI analysis</t>
  </si>
  <si>
    <t xml:space="preserve">ap_dose_response_quantile</t>
  </si>
  <si>
    <t xml:space="preserve">age_range</t>
  </si>
  <si>
    <t xml:space="preserve">to include working population</t>
  </si>
  <si>
    <t xml:space="preserve">seemed like a sensible assumption</t>
  </si>
  <si>
    <t xml:space="preserve">no default values</t>
  </si>
  <si>
    <t xml:space="preserve">output</t>
  </si>
  <si>
    <t xml:space="preserve">Classification of age ranges for reporting of results</t>
  </si>
  <si>
    <t xml:space="preserve">Note that any values given in the all_city_parameter_inputs or all_global_parameter_inputs tabs overwrite the given default values</t>
  </si>
  <si>
    <t xml:space="preserve">Parameter name in all_xxx_parameter_inputs</t>
  </si>
  <si>
    <t xml:space="preserve">Default parameter values</t>
  </si>
  <si>
    <t xml:space="preserve">Defined in</t>
  </si>
  <si>
    <t xml:space="preserve">Type</t>
  </si>
  <si>
    <t xml:space="preserve">Default Value</t>
  </si>
  <si>
    <t xml:space="preserve">Global / city specific</t>
  </si>
  <si>
    <t xml:space="preserve">Pollution values</t>
  </si>
  <si>
    <t xml:space="preserve">PM_CONC_BASE</t>
  </si>
  <si>
    <t xml:space="preserve">background PM2.5 concentration</t>
  </si>
  <si>
    <t xml:space="preserve">all_city_parameter_inputs tab / ithim_setup_parameters.R</t>
  </si>
  <si>
    <t xml:space="preserve">scalar / lognormal</t>
  </si>
  <si>
    <t xml:space="preserve">City specific </t>
  </si>
  <si>
    <t xml:space="preserve">Used Bogota values</t>
  </si>
  <si>
    <t xml:space="preserve">PM_TRANS_SHARE</t>
  </si>
  <si>
    <t xml:space="preserve">proportion of background PM2.5 attributable to transport</t>
  </si>
  <si>
    <t xml:space="preserve">Scalar / beta distribution</t>
  </si>
  <si>
    <t xml:space="preserve">City specific</t>
  </si>
  <si>
    <r>
      <rPr>
        <sz val="11"/>
        <color theme="1"/>
        <rFont val="Calibri"/>
        <family val="2"/>
        <charset val="1"/>
      </rPr>
      <t xml:space="preserve">HEYDARI, S., TAINIO, M., WOODCOCK, J. &amp; DE NAZELLE, A. 2020. Estimating traffic contribution to particulate matter concentration in urban areas using a multilevel Bayesian meta-regression approach. </t>
    </r>
    <r>
      <rPr>
        <i val="true"/>
        <sz val="11"/>
        <color theme="1"/>
        <rFont val="Calibri"/>
        <family val="2"/>
        <charset val="1"/>
      </rPr>
      <t xml:space="preserve">Environment international,</t>
    </r>
    <r>
      <rPr>
        <sz val="11"/>
        <color theme="1"/>
        <rFont val="Calibri"/>
        <family val="2"/>
        <charset val="1"/>
      </rPr>
      <t xml:space="preserve"> 141</t>
    </r>
    <r>
      <rPr>
        <b val="true"/>
        <sz val="11"/>
        <color theme="1"/>
        <rFont val="Calibri"/>
        <family val="2"/>
        <charset val="1"/>
      </rPr>
      <t xml:space="preserve">,</t>
    </r>
    <r>
      <rPr>
        <sz val="11"/>
        <color theme="1"/>
        <rFont val="Calibri"/>
        <family val="2"/>
        <charset val="1"/>
      </rPr>
      <t xml:space="preserve"> 105800.</t>
    </r>
  </si>
  <si>
    <t xml:space="preserve">Deduced values</t>
  </si>
  <si>
    <t xml:space="preserve">PM_EMISSION_INVENTORY_CONFIDENCE</t>
  </si>
  <si>
    <t xml:space="preserve">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t>
  </si>
  <si>
    <t xml:space="preserve">Scalar</t>
  </si>
  <si>
    <t xml:space="preserve">set to 1 for constant mode</t>
  </si>
  <si>
    <t xml:space="preserve">PM_emission_inventories motorcycle</t>
  </si>
  <si>
    <t xml:space="preserve">PM_emission_inventory motorcycle</t>
  </si>
  <si>
    <t xml:space="preserve">- Used to estimate the PM for scenarios (function "scenario_pm_calculations").
- used as reference to compute confidence around it (function "ithim_setup_parameters").
- used to create VEHICLE_INVENTORY, with speeds, PM and CO2 emissions (function "set_vehicle_inventory").</t>
  </si>
  <si>
    <t xml:space="preserve">all_city_parameter_inputs tab / run_ithim_setup.R</t>
  </si>
  <si>
    <t xml:space="preserve">PM_emission_inventories car</t>
  </si>
  <si>
    <t xml:space="preserve">PM_emission_inventory car</t>
  </si>
  <si>
    <t xml:space="preserve">EDGAR, 2019</t>
  </si>
  <si>
    <t xml:space="preserve">PM_emission_inventories bus_driver</t>
  </si>
  <si>
    <t xml:space="preserve">PM_emission_inventory bus driver</t>
  </si>
  <si>
    <t xml:space="preserve">EDGAR, 2020</t>
  </si>
  <si>
    <t xml:space="preserve">PM_emission_inventories heavy_truck</t>
  </si>
  <si>
    <t xml:space="preserve">PM_emission_inventory heavy_truck</t>
  </si>
  <si>
    <t xml:space="preserve">EDGAR, 2021</t>
  </si>
  <si>
    <t xml:space="preserve">PM_emission_inventories truck</t>
  </si>
  <si>
    <t xml:space="preserve">PM_emission_inventory truck</t>
  </si>
  <si>
    <t xml:space="preserve">EDGAR, 2022</t>
  </si>
  <si>
    <t xml:space="preserve">PM_emission_inventories van</t>
  </si>
  <si>
    <t xml:space="preserve">PM_emission_inventory van</t>
  </si>
  <si>
    <t xml:space="preserve">EDGAR, 2023</t>
  </si>
  <si>
    <t xml:space="preserve">PM_emission_inventories other</t>
  </si>
  <si>
    <t xml:space="preserve">PM_emission_inventory other</t>
  </si>
  <si>
    <t xml:space="preserve">EDGAR, 2024</t>
  </si>
  <si>
    <t xml:space="preserve">PM_emission_inventories taxi</t>
  </si>
  <si>
    <t xml:space="preserve">PM_emission_inventory taxi</t>
  </si>
  <si>
    <t xml:space="preserve">EDGAR, 2025</t>
  </si>
  <si>
    <t xml:space="preserve">PM_emission_inventories auto_rickshaw</t>
  </si>
  <si>
    <t xml:space="preserve">PM_emission_inventory auto_rickshaw</t>
  </si>
  <si>
    <t xml:space="preserve">EDGAR, 2026</t>
  </si>
  <si>
    <t xml:space="preserve">CO2_EMISSION_INVENTORY_CONFIDENCE</t>
  </si>
  <si>
    <t xml:space="preserve">how confident we are about the CO2 emissions inventory (equivalent to PM_EMISSION_INVENTORY_CONFIDENCE)</t>
  </si>
  <si>
    <t xml:space="preserve">CO2_emission_inventories motorcycle</t>
  </si>
  <si>
    <t xml:space="preserve">CO2_emission_inventory motorcycle</t>
  </si>
  <si>
    <t xml:space="preserve">- used to estimate the CO2 for scenarios (function "scenario_co2_calculations").
- used to create the VEHICLE_INVENTORY, with speeds, PM and CO2 emissions (function "set_vehicle_inventory").</t>
  </si>
  <si>
    <t xml:space="preserve">CO2_emission_inventories car</t>
  </si>
  <si>
    <t xml:space="preserve">CO2_emission_inventory car</t>
  </si>
  <si>
    <t xml:space="preserve">CO2_emission_inventories bus_driver</t>
  </si>
  <si>
    <t xml:space="preserve">CO2_emission_inventory bus driver</t>
  </si>
  <si>
    <t xml:space="preserve">CO2_emission_inventories heavy_truck</t>
  </si>
  <si>
    <t xml:space="preserve">CO2_emission_inventory heavy_truck</t>
  </si>
  <si>
    <t xml:space="preserve">CO2_emission_inventories truck</t>
  </si>
  <si>
    <t xml:space="preserve">CO2_emission_inventory truck</t>
  </si>
  <si>
    <t xml:space="preserve">CO2_emission_inventories van</t>
  </si>
  <si>
    <t xml:space="preserve">CO2_emission_inventory van</t>
  </si>
  <si>
    <t xml:space="preserve">CO2_emission_inventories other</t>
  </si>
  <si>
    <t xml:space="preserve">CO2_emission_inventory other</t>
  </si>
  <si>
    <t xml:space="preserve">CO2_emission_inventories taxi</t>
  </si>
  <si>
    <t xml:space="preserve">CO2_emission_inventory taxi</t>
  </si>
  <si>
    <t xml:space="preserve">CO2_emission_inventories auto_rickshaw</t>
  </si>
  <si>
    <t xml:space="preserve">CO2_emission_inventory auto_rickshaw</t>
  </si>
  <si>
    <t xml:space="preserve">TREAT_TAXI_AS_CAR</t>
  </si>
  <si>
    <t xml:space="preserve">If set to false do not add taxi km when calculating car emission factors</t>
  </si>
  <si>
    <t xml:space="preserve">'all_city_parameter_inputs tab / run_ithim_setup.R</t>
  </si>
  <si>
    <t xml:space="preserve">Logical</t>
  </si>
  <si>
    <t xml:space="preserve">F</t>
  </si>
  <si>
    <t xml:space="preserve">PA values</t>
  </si>
  <si>
    <t xml:space="preserve">BACKGROUND_PA_CONFIDENCE</t>
  </si>
  <si>
    <t xml:space="preserve">how confident we are in the PA survey (in terms of number of people who report zero PA)</t>
  </si>
  <si>
    <t xml:space="preserve">Scalar between 0 and 1</t>
  </si>
  <si>
    <t xml:space="preserve">set to 1 if confident in background PA values</t>
  </si>
  <si>
    <t xml:space="preserve">BACKGROUND_PA_SCALAR</t>
  </si>
  <si>
    <t xml:space="preserve">scalar for physical activity</t>
  </si>
  <si>
    <t xml:space="preserve">set to 1 if no bias expected</t>
  </si>
  <si>
    <t xml:space="preserve">CYCLING_MMET</t>
  </si>
  <si>
    <t xml:space="preserve">marginal MET value associated with cycling</t>
  </si>
  <si>
    <t xml:space="preserve">all_global_parameter_inputs tab / run_ithim_setup.R</t>
  </si>
  <si>
    <t xml:space="preserve">Global</t>
  </si>
  <si>
    <t xml:space="preserve">https://sites.google.com/site/compendiumofphysicalactivities/Activity-Categories/transportation?authuser=1</t>
  </si>
  <si>
    <t xml:space="preserve">Compendium of physical activity 01011 </t>
  </si>
  <si>
    <t xml:space="preserve">WALKING_MMET</t>
  </si>
  <si>
    <t xml:space="preserve">marginal MET value associated with walking</t>
  </si>
  <si>
    <t xml:space="preserve">https://sites.google.com/site/compendiumofphysicalactivities/Activity-Categories/transportation?authuser=2</t>
  </si>
  <si>
    <t xml:space="preserve">Compendium of physical activity 16060</t>
  </si>
  <si>
    <t xml:space="preserve">PASSENGER_MMET</t>
  </si>
  <si>
    <t xml:space="preserve">marginal MET value associated with being a passenger on public transport</t>
  </si>
  <si>
    <t xml:space="preserve">https://sites.google.com/site/compendiumofphysicalactivities/Activity-Categories/transportation?authuser=3</t>
  </si>
  <si>
    <t xml:space="preserve">Compendium of physical activity 16015-15016 </t>
  </si>
  <si>
    <t xml:space="preserve">CAR_DRIVER_MMET</t>
  </si>
  <si>
    <t xml:space="preserve">marginal MET value associated with being a car driver or passenger</t>
  </si>
  <si>
    <t xml:space="preserve">https://sites.google.com/site/compendiumofphysicalactivities/Activity-Categories/transportation?authuser=4</t>
  </si>
  <si>
    <t xml:space="preserve">Compendium of physical activity 16010</t>
  </si>
  <si>
    <t xml:space="preserve">MOTORCYCLIST_MMET</t>
  </si>
  <si>
    <t xml:space="preserve">marginal MET value associated with being a motorcyclist</t>
  </si>
  <si>
    <t xml:space="preserve">https://sites.google.com/site/compendiumofphysicalactivities/Activity-Categories/transportation?authuser=5</t>
  </si>
  <si>
    <t xml:space="preserve">Compendium of physical activity 16030 </t>
  </si>
  <si>
    <t xml:space="preserve">SEDENTARY_ACTIVITY_MMET</t>
  </si>
  <si>
    <t xml:space="preserve">marginal MET value associated with sedentary activity</t>
  </si>
  <si>
    <t xml:space="preserve">https://sites.google.com/site/compendiumofphysicalactivities/Activity-Categories/home-activity?authuser=0</t>
  </si>
  <si>
    <t xml:space="preserve">Compendium of physical activity 05080 </t>
  </si>
  <si>
    <t xml:space="preserve">LIGHT_ACTIVITY_MMET</t>
  </si>
  <si>
    <t xml:space="preserve">marginal MET value associated with light activity</t>
  </si>
  <si>
    <t xml:space="preserve">https://sites.google.com/site/compendiumofphysicalactivities/Activity-Categories/home-activity?authuser=1</t>
  </si>
  <si>
    <t xml:space="preserve">MODERATE_PA_MMET</t>
  </si>
  <si>
    <t xml:space="preserve">marginal MET value associated with moderate activity</t>
  </si>
  <si>
    <t xml:space="preserve">https://www.who.int/docs/default-source/ncds/ncd-surveillance/gpaq-analysis-guide.pdf</t>
  </si>
  <si>
    <t xml:space="preserve">GPAQ </t>
  </si>
  <si>
    <t xml:space="preserve">VIGOROUS_PA_MMET</t>
  </si>
  <si>
    <t xml:space="preserve">marginal MET value associated with vigorous activity</t>
  </si>
  <si>
    <t xml:space="preserve">MODERATE_PA_CONTRIBUTION</t>
  </si>
  <si>
    <t xml:space="preserve">To reverse  time spent in moderate and vigorous activities from mmet values</t>
  </si>
  <si>
    <t xml:space="preserve">scalar  </t>
  </si>
  <si>
    <t xml:space="preserve">We are assuming a 50:50 split between moderate and vigorous physical activity levels as our default</t>
  </si>
  <si>
    <t xml:space="preserve">guestimate</t>
  </si>
  <si>
    <t xml:space="preserve">Travel values</t>
  </si>
  <si>
    <t xml:space="preserve">BUS_WALK_TIME </t>
  </si>
  <si>
    <t xml:space="preserve">time taken to walk to bus stop, added to each trip with main mode bus unless there is already a walking component in the travel survey</t>
  </si>
  <si>
    <t xml:space="preserve">all_city_parameter_inputs tab / main script / run_ithim_setup.R</t>
  </si>
  <si>
    <t xml:space="preserve">RAIL_WALK_TIME</t>
  </si>
  <si>
    <t xml:space="preserve">time taken to walk to train station</t>
  </si>
  <si>
    <t xml:space="preserve">DAY_TO_WEEK_TRAVEL_SCALAR </t>
  </si>
  <si>
    <t xml:space="preserve">how daily travel scales to a week</t>
  </si>
  <si>
    <t xml:space="preserve">set to 7 as default assuming that travel survey data represents a an average day</t>
  </si>
  <si>
    <t xml:space="preserve">BUS_TO_PASSENGER_RATIO</t>
  </si>
  <si>
    <t xml:space="preserve">number of buses per passenger</t>
  </si>
  <si>
    <t xml:space="preserve">car_occupancy_ratio</t>
  </si>
  <si>
    <t xml:space="preserve">CAR_OCCUPANCY_RATIO</t>
  </si>
  <si>
    <t xml:space="preserve">ratio of cars to passengers (incl driver)</t>
  </si>
  <si>
    <t xml:space="preserve">TRUCK_TO_CAR_RATIO</t>
  </si>
  <si>
    <t xml:space="preserve">ratio of truck kilometers to car km travelled, used to add ghost trips that are not changed between the different scenarios</t>
  </si>
  <si>
    <t xml:space="preserve">DISTANCE_SCALAR_CAR_TAXI</t>
  </si>
  <si>
    <t xml:space="preserve">scalar for car/taxi distance, i.e. all car and taxi trips get scaled by this scalar</t>
  </si>
  <si>
    <t xml:space="preserve">set to 1 for default to indicate that no changes are to be made to travel survey distances</t>
  </si>
  <si>
    <t xml:space="preserve">DISTANCE_SCALAR_WALKING</t>
  </si>
  <si>
    <t xml:space="preserve">scalar for walking distance, i.e. all walking trips are scaled by this scalar</t>
  </si>
  <si>
    <t xml:space="preserve">DISTANCE_SCALAR_PT</t>
  </si>
  <si>
    <t xml:space="preserve">scalar for PT distance, i.e. all public transport journey (incl bus driver if added) are scaled by this scalar</t>
  </si>
  <si>
    <t xml:space="preserve">DISTANCE_SCALAR_CYCLING</t>
  </si>
  <si>
    <t xml:space="preserve">scalar for cycling distance, i.e. all cycling trips are scaled by this scalar</t>
  </si>
  <si>
    <t xml:space="preserve">DISTANCE_SCALAR_MOTORCYCLE</t>
  </si>
  <si>
    <t xml:space="preserve">scalar for motorcycle distance, i.e. all motorbike trips are scaled by this scalar</t>
  </si>
  <si>
    <t xml:space="preserve">ADD_TRUCK_DRIVERS</t>
  </si>
  <si>
    <t xml:space="preserve">whether to add truck drivers as ghost trips based on the TRUCK_TO_CAR_RATIO</t>
  </si>
  <si>
    <t xml:space="preserve">mode is important for injury and AP analysis and so should be added as default</t>
  </si>
  <si>
    <t xml:space="preserve">ADD_BUS_DRIVERS</t>
  </si>
  <si>
    <t xml:space="preserve">whether to add bus drivers, if set to T adds ghost trips, i.e. trips not taken by any participant, using the bus_to_passenger_ratio</t>
  </si>
  <si>
    <t xml:space="preserve">ADD_CAR_DRIVERS</t>
  </si>
  <si>
    <t xml:space="preserve">whether or not to add car drivers (or rather look at car numbers). Individual cars are calculated by multiplying total passenger car km by the car_occupancy_ratio</t>
  </si>
  <si>
    <t xml:space="preserve">mode is important for CO2 analysis and so should be added as default</t>
  </si>
  <si>
    <t xml:space="preserve">ADD_WALK_TO_PT_TRIPS</t>
  </si>
  <si>
    <t xml:space="preserve">whether to add walk component to trips with main mode bus</t>
  </si>
  <si>
    <t xml:space="preserve">logical</t>
  </si>
  <si>
    <t xml:space="preserve">set to T as it is important to add walk to public transport trips to accurately model all physical activity related to travelling</t>
  </si>
  <si>
    <t xml:space="preserve">ADD_PERSONAL_MOTORCYCLE_TRIPS</t>
  </si>
  <si>
    <t xml:space="preserve">if set to 'no', does not add any personal journey motorcycle trip. If set to 'Chile' add motorcycle trips based on Chilean data. Used if no motorcycle trips exist in the travel survey at all</t>
  </si>
  <si>
    <t xml:space="preserve">character</t>
  </si>
  <si>
    <t xml:space="preserve">no</t>
  </si>
  <si>
    <t xml:space="preserve">most travel surveys already include personal motorcycle trips and so the default value is 'no'</t>
  </si>
  <si>
    <t xml:space="preserve">PROPORTION_MOTORCYCLE_TRIPS</t>
  </si>
  <si>
    <t xml:space="preserve">proportion of travel survey trips that should be added as motorcycle trips</t>
  </si>
  <si>
    <t xml:space="preserve">as most travel surveys already include personal motorcycle trips, 0 % of trips need to be added as motorcycle trips</t>
  </si>
  <si>
    <t xml:space="preserve">ADD_MOTORCYCLE_FLEET</t>
  </si>
  <si>
    <t xml:space="preserve">whether to add motorcylce ghost trips</t>
  </si>
  <si>
    <t xml:space="preserve">important to add commercial motorcycle trips for injury analysis</t>
  </si>
  <si>
    <t xml:space="preserve">FLEET_TO_MOTORCYCLE_RATIO</t>
  </si>
  <si>
    <t xml:space="preserve">ratio of missing motorbike trips, e.g. if ratio = 0.6 and total trip distance in survey is 400, then want to add 600 km of motorbike trips. </t>
  </si>
  <si>
    <t xml:space="preserve">bus_driver_prop_male</t>
  </si>
  <si>
    <t xml:space="preserve">BUS_DRIVER_PROP_MALE</t>
  </si>
  <si>
    <t xml:space="preserve">proportion of bus drivers that are male</t>
  </si>
  <si>
    <t xml:space="preserve">scalar</t>
  </si>
  <si>
    <t xml:space="preserve">www.despacio.org/hacemos </t>
  </si>
  <si>
    <t xml:space="preserve">bus_driver_male_agerange</t>
  </si>
  <si>
    <t xml:space="preserve">BUS_DRIVER_MALE_AGERANGE</t>
  </si>
  <si>
    <t xml:space="preserve">age range of male bus drivers</t>
  </si>
  <si>
    <t xml:space="preserve">19, 65</t>
  </si>
  <si>
    <t xml:space="preserve">https://www.transmilenio.gov.co/publicaciones/146291/si-hay-empleo-para-ser-operadores-de-transmilenio/</t>
  </si>
  <si>
    <t xml:space="preserve">Transmilenio, 2019</t>
  </si>
  <si>
    <t xml:space="preserve">bus_driver_female_agerange</t>
  </si>
  <si>
    <t xml:space="preserve">BUS_DRIVER_FEMALE_AGERANGE</t>
  </si>
  <si>
    <t xml:space="preserve">age range of female bus drivers</t>
  </si>
  <si>
    <t xml:space="preserve">truck_driver_prop_male</t>
  </si>
  <si>
    <t xml:space="preserve">TRUCK_DRIVER_PROP_MALE</t>
  </si>
  <si>
    <t xml:space="preserve">proportion of male truck drivers</t>
  </si>
  <si>
    <t xml:space="preserve">Estimate based on the number of  male bus drivers</t>
  </si>
  <si>
    <t xml:space="preserve">truck_driver_male_agerange</t>
  </si>
  <si>
    <t xml:space="preserve">TRUCK_DRIVER_MALE_AGERANGE</t>
  </si>
  <si>
    <t xml:space="preserve">age range of male truck drivers</t>
  </si>
  <si>
    <t xml:space="preserve">18, 65</t>
  </si>
  <si>
    <t xml:space="preserve">Estimate as you can get your truck licence at the age of 18</t>
  </si>
  <si>
    <t xml:space="preserve">truck_driver_female_agerange</t>
  </si>
  <si>
    <t xml:space="preserve">TRUCK_DRIVER_FEMALE_AGERANGE</t>
  </si>
  <si>
    <t xml:space="preserve">age range of female truck drivers</t>
  </si>
  <si>
    <t xml:space="preserve">Estimate as you can get your truck licence at the age of 19</t>
  </si>
  <si>
    <t xml:space="preserve">commerical_mbike_prop_male</t>
  </si>
  <si>
    <t xml:space="preserve">COMMERICAL_MBIKE_PROP_MALE</t>
  </si>
  <si>
    <t xml:space="preserve">proportion of male commercial motorcycle drivers</t>
  </si>
  <si>
    <t xml:space="preserve">commerical_mbike_male_agerange</t>
  </si>
  <si>
    <t xml:space="preserve">COMMERICAL_MBIKE_MALE_AGERANGE</t>
  </si>
  <si>
    <t xml:space="preserve">age range of male commercial motorcycle drivers</t>
  </si>
  <si>
    <t xml:space="preserve">Rodríguez 2016</t>
  </si>
  <si>
    <t xml:space="preserve">commerical_mbike_female_agerange</t>
  </si>
  <si>
    <t xml:space="preserve">COMMERICAL_MBIKE_FEMALE_AGERANGE</t>
  </si>
  <si>
    <t xml:space="preserve">age range of female commercial motorcycle drivers</t>
  </si>
  <si>
    <t xml:space="preserve">Rodríguez 2017</t>
  </si>
  <si>
    <t xml:space="preserve">MINIMUM_PT_TIME</t>
  </si>
  <si>
    <t xml:space="preserve">minimum time spent on public transport when adding walking component to public transport trip</t>
  </si>
  <si>
    <t xml:space="preserve">Seems a reasonable estimate</t>
  </si>
  <si>
    <t xml:space="preserve">speeds bus</t>
  </si>
  <si>
    <t xml:space="preserve">-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t>
  </si>
  <si>
    <t xml:space="preserve">speeds bus_driver</t>
  </si>
  <si>
    <t xml:space="preserve">set to bus speeds</t>
  </si>
  <si>
    <t xml:space="preserve">speeds minibus</t>
  </si>
  <si>
    <t xml:space="preserve">speeds minibus_driver</t>
  </si>
  <si>
    <t xml:space="preserve">speeds car</t>
  </si>
  <si>
    <t xml:space="preserve">speeds car_driver</t>
  </si>
  <si>
    <t xml:space="preserve">set to car speeds</t>
  </si>
  <si>
    <t xml:space="preserve">speeds taxi</t>
  </si>
  <si>
    <t xml:space="preserve">speeds pedestrian</t>
  </si>
  <si>
    <t xml:space="preserve">speeds walk_to_pt</t>
  </si>
  <si>
    <t xml:space="preserve">set to pedestrian speed</t>
  </si>
  <si>
    <t xml:space="preserve">speeds cycle</t>
  </si>
  <si>
    <t xml:space="preserve">used Bogota values</t>
  </si>
  <si>
    <t xml:space="preserve">speeds motorcycle</t>
  </si>
  <si>
    <t xml:space="preserve">speeds truck</t>
  </si>
  <si>
    <t xml:space="preserve">speeds van</t>
  </si>
  <si>
    <t xml:space="preserve">speeds subway</t>
  </si>
  <si>
    <t xml:space="preserve">speeds rail</t>
  </si>
  <si>
    <t xml:space="preserve">speeds auto_rickshaw</t>
  </si>
  <si>
    <t xml:space="preserve">speeds in Delhi travel survey</t>
  </si>
  <si>
    <t xml:space="preserve">Set to Delhi value</t>
  </si>
  <si>
    <t xml:space="preserve">speeds shared_auto</t>
  </si>
  <si>
    <t xml:space="preserve">speeds shared_taxi</t>
  </si>
  <si>
    <t xml:space="preserve">speeds cylce_rickshaw</t>
  </si>
  <si>
    <t xml:space="preserve">set to auto_rickshaw</t>
  </si>
  <si>
    <t xml:space="preserve">speeds other</t>
  </si>
  <si>
    <t xml:space="preserve">Health values</t>
  </si>
  <si>
    <t xml:space="preserve">PA_DOSE_RESPONSE_QUANTILE</t>
  </si>
  <si>
    <t xml:space="preserve">whether or not to sample from dose response curves</t>
  </si>
  <si>
    <t xml:space="preserve">set to F as default to use 50th quartile, i.e. median of dose response curves</t>
  </si>
  <si>
    <t xml:space="preserve">AP_DOSE_RESPONSE_QUANTILE</t>
  </si>
  <si>
    <t xml:space="preserve">CHRONIC_DISEASE_SCALAR</t>
  </si>
  <si>
    <t xml:space="preserve">scalar for GBD data</t>
  </si>
  <si>
    <t xml:space="preserve">set to 1 as default as no bias in GBD data assumed</t>
  </si>
  <si>
    <t xml:space="preserve">Injury values</t>
  </si>
  <si>
    <t xml:space="preserve">INJURY_REPORTING_RATE</t>
  </si>
  <si>
    <t xml:space="preserve">rate at which injuries are reported</t>
  </si>
  <si>
    <t xml:space="preserve">set to 1 as default assuming all fatal injuries are reported</t>
  </si>
  <si>
    <t xml:space="preserve">SIN_EXPONENT_SUM</t>
  </si>
  <si>
    <t xml:space="preserve">linearity of injuries with respect to two modes. SIN_EXPONENT_SUM=2 means no safety in numbers</t>
  </si>
  <si>
    <t xml:space="preserve">Set to 2 as default, assuming no safety in number effect</t>
  </si>
  <si>
    <t xml:space="preserve">CASUALTY_EXPONENT_FRACTION</t>
  </si>
  <si>
    <t xml:space="preserve">fraction of SIN_EXPONENT_SUM attributed to casualy mode</t>
  </si>
  <si>
    <t xml:space="preserve">Set to 0.5 as default, assuming no safety in number effect</t>
  </si>
  <si>
    <t xml:space="preserve">SIN_EXPONENT_SUM_NOV</t>
  </si>
  <si>
    <t xml:space="preserve">same as global SIN_EXPONENT_SUM but only applies to NOV fatalities which means that this coefficient is only relevant for casualty mode and does not get split between cas and str modes.</t>
  </si>
  <si>
    <t xml:space="preserve">Set to 1 as default, assuming no safety in number effect</t>
  </si>
  <si>
    <t xml:space="preserve">SIN_EXPONENT_SUM_CYCLE</t>
  </si>
  <si>
    <t xml:space="preserve">same as global SIN_EXPONENT_SUM but only applies to cycle fatalities</t>
  </si>
  <si>
    <t xml:space="preserve">CASUALTY_EXPONENT_FRACTION_CYCLE</t>
  </si>
  <si>
    <t xml:space="preserve">same as global CASUALTY_EXPONENT_FRACTION but only applies to cycle fatalities</t>
  </si>
  <si>
    <t xml:space="preserve">SIN_EXPONENT_SUM_PED</t>
  </si>
  <si>
    <t xml:space="preserve">same as global SIN_EXPONENT_SUM but only applies to pedestrian fatalities</t>
  </si>
  <si>
    <t xml:space="preserve">CASUALTY_EXPONENT_FRACTION_PED</t>
  </si>
  <si>
    <t xml:space="preserve">same as global CASUALTY_EXPONENT_FRACTION but only applies to pedestrian fatalities</t>
  </si>
  <si>
    <t xml:space="preserve">SIN_EXPONENT_SUM_VEH</t>
  </si>
  <si>
    <t xml:space="preserve">same as global SIN_EXPONENT_SUM but only applies to vehicle fatalities</t>
  </si>
  <si>
    <t xml:space="preserve">CASUALTY_EXPONENT_FRACTION_VEH</t>
  </si>
  <si>
    <t xml:space="preserve">same as global CASUALTY_EXPONENT_FRACTION but only applies vehicle fatalities</t>
  </si>
  <si>
    <t xml:space="preserve">CALL_INDIVIDUAL_SIN</t>
  </si>
  <si>
    <t xml:space="preserve">flag as to whether to use the overall safety in number parameters or, if if set to TRUE, call the safety in number exponents for different victim modes</t>
  </si>
  <si>
    <t xml:space="preserve">set to F as default to use the same safety in number coefficients for all modes</t>
  </si>
  <si>
    <t xml:space="preserve">Scenario parameters</t>
  </si>
  <si>
    <t xml:space="preserve">SCENARIO_NAME</t>
  </si>
  <si>
    <t xml:space="preserve">sets the scenario to be run:
TEST_WALK_SCENARIO
MAX_MODE_SHARE_SCENARIO
LATAM
GLOBAL
AFRICA_INDIA
BOGOTA</t>
  </si>
  <si>
    <t xml:space="preserve">main script </t>
  </si>
  <si>
    <t xml:space="preserve">GLOBAL</t>
  </si>
  <si>
    <t xml:space="preserve">Set to GLOBAL as default as this can also be used for Bogota</t>
  </si>
  <si>
    <t xml:space="preserve">REFERENCE_SCENARIO</t>
  </si>
  <si>
    <t xml:space="preserve">which scenario the other scenarios get compared to, this needs to be a scenario that corresponds to the input data (PA, injuries, demographics, etc)</t>
  </si>
  <si>
    <t xml:space="preserve">main script / run_ithim_setup.R</t>
  </si>
  <si>
    <t xml:space="preserve">Character</t>
  </si>
  <si>
    <t xml:space="preserve">Baseline'</t>
  </si>
  <si>
    <t xml:space="preserve">Set to 'Baseline' as default as new scenarios are commonly compared with the status quo</t>
  </si>
  <si>
    <t xml:space="preserve">Miscellaneous</t>
  </si>
  <si>
    <t xml:space="preserve">COUNTRY</t>
  </si>
  <si>
    <t xml:space="preserve">country where city lies in</t>
  </si>
  <si>
    <t xml:space="preserve">all_city_parameter_inputs tab</t>
  </si>
  <si>
    <t xml:space="preserve">Bogota</t>
  </si>
  <si>
    <t xml:space="preserve">City</t>
  </si>
  <si>
    <t xml:space="preserve">Set to Bogota values</t>
  </si>
  <si>
    <t xml:space="preserve">CONTINENT</t>
  </si>
  <si>
    <t xml:space="preserve">DIST_CAT </t>
  </si>
  <si>
    <t xml:space="preserve">distance categories for trip lengths</t>
  </si>
  <si>
    <t xml:space="preserve">categorical</t>
  </si>
  <si>
    <t xml:space="preserve">c("0-2 km", "2-6 km", "6+ km")</t>
  </si>
  <si>
    <t xml:space="preserve">Set to have three distance categories: 0-2km, 2-6km and 6+km as default</t>
  </si>
  <si>
    <t xml:space="preserve">AGE_RANGE</t>
  </si>
  <si>
    <t xml:space="preserve">age range considered</t>
  </si>
  <si>
    <t xml:space="preserve">c(15,69)</t>
  </si>
  <si>
    <t xml:space="preserve">can include age ranges from 0 to 99 (limit of IHD and stroke dose response functions) but most dose response functions are only valid for over 15 year olds and generally only working age population is considered</t>
  </si>
  <si>
    <t xml:space="preserve">Further input data includes global and local input files which get read in directly from within the ITHIM-Global R package:</t>
  </si>
  <si>
    <t xml:space="preserve">Further information on the respective datasets is given in the case_cities_data.xlsx document on Dropbox:</t>
  </si>
  <si>
    <t xml:space="preserve">Methods and Processes – Dropbox</t>
  </si>
  <si>
    <t xml:space="preserve">Dose response data for AP:</t>
  </si>
  <si>
    <t xml:space="preserve">.../ithimr/extdata/global/dose_response/drap/ </t>
  </si>
  <si>
    <t xml:space="preserve">(here … stands for the path where R is installed on the computer)</t>
  </si>
  <si>
    <t xml:space="preserve">Local</t>
  </si>
  <si>
    <t xml:space="preserve">City specific trips</t>
  </si>
  <si>
    <t xml:space="preserve">.../ithimr/extdata/local//CITY//trips_CITY.csv </t>
  </si>
  <si>
    <t xml:space="preserve">where CITY is replaced with the corresponding city for which the model is run</t>
  </si>
  <si>
    <t xml:space="preserve">City specific burden of disease</t>
  </si>
  <si>
    <t xml:space="preserve">.../ithimr/extdata/local//CITY//gbd_CITY.csv </t>
  </si>
  <si>
    <t xml:space="preserve">City specific population </t>
  </si>
  <si>
    <t xml:space="preserve">.../ithimr/extdata/local//CITY//population_CITY.csv</t>
  </si>
  <si>
    <t xml:space="preserve">City specific physical activity</t>
  </si>
  <si>
    <t xml:space="preserve">.../ithimr/extdata/local//CITY//pa_CITY.csv </t>
  </si>
  <si>
    <t xml:space="preserve">City specific injury data </t>
  </si>
  <si>
    <t xml:space="preserve">.../ithimr/extdata/local//CITY//injuries_CITY.csv </t>
  </si>
  <si>
    <t xml:space="preserve">Sheet highlights from which cities the information for specific input parameters is to be read from. </t>
  </si>
  <si>
    <t xml:space="preserve">E.g. for all PM_emission_inventories, the information can be found in the same word document which was manually added to the PM_emissions_inventories Accra location. For all other cities, the location that was given for Accra is copied.</t>
  </si>
  <si>
    <t xml:space="preserve">Rows highlighted in yellow give the city from which input sources are to be read</t>
  </si>
  <si>
    <t xml:space="preserve">Lookup</t>
  </si>
  <si>
    <t xml:space="preserve">Row reference</t>
  </si>
  <si>
    <t xml:space="preserve">Lookup reference</t>
  </si>
  <si>
    <t xml:space="preserve">city2</t>
  </si>
  <si>
    <t xml:space="preserve">chronic_disease_scalar</t>
  </si>
  <si>
    <t xml:space="preserve">background_pa_scalar</t>
  </si>
  <si>
    <t xml:space="preserve">bus_to_passenger_ratio</t>
  </si>
  <si>
    <t xml:space="preserve">truck_to_car_ratio</t>
  </si>
  <si>
    <t xml:space="preserve">distance_scalar_car_taxi</t>
  </si>
  <si>
    <t xml:space="preserve">distance_scalar_motorcycle</t>
  </si>
  <si>
    <t xml:space="preserve">distance_scalar_pt</t>
  </si>
  <si>
    <t xml:space="preserve">distance_scalar_walking</t>
  </si>
  <si>
    <t xml:space="preserve">distance_scalar_cycling</t>
  </si>
  <si>
    <t xml:space="preserve">injury_reporting_rate</t>
  </si>
  <si>
    <t xml:space="preserve">bus_walk_time</t>
  </si>
  <si>
    <t xml:space="preserve">rail_walk_time</t>
  </si>
  <si>
    <t xml:space="preserve">add_motorcycle_fleet</t>
  </si>
  <si>
    <t xml:space="preserve">fleet_to_motorcycle_ratio</t>
  </si>
  <si>
    <t xml:space="preserve">add_personal_motorcycle_trips</t>
  </si>
  <si>
    <t xml:space="preserve">proportion_motorcycle_trips</t>
  </si>
  <si>
    <t xml:space="preserve">add_walk_to_pt_trips</t>
  </si>
  <si>
    <t xml:space="preserve">Lookup tables</t>
  </si>
  <si>
    <t xml:space="preserve">Parameter in all_city_parameter_inputs or all_global_parameter_inputs</t>
  </si>
  <si>
    <t xml:space="preserve">PM_emission_confidence</t>
  </si>
  <si>
    <t xml:space="preserve">CO2_emission_confidence</t>
  </si>
  <si>
    <t xml:space="preserve">PM_emission_inventory</t>
  </si>
  <si>
    <t xml:space="preserve">CO2_emission_inventory</t>
  </si>
  <si>
    <t xml:space="preserve">treat_taxi_as_car</t>
  </si>
  <si>
    <t xml:space="preserve">background_pa_confidence</t>
  </si>
  <si>
    <t xml:space="preserve">day_to_week_scalar</t>
  </si>
  <si>
    <t xml:space="preserve">reference_scenario</t>
  </si>
  <si>
    <t xml:space="preserve">scenario_name</t>
  </si>
  <si>
    <t xml:space="preserve">Explanation of how the safety in number coefficients were derived</t>
  </si>
  <si>
    <r>
      <rPr>
        <sz val="11"/>
        <color theme="1"/>
        <rFont val="Calibri"/>
        <family val="2"/>
        <charset val="1"/>
      </rPr>
      <t xml:space="preserve">Two sets of safety in number coefficients are defined for casualty and for strike mode distances (</t>
    </r>
    <r>
      <rPr>
        <i val="true"/>
        <sz val="11"/>
        <color theme="1"/>
        <rFont val="Calibri"/>
        <family val="2"/>
        <charset val="1"/>
      </rPr>
      <t xml:space="preserve">casExponent</t>
    </r>
    <r>
      <rPr>
        <sz val="11"/>
        <color theme="1"/>
        <rFont val="Calibri"/>
        <family val="2"/>
        <charset val="1"/>
      </rPr>
      <t xml:space="preserve"> and </t>
    </r>
    <r>
      <rPr>
        <i val="true"/>
        <sz val="11"/>
        <color theme="1"/>
        <rFont val="Calibri"/>
        <family val="2"/>
        <charset val="1"/>
      </rPr>
      <t xml:space="preserve">strExponent</t>
    </r>
    <r>
      <rPr>
        <sz val="11"/>
        <color theme="1"/>
        <rFont val="Calibri"/>
        <family val="2"/>
        <charset val="1"/>
      </rPr>
      <t xml:space="preserve">). The safety in number effect states that the proportionate number of crashes declines as the number of people using a specific mode increases (Elvik and Goel, 2019). There are two ways in which these two safety in number coefficients can be used. The user can decide that the safety in number coefficients are set to the same value for all modes by setting the logical  </t>
    </r>
    <r>
      <rPr>
        <i val="true"/>
        <sz val="11"/>
        <color theme="1"/>
        <rFont val="Calibri"/>
        <family val="2"/>
        <charset val="1"/>
      </rPr>
      <t xml:space="preserve">call_individual_sin</t>
    </r>
    <r>
      <rPr>
        <sz val="11"/>
        <color theme="1"/>
        <rFont val="Calibri"/>
        <family val="2"/>
        <charset val="1"/>
      </rPr>
      <t xml:space="preserve"> parameter to false or to set this parameter to true to call individual exponents for vehicles, cycles, pedestrians and NOV (no other vehicle) crashes. In order to make sampling easier when it comes to running the model in sampling mode, we do not use </t>
    </r>
    <r>
      <rPr>
        <i val="true"/>
        <sz val="11"/>
        <color theme="1"/>
        <rFont val="Calibri"/>
        <family val="2"/>
        <charset val="1"/>
      </rPr>
      <t xml:space="preserve">casExponent</t>
    </r>
    <r>
      <rPr>
        <sz val="11"/>
        <color theme="1"/>
        <rFont val="Calibri"/>
        <family val="2"/>
        <charset val="1"/>
      </rPr>
      <t xml:space="preserve"> or </t>
    </r>
    <r>
      <rPr>
        <i val="true"/>
        <sz val="11"/>
        <color theme="1"/>
        <rFont val="Calibri"/>
        <family val="2"/>
        <charset val="1"/>
      </rPr>
      <t xml:space="preserve">strExponent </t>
    </r>
    <r>
      <rPr>
        <sz val="11"/>
        <color theme="1"/>
        <rFont val="Calibri"/>
        <family val="2"/>
        <charset val="1"/>
      </rPr>
      <t xml:space="preserve">as input parameters directly. Rather we input the sum of the </t>
    </r>
    <r>
      <rPr>
        <i val="true"/>
        <sz val="11"/>
        <color theme="1"/>
        <rFont val="Calibri"/>
        <family val="2"/>
        <charset val="1"/>
      </rPr>
      <t xml:space="preserve">casExponent</t>
    </r>
    <r>
      <rPr>
        <sz val="11"/>
        <color theme="1"/>
        <rFont val="Calibri"/>
        <family val="2"/>
        <charset val="1"/>
      </rPr>
      <t xml:space="preserve"> and </t>
    </r>
    <r>
      <rPr>
        <i val="true"/>
        <sz val="11"/>
        <color theme="1"/>
        <rFont val="Calibri"/>
        <family val="2"/>
        <charset val="1"/>
      </rPr>
      <t xml:space="preserve">strExponent </t>
    </r>
    <r>
      <rPr>
        <sz val="11"/>
        <color theme="1"/>
        <rFont val="Calibri"/>
        <family val="2"/>
        <charset val="1"/>
      </rPr>
      <t xml:space="preserve"> as </t>
    </r>
    <r>
      <rPr>
        <i val="true"/>
        <sz val="11"/>
        <color theme="1"/>
        <rFont val="Calibri"/>
        <family val="2"/>
        <charset val="1"/>
      </rPr>
      <t xml:space="preserve">sin_exponent_sum</t>
    </r>
    <r>
      <rPr>
        <sz val="11"/>
        <color theme="1"/>
        <rFont val="Calibri"/>
        <family val="2"/>
        <charset val="1"/>
      </rPr>
      <t xml:space="preserve"> and then define a so called </t>
    </r>
    <r>
      <rPr>
        <i val="true"/>
        <sz val="11"/>
        <color theme="1"/>
        <rFont val="Calibri"/>
        <family val="2"/>
        <charset val="1"/>
      </rPr>
      <t xml:space="preserve">casualty_exponent_fraction</t>
    </r>
    <r>
      <rPr>
        <sz val="11"/>
        <color theme="1"/>
        <rFont val="Calibri"/>
        <family val="2"/>
        <charset val="1"/>
      </rPr>
      <t xml:space="preserve"> parameter which defines the fraction of the </t>
    </r>
    <r>
      <rPr>
        <i val="true"/>
        <sz val="11"/>
        <color theme="1"/>
        <rFont val="Calibri"/>
        <family val="2"/>
        <charset val="1"/>
      </rPr>
      <t xml:space="preserve">sin_exponent_sum</t>
    </r>
    <r>
      <rPr>
        <sz val="11"/>
        <color theme="1"/>
        <rFont val="Calibri"/>
        <family val="2"/>
        <charset val="1"/>
      </rPr>
      <t xml:space="preserve"> that belongs to the </t>
    </r>
    <r>
      <rPr>
        <i val="true"/>
        <sz val="11"/>
        <color theme="1"/>
        <rFont val="Calibri"/>
        <family val="2"/>
        <charset val="1"/>
      </rPr>
      <t xml:space="preserve">casExponent</t>
    </r>
    <r>
      <rPr>
        <sz val="11"/>
        <color theme="1"/>
        <rFont val="Calibri"/>
        <family val="2"/>
        <charset val="1"/>
      </rPr>
      <t xml:space="preserve"> parameter. The same set-up applies when we use individual exponents for different vehicle types. When the model is run for several cities, these exponents universally apply to all cites to allow comparison across cities. When </t>
    </r>
    <r>
      <rPr>
        <i val="true"/>
        <sz val="11"/>
        <color theme="1"/>
        <rFont val="Calibri"/>
        <family val="2"/>
        <charset val="1"/>
      </rPr>
      <t xml:space="preserve">call_individual_sin</t>
    </r>
    <r>
      <rPr>
        <sz val="11"/>
        <color theme="1"/>
        <rFont val="Calibri"/>
        <family val="2"/>
        <charset val="1"/>
      </rPr>
      <t xml:space="preserve"> parameter is set to false, then the entries for the mode specific </t>
    </r>
    <r>
      <rPr>
        <i val="true"/>
        <sz val="11"/>
        <color theme="1"/>
        <rFont val="Calibri"/>
        <family val="2"/>
        <charset val="1"/>
      </rPr>
      <t xml:space="preserve">sin_exponent_sum_xxx </t>
    </r>
    <r>
      <rPr>
        <sz val="11"/>
        <color theme="1"/>
        <rFont val="Calibri"/>
        <family val="2"/>
        <charset val="1"/>
      </rPr>
      <t xml:space="preserve">and </t>
    </r>
    <r>
      <rPr>
        <i val="true"/>
        <sz val="11"/>
        <color theme="1"/>
        <rFont val="Calibri"/>
        <family val="2"/>
        <charset val="1"/>
      </rPr>
      <t xml:space="preserve">casualty_exponent_fraction_xxx</t>
    </r>
    <r>
      <rPr>
        <sz val="11"/>
        <color theme="1"/>
        <rFont val="Calibri"/>
        <family val="2"/>
        <charset val="1"/>
      </rPr>
      <t xml:space="preserve"> can be left empty and vice versa.</t>
    </r>
  </si>
  <si>
    <r>
      <rPr>
        <sz val="11"/>
        <color theme="1"/>
        <rFont val="Calibri"/>
        <family val="2"/>
        <charset val="1"/>
      </rPr>
      <t xml:space="preserve">Table: </t>
    </r>
    <r>
      <rPr>
        <b val="true"/>
        <sz val="11"/>
        <color theme="1"/>
        <rFont val="Calibri"/>
        <family val="2"/>
        <charset val="1"/>
      </rPr>
      <t xml:space="preserve">Safety in number coefficients</t>
    </r>
    <r>
      <rPr>
        <sz val="11"/>
        <color theme="1"/>
        <rFont val="Calibri"/>
        <family val="2"/>
        <charset val="1"/>
      </rPr>
      <t xml:space="preserve"> used in Bogotá</t>
    </r>
  </si>
  <si>
    <t xml:space="preserve">Value used in model (for any city)</t>
  </si>
  <si>
    <t xml:space="preserve">Source</t>
  </si>
  <si>
    <r>
      <rPr>
        <sz val="11"/>
        <color theme="1"/>
        <rFont val="Calibri"/>
        <family val="2"/>
        <charset val="1"/>
      </rPr>
      <t xml:space="preserve">casExponent</t>
    </r>
    <r>
      <rPr>
        <sz val="8"/>
        <color theme="1"/>
        <rFont val="Calibri"/>
        <family val="2"/>
        <charset val="1"/>
      </rPr>
      <t xml:space="preserve"> </t>
    </r>
    <r>
      <rPr>
        <sz val="8"/>
        <color theme="1"/>
        <rFont val="Times New Roman"/>
        <family val="1"/>
        <charset val="1"/>
      </rPr>
      <t xml:space="preserve"> </t>
    </r>
  </si>
  <si>
    <t xml:space="preserve">Exponents used for all modes</t>
  </si>
  <si>
    <t xml:space="preserve">Reasonable estimate which seems to produce sensible results</t>
  </si>
  <si>
    <t xml:space="preserve">strExponent</t>
  </si>
  <si>
    <t xml:space="preserve">casExponent_ped</t>
  </si>
  <si>
    <t xml:space="preserve">Where the victim is a pedestrian</t>
  </si>
  <si>
    <t xml:space="preserve">Elvik and Goel, 2019</t>
  </si>
  <si>
    <t xml:space="preserve">strExponent_ped</t>
  </si>
  <si>
    <t xml:space="preserve">casExponent_cycle</t>
  </si>
  <si>
    <t xml:space="preserve">Where the victim is a cyclist</t>
  </si>
  <si>
    <t xml:space="preserve">strExponent_cycle</t>
  </si>
  <si>
    <t xml:space="preserve">casExponent_vehicle</t>
  </si>
  <si>
    <t xml:space="preserve">Where the victim is a vehicle user</t>
  </si>
  <si>
    <t xml:space="preserve">Elvik, 2009</t>
  </si>
  <si>
    <t xml:space="preserve">strExponent_vehicle</t>
  </si>
  <si>
    <t xml:space="preserve">casExponent_nov</t>
  </si>
  <si>
    <t xml:space="preserve">Where the strike mode is nov (no other vehicle</t>
  </si>
  <si>
    <r>
      <rPr>
        <sz val="11"/>
        <color rgb="FF000000"/>
        <rFont val="Calibri"/>
        <family val="2"/>
        <charset val="1"/>
      </rPr>
      <t xml:space="preserve">ELVIK, R., GOEL, R. 2019. Safety-in-numbers: An updated meta-analysis of estimates. </t>
    </r>
    <r>
      <rPr>
        <i val="true"/>
        <sz val="11"/>
        <color rgb="FF000000"/>
        <rFont val="Calibri"/>
        <family val="2"/>
        <charset val="1"/>
      </rPr>
      <t xml:space="preserve">Accident Analysis &amp; Prevention</t>
    </r>
    <r>
      <rPr>
        <sz val="11"/>
        <color rgb="FF000000"/>
        <rFont val="Calibri"/>
        <family val="2"/>
        <charset val="1"/>
      </rPr>
      <t xml:space="preserve">, 129, p.136-147</t>
    </r>
  </si>
  <si>
    <t xml:space="preserve">Rune Elvik, The non-linearity of risk and the promotion of environmentally sustainable transport, Accident Analysis &amp; Prevention, Volume 41, Issue 4, 2009</t>
  </si>
</sst>
</file>

<file path=xl/styles.xml><?xml version="1.0" encoding="utf-8"?>
<styleSheet xmlns="http://schemas.openxmlformats.org/spreadsheetml/2006/main">
  <numFmts count="6">
    <numFmt numFmtId="164" formatCode="General"/>
    <numFmt numFmtId="165" formatCode="m/d/yyyy"/>
    <numFmt numFmtId="166" formatCode="0.0000"/>
    <numFmt numFmtId="167" formatCode="0.00000"/>
    <numFmt numFmtId="168" formatCode="0%"/>
    <numFmt numFmtId="169" formatCode="0.00%"/>
  </numFmts>
  <fonts count="1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rgb="FF1D1C1D"/>
      <name val="Calibri"/>
      <family val="2"/>
      <charset val="1"/>
    </font>
    <font>
      <sz val="11"/>
      <color theme="0" tint="-0.35"/>
      <name val="Calibri"/>
      <family val="2"/>
      <charset val="1"/>
    </font>
    <font>
      <sz val="11"/>
      <name val="Calibri"/>
      <family val="2"/>
      <charset val="1"/>
    </font>
    <font>
      <u val="single"/>
      <sz val="11"/>
      <color theme="10"/>
      <name val="Calibri"/>
      <family val="2"/>
      <charset val="1"/>
    </font>
    <font>
      <sz val="11"/>
      <color rgb="FF000000"/>
      <name val="Calibri"/>
      <family val="2"/>
      <charset val="1"/>
    </font>
    <font>
      <b val="true"/>
      <sz val="11"/>
      <color theme="0" tint="-0.25"/>
      <name val="Calibri"/>
      <family val="2"/>
      <charset val="1"/>
    </font>
    <font>
      <sz val="11"/>
      <color theme="0" tint="-0.25"/>
      <name val="Calibri"/>
      <family val="2"/>
      <charset val="1"/>
    </font>
    <font>
      <i val="true"/>
      <sz val="11"/>
      <color theme="1"/>
      <name val="Calibri"/>
      <family val="2"/>
      <charset val="1"/>
    </font>
    <font>
      <sz val="11"/>
      <color rgb="FFFF0000"/>
      <name val="Calibri"/>
      <family val="2"/>
      <charset val="1"/>
    </font>
    <font>
      <sz val="8"/>
      <color theme="1"/>
      <name val="Calibri"/>
      <family val="2"/>
      <charset val="1"/>
    </font>
    <font>
      <sz val="8"/>
      <color theme="1"/>
      <name val="Times New Roman"/>
      <family val="1"/>
      <charset val="1"/>
    </font>
    <font>
      <i val="true"/>
      <sz val="11"/>
      <color rgb="FF000000"/>
      <name val="Calibri"/>
      <family val="2"/>
      <charset val="1"/>
    </font>
    <font>
      <sz val="10"/>
      <color theme="1"/>
      <name val="Times New Roman"/>
      <family val="1"/>
      <charset val="1"/>
    </font>
  </fonts>
  <fills count="7">
    <fill>
      <patternFill patternType="none"/>
    </fill>
    <fill>
      <patternFill patternType="gray125"/>
    </fill>
    <fill>
      <patternFill patternType="solid">
        <fgColor theme="4" tint="0.7999"/>
        <bgColor rgb="FFE2F0D9"/>
      </patternFill>
    </fill>
    <fill>
      <patternFill patternType="solid">
        <fgColor theme="9" tint="0.7999"/>
        <bgColor rgb="FFDAE3F3"/>
      </patternFill>
    </fill>
    <fill>
      <patternFill patternType="solid">
        <fgColor theme="7" tint="0.5999"/>
        <bgColor rgb="FFFFCC99"/>
      </patternFill>
    </fill>
    <fill>
      <patternFill patternType="solid">
        <fgColor theme="9" tint="0.5999"/>
        <bgColor rgb="FFE2F0D9"/>
      </patternFill>
    </fill>
    <fill>
      <patternFill patternType="solid">
        <fgColor rgb="FFFFFF00"/>
        <bgColor rgb="FFFFFF00"/>
      </patternFill>
    </fill>
  </fills>
  <borders count="5">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general" vertical="center" textRotation="0" wrapText="true" indent="0" shrinkToFit="false"/>
      <protection locked="true" hidden="false"/>
    </xf>
    <xf numFmtId="164" fontId="4" fillId="3" borderId="0" xfId="0" applyFont="tru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4" fillId="4"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5" fontId="0" fillId="0" borderId="0" xfId="0" applyFont="false" applyBorder="false" applyAlignment="true" applyProtection="true">
      <alignment horizontal="left" vertical="top"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19"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true" indent="0" shrinkToFit="false"/>
      <protection locked="true" hidden="false"/>
    </xf>
    <xf numFmtId="164" fontId="8" fillId="5" borderId="0" xfId="20" applyFont="true" applyBorder="true" applyAlignment="true" applyProtection="true">
      <alignment horizontal="general" vertical="center" textRotation="0" wrapText="false" indent="0" shrinkToFit="false"/>
      <protection locked="tru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center" vertical="bottom" textRotation="0" wrapText="false" indent="0" shrinkToFit="false"/>
      <protection locked="true" hidden="false"/>
    </xf>
    <xf numFmtId="164" fontId="8" fillId="5" borderId="0" xfId="20" applyFont="true" applyBorder="true" applyAlignment="true" applyProtection="true">
      <alignment horizontal="general" vertical="bottom" textRotation="0" wrapText="false" indent="0" shrinkToFit="false"/>
      <protection locked="true" hidden="false"/>
    </xf>
    <xf numFmtId="164" fontId="7" fillId="5" borderId="0" xfId="2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0" fillId="5"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left" vertical="bottom" textRotation="0" wrapText="fals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false" indent="0" shrinkToFit="false"/>
      <protection locked="true" hidden="false"/>
    </xf>
    <xf numFmtId="164" fontId="4" fillId="6"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3" borderId="0" xfId="2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left" vertical="top" textRotation="0" wrapText="tru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8" fillId="3" borderId="0" xfId="2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general" vertical="center" textRotation="0" wrapText="true" indent="0" shrinkToFit="false"/>
      <protection locked="true" hidden="false"/>
    </xf>
    <xf numFmtId="164" fontId="0" fillId="3"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0" fillId="0" borderId="3" xfId="0" applyFont="true" applyBorder="true" applyAlignment="true" applyProtection="true">
      <alignment horizontal="general" vertical="center" textRotation="0" wrapText="true" indent="0" shrinkToFit="false"/>
      <protection locked="true" hidden="false"/>
    </xf>
    <xf numFmtId="164" fontId="0" fillId="0" borderId="4" xfId="0" applyFont="fals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7" fillId="0" borderId="0" xfId="2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9">
    <dxf>
      <fill>
        <patternFill patternType="solid">
          <bgColor rgb="FF000000"/>
        </patternFill>
      </fill>
    </dxf>
    <dxf>
      <fill>
        <patternFill patternType="solid">
          <fgColor rgb="FF000000"/>
          <bgColor rgb="FF000000"/>
        </patternFill>
      </fill>
    </dxf>
    <dxf>
      <fill>
        <patternFill patternType="solid">
          <fgColor rgb="FF1D1C1D"/>
          <bgColor rgb="FF000000"/>
        </patternFill>
      </fill>
    </dxf>
    <dxf>
      <fill>
        <patternFill patternType="solid">
          <fgColor rgb="FFA6A6A6"/>
          <bgColor rgb="FF000000"/>
        </patternFill>
      </fill>
    </dxf>
    <dxf>
      <fill>
        <patternFill patternType="solid">
          <fgColor rgb="FFDAE3F3"/>
          <bgColor rgb="FF000000"/>
        </patternFill>
      </fill>
    </dxf>
    <dxf>
      <fill>
        <patternFill patternType="solid">
          <fgColor rgb="FFC5E0B4"/>
          <bgColor rgb="FF000000"/>
        </patternFill>
      </fill>
    </dxf>
    <dxf>
      <fill>
        <patternFill patternType="solid">
          <fgColor rgb="FFE2F0D9"/>
          <bgColor rgb="FF000000"/>
        </patternFill>
      </fill>
    </dxf>
    <dxf>
      <fill>
        <patternFill patternType="solid">
          <fgColor rgb="FFFFFF0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5E0B4"/>
      <rgbColor rgb="FF660066"/>
      <rgbColor rgb="FFFF8080"/>
      <rgbColor rgb="FF0563C1"/>
      <rgbColor rgb="FFDAE3F3"/>
      <rgbColor rgb="FF000080"/>
      <rgbColor rgb="FFFF00FF"/>
      <rgbColor rgb="FFFFFF00"/>
      <rgbColor rgb="FF00FFFF"/>
      <rgbColor rgb="FF800080"/>
      <rgbColor rgb="FF800000"/>
      <rgbColor rgb="FF008080"/>
      <rgbColor rgb="FF0000FF"/>
      <rgbColor rgb="FF00CCFF"/>
      <rgbColor rgb="FFCCFFFF"/>
      <rgbColor rgb="FFE2F0D9"/>
      <rgbColor rgb="FFFFE6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edgar.jrc.ec.europa.eu/,%20obtained%20values%20based%20on%20private%20correspondence" TargetMode="External"/><Relationship Id="rId2" Type="http://schemas.openxmlformats.org/officeDocument/2006/relationships/hyperlink" Target="https://www.who.int/publications/i/item/9789241565684" TargetMode="External"/><Relationship Id="rId3" Type="http://schemas.openxmlformats.org/officeDocument/2006/relationships/hyperlink" Target="https://edgar.jrc.ec.europa.eu/,%20obtained%20values%20based%20on%20private%20correspondence" TargetMode="External"/><Relationship Id="rId4" Type="http://schemas.openxmlformats.org/officeDocument/2006/relationships/hyperlink" Target="https://www.despacio.org/wp-content/uploads/2020/03/mujeresbogotalascuentas20200303web.pdf,%20p.90" TargetMode="External"/><Relationship Id="rId5" Type="http://schemas.openxmlformats.org/officeDocument/2006/relationships/hyperlink" Target="https://www.transmilenio.gov.co/publicaciones/146291/si-hay-empleo-para-ser-operadores-de-transmilenio/" TargetMode="External"/><Relationship Id="rId6" Type="http://schemas.openxmlformats.org/officeDocument/2006/relationships/hyperlink" Target="https://www.transmilenio.gov.co/publicaciones/146291/si-hay-empleo-para-ser-operadores-de-transmilenio/" TargetMode="External"/><Relationship Id="rId7" Type="http://schemas.openxmlformats.org/officeDocument/2006/relationships/hyperlink" Target="https://data-explorer.oecd.org/vis?df%5Bds%5D=DisseminateFinalDMZ&amp;df%5Bid%5D=DSD_PAG%40DF_PAG&amp;df%5Bag%5D=OECD.ELS.SPD&amp;dq=.A.CRPLF22%2BFRPLF22%2BGPRR100%2BATRW%2BATRAEP%2BATRPPAE%2BNPRR100%2BGPW100%2BNPW100%2BFR%2BLE%2BER%2BOAWAR%2BELMEA%2BEYLME%2BEDIOP%2B" TargetMode="External"/><Relationship Id="rId8" Type="http://schemas.openxmlformats.org/officeDocument/2006/relationships/hyperlink" Target="https://data-explorer.oecd.org/vis?df%5Bds%5D=DisseminateFinalDMZ&amp;df%5Bid%5D=DSD_PAG%40DF_PAG&amp;df%5Bag%5D=OECD.ELS.SPD&amp;dq=.A.CRPLF22%2BFRPLF22%2BGPRR100%2BATRW%2BATRAEP%2BATRPPAE%2BNPRR100%2BGPW100%2BNPW100%2BFR%2BLE%2BER%2BOAWAR%2BELMEA%2BEYLME%2BEDIOP%2B" TargetMode="External"/><Relationship Id="rId9"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www.who.int/publications/m/item/who-air-quality-database-2022" TargetMode="External"/><Relationship Id="rId2" Type="http://schemas.openxmlformats.org/officeDocument/2006/relationships/hyperlink" Target="https://edgar.jrc.ec.europa.eu/,%20obtained%20values%20based%20on%20private%20correspondence" TargetMode="External"/><Relationship Id="rId3" Type="http://schemas.openxmlformats.org/officeDocument/2006/relationships/hyperlink" Target="https://edgar.jrc.ec.europa.eu/,%20obtained%20values%20based%20on%20private%20correspondence" TargetMode="External"/><Relationship Id="rId4" Type="http://schemas.openxmlformats.org/officeDocument/2006/relationships/hyperlink" Target="https://edgar.jrc.ec.europa.eu/,%20obtained%20values%20based%20on%20private%20correspondence" TargetMode="External"/><Relationship Id="rId5" Type="http://schemas.openxmlformats.org/officeDocument/2006/relationships/hyperlink" Target="https://edgar.jrc.ec.europa.eu/,%20obtained%20values%20based%20on%20private%20correspondence" TargetMode="External"/><Relationship Id="rId6" Type="http://schemas.openxmlformats.org/officeDocument/2006/relationships/hyperlink" Target="https://edgar.jrc.ec.europa.eu/,%20obtained%20values%20based%20on%20private%20correspondence" TargetMode="External"/><Relationship Id="rId7" Type="http://schemas.openxmlformats.org/officeDocument/2006/relationships/hyperlink" Target="https://edgar.jrc.ec.europa.eu/,%20obtained%20values%20based%20on%20private%20correspondence" TargetMode="External"/><Relationship Id="rId8" Type="http://schemas.openxmlformats.org/officeDocument/2006/relationships/hyperlink" Target="https://edgar.jrc.ec.europa.eu/,%20obtained%20values%20based%20on%20private%20correspondence" TargetMode="External"/><Relationship Id="rId9" Type="http://schemas.openxmlformats.org/officeDocument/2006/relationships/hyperlink" Target="https://edgar.jrc.ec.europa.eu/,%20obtained%20values%20based%20on%20private%20correspondence" TargetMode="External"/><Relationship Id="rId10" Type="http://schemas.openxmlformats.org/officeDocument/2006/relationships/hyperlink" Target="https://edgar.jrc.ec.europa.eu/,%20obtained%20values%20based%20on%20private%20correspondence" TargetMode="External"/><Relationship Id="rId11" Type="http://schemas.openxmlformats.org/officeDocument/2006/relationships/hyperlink" Target="https://edgar.jrc.ec.europa.eu/,%20obtained%20values%20based%20on%20private%20correspondence" TargetMode="External"/><Relationship Id="rId12" Type="http://schemas.openxmlformats.org/officeDocument/2006/relationships/hyperlink" Target="https://edgar.jrc.ec.europa.eu/,%20obtained%20values%20based%20on%20private%20correspondence" TargetMode="External"/><Relationship Id="rId13" Type="http://schemas.openxmlformats.org/officeDocument/2006/relationships/hyperlink" Target="https://edgar.jrc.ec.europa.eu/,%20obtained%20values%20based%20on%20private%20correspondence" TargetMode="External"/><Relationship Id="rId14" Type="http://schemas.openxmlformats.org/officeDocument/2006/relationships/hyperlink" Target="https://edgar.jrc.ec.europa.eu/,%20obtained%20values%20based%20on%20private%20correspondence" TargetMode="External"/><Relationship Id="rId15" Type="http://schemas.openxmlformats.org/officeDocument/2006/relationships/hyperlink" Target="https://edgar.jrc.ec.europa.eu/,%20obtained%20values%20based%20on%20private%20correspondence" TargetMode="External"/><Relationship Id="rId16" Type="http://schemas.openxmlformats.org/officeDocument/2006/relationships/hyperlink" Target="https://edgar.jrc.ec.europa.eu/,%20obtained%20values%20based%20on%20private%20correspondence" TargetMode="External"/><Relationship Id="rId17" Type="http://schemas.openxmlformats.org/officeDocument/2006/relationships/hyperlink" Target="https://edgar.jrc.ec.europa.eu/,%20obtained%20values%20based%20on%20private%20correspondence" TargetMode="External"/><Relationship Id="rId18" Type="http://schemas.openxmlformats.org/officeDocument/2006/relationships/hyperlink" Target="https://edgar.jrc.ec.europa.eu/,%20obtained%20values%20based%20on%20private%20correspondence" TargetMode="External"/><Relationship Id="rId19" Type="http://schemas.openxmlformats.org/officeDocument/2006/relationships/hyperlink" Target="https://edgar.jrc.ec.europa.eu/,%20obtained%20values%20based%20on%20private%20correspondence" TargetMode="External"/><Relationship Id="rId20" Type="http://schemas.openxmlformats.org/officeDocument/2006/relationships/hyperlink" Target="https://www.autofact.com.co/blog/mi-carro/actividades/carpooling-colombia" TargetMode="External"/><Relationship Id="rId21" Type="http://schemas.openxmlformats.org/officeDocument/2006/relationships/hyperlink" Target="https://scioteca.caf.com/bitstream/handle/123456789/754/CAF%20LIBRO%20motos%20digital.pdf?sequence=1&amp;isAllowed=y" TargetMode="External"/><Relationship Id="rId22" Type="http://schemas.openxmlformats.org/officeDocument/2006/relationships/hyperlink" Target="http://www.despacio.org/hacemos" TargetMode="External"/><Relationship Id="rId23" Type="http://schemas.openxmlformats.org/officeDocument/2006/relationships/hyperlink" Target="https://www.transmilenio.gov.co/publicaciones/146291/si-hay-empleo-para-ser-operadores-de-transmilenio/" TargetMode="External"/><Relationship Id="rId24" Type="http://schemas.openxmlformats.org/officeDocument/2006/relationships/hyperlink" Target="https://www.transmilenio.gov.co/publicaciones/146291/si-hay-empleo-para-ser-operadores-de-transmilenio/" TargetMode="External"/><Relationship Id="rId25" Type="http://schemas.openxmlformats.org/officeDocument/2006/relationships/hyperlink" Target="https://scioteca.caf.com/bitstream/handle/123456789/754/CAF%20LIBRO%20motos%20digital.pdf?sequence=1&amp;isAllowed=y" TargetMode="External"/><Relationship Id="rId26" Type="http://schemas.openxmlformats.org/officeDocument/2006/relationships/hyperlink" Target="https://scioteca.caf.com/bitstream/handle/123456789/754/CAF%20LIBRO%20motos%20digital.pdf?sequence=1&amp;isAllowed=y" TargetMode="External"/><Relationship Id="rId27" Type="http://schemas.openxmlformats.org/officeDocument/2006/relationships/hyperlink" Target="https://scioteca.caf.com/bitstream/handle/123456789/754/CAF%20LIBRO%20motos%20digital.pdf?sequence=1&amp;isAllowed=y"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dropbox.com/home/ITHIM%20Global/Methods%20and%20Process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3:E71"/>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38" activeCellId="0" sqref="A38"/>
    </sheetView>
  </sheetViews>
  <sheetFormatPr defaultColWidth="8.59765625" defaultRowHeight="15" zeroHeight="false" outlineLevelRow="0" outlineLevelCol="0"/>
  <cols>
    <col collapsed="false" customWidth="true" hidden="false" outlineLevel="0" max="2" min="2" style="1" width="35.57"/>
    <col collapsed="false" customWidth="true" hidden="false" outlineLevel="0" max="3" min="3" style="1" width="66.14"/>
    <col collapsed="false" customWidth="true" hidden="false" outlineLevel="0" max="5" min="5" style="2" width="10.57"/>
  </cols>
  <sheetData>
    <row r="3" customFormat="false" ht="15" hidden="false" customHeight="false" outlineLevel="0" collapsed="false">
      <c r="B3" s="3" t="s">
        <v>0</v>
      </c>
    </row>
    <row r="5" customFormat="false" ht="16.4" hidden="false" customHeight="false" outlineLevel="0" collapsed="false">
      <c r="B5" s="4" t="s">
        <v>1</v>
      </c>
      <c r="C5" s="1" t="s">
        <v>2</v>
      </c>
    </row>
    <row r="6" customFormat="false" ht="16.4" hidden="false" customHeight="false" outlineLevel="0" collapsed="false">
      <c r="B6" s="5" t="s">
        <v>3</v>
      </c>
      <c r="C6" s="1" t="s">
        <v>4</v>
      </c>
    </row>
    <row r="10" customFormat="false" ht="16.4" hidden="false" customHeight="false" outlineLevel="0" collapsed="false">
      <c r="B10" s="6" t="s">
        <v>5</v>
      </c>
      <c r="C10" s="6" t="s">
        <v>6</v>
      </c>
    </row>
    <row r="11" customFormat="false" ht="31.3" hidden="false" customHeight="false" outlineLevel="0" collapsed="false">
      <c r="B11" s="1" t="s">
        <v>7</v>
      </c>
      <c r="C11" s="1" t="s">
        <v>8</v>
      </c>
    </row>
    <row r="12" customFormat="false" ht="141" hidden="false" customHeight="true" outlineLevel="0" collapsed="false">
      <c r="B12" s="1" t="s">
        <v>9</v>
      </c>
      <c r="C12" s="1" t="s">
        <v>10</v>
      </c>
    </row>
    <row r="13" customFormat="false" ht="17.25" hidden="false" customHeight="true" outlineLevel="0" collapsed="false">
      <c r="B13" s="1" t="s">
        <v>11</v>
      </c>
      <c r="C13" s="1" t="s">
        <v>12</v>
      </c>
    </row>
    <row r="14" customFormat="false" ht="46.25" hidden="false" customHeight="false" outlineLevel="0" collapsed="false">
      <c r="B14" s="1" t="s">
        <v>13</v>
      </c>
      <c r="C14" s="1" t="s">
        <v>14</v>
      </c>
    </row>
    <row r="15" customFormat="false" ht="31.3" hidden="false" customHeight="false" outlineLevel="0" collapsed="false">
      <c r="B15" s="1" t="s">
        <v>15</v>
      </c>
      <c r="C15" s="1" t="s">
        <v>16</v>
      </c>
    </row>
    <row r="16" customFormat="false" ht="31.3" hidden="false" customHeight="false" outlineLevel="0" collapsed="false">
      <c r="B16" s="1" t="s">
        <v>17</v>
      </c>
      <c r="C16" s="1" t="s">
        <v>18</v>
      </c>
    </row>
    <row r="17" customFormat="false" ht="31.3" hidden="false" customHeight="false" outlineLevel="0" collapsed="false">
      <c r="B17" s="1" t="s">
        <v>19</v>
      </c>
      <c r="C17" s="1" t="s">
        <v>20</v>
      </c>
    </row>
    <row r="18" customFormat="false" ht="16.4" hidden="false" customHeight="false" outlineLevel="0" collapsed="false">
      <c r="B18" s="1" t="s">
        <v>21</v>
      </c>
      <c r="C18" s="1" t="s">
        <v>22</v>
      </c>
    </row>
    <row r="19" customFormat="false" ht="16.4" hidden="false" customHeight="false" outlineLevel="0" collapsed="false">
      <c r="B19" s="1" t="s">
        <v>23</v>
      </c>
      <c r="C19" s="1" t="s">
        <v>24</v>
      </c>
    </row>
    <row r="23" customFormat="false" ht="16.4" hidden="false" customHeight="false" outlineLevel="0" collapsed="false">
      <c r="B23" s="7" t="s">
        <v>25</v>
      </c>
      <c r="C23" s="8"/>
      <c r="D23" s="9"/>
      <c r="E23" s="9"/>
    </row>
    <row r="24" customFormat="false" ht="16.4" hidden="false" customHeight="false" outlineLevel="0" collapsed="false">
      <c r="B24" s="10" t="s">
        <v>26</v>
      </c>
      <c r="C24" s="10" t="s">
        <v>27</v>
      </c>
      <c r="D24" s="11" t="s">
        <v>28</v>
      </c>
      <c r="E24" s="11" t="s">
        <v>29</v>
      </c>
    </row>
    <row r="25" customFormat="false" ht="16.4" hidden="false" customHeight="false" outlineLevel="0" collapsed="false">
      <c r="B25" s="8" t="s">
        <v>30</v>
      </c>
      <c r="C25" s="8" t="s">
        <v>31</v>
      </c>
      <c r="D25" s="9" t="s">
        <v>32</v>
      </c>
      <c r="E25" s="12" t="n">
        <v>45175</v>
      </c>
    </row>
    <row r="26" customFormat="false" ht="31.3" hidden="false" customHeight="false" outlineLevel="0" collapsed="false">
      <c r="B26" s="8" t="s">
        <v>33</v>
      </c>
      <c r="C26" s="8" t="s">
        <v>34</v>
      </c>
      <c r="D26" s="9" t="s">
        <v>32</v>
      </c>
      <c r="E26" s="12" t="n">
        <v>45272</v>
      </c>
    </row>
    <row r="27" customFormat="false" ht="87" hidden="false" customHeight="true" outlineLevel="0" collapsed="false">
      <c r="B27" s="8" t="s">
        <v>35</v>
      </c>
      <c r="C27" s="8" t="s">
        <v>36</v>
      </c>
      <c r="D27" s="9" t="s">
        <v>37</v>
      </c>
      <c r="E27" s="12" t="s">
        <v>38</v>
      </c>
    </row>
    <row r="28" customFormat="false" ht="46.25" hidden="false" customHeight="false" outlineLevel="0" collapsed="false">
      <c r="B28" s="8" t="s">
        <v>39</v>
      </c>
      <c r="C28" s="8" t="s">
        <v>40</v>
      </c>
      <c r="D28" s="9" t="s">
        <v>41</v>
      </c>
      <c r="E28" s="12" t="n">
        <v>45455</v>
      </c>
    </row>
    <row r="29" customFormat="false" ht="46.25" hidden="false" customHeight="false" outlineLevel="0" collapsed="false">
      <c r="B29" s="8" t="s">
        <v>42</v>
      </c>
      <c r="C29" s="8" t="s">
        <v>43</v>
      </c>
      <c r="D29" s="9" t="s">
        <v>32</v>
      </c>
      <c r="E29" s="12" t="n">
        <v>45484</v>
      </c>
    </row>
    <row r="30" customFormat="false" ht="31.3" hidden="false" customHeight="false" outlineLevel="0" collapsed="false">
      <c r="B30" s="8" t="s">
        <v>44</v>
      </c>
      <c r="C30" s="8" t="s">
        <v>45</v>
      </c>
      <c r="D30" s="9" t="s">
        <v>41</v>
      </c>
      <c r="E30" s="12" t="n">
        <v>45488</v>
      </c>
    </row>
    <row r="31" customFormat="false" ht="16.4" hidden="false" customHeight="false" outlineLevel="0" collapsed="false">
      <c r="B31" s="8" t="s">
        <v>46</v>
      </c>
      <c r="C31" s="8" t="s">
        <v>47</v>
      </c>
      <c r="D31" s="9" t="s">
        <v>41</v>
      </c>
      <c r="E31" s="12" t="n">
        <v>45489</v>
      </c>
    </row>
    <row r="32" customFormat="false" ht="31.3" hidden="false" customHeight="false" outlineLevel="0" collapsed="false">
      <c r="B32" s="8" t="s">
        <v>48</v>
      </c>
      <c r="C32" s="8" t="s">
        <v>49</v>
      </c>
      <c r="D32" s="9" t="s">
        <v>32</v>
      </c>
      <c r="E32" s="12" t="n">
        <v>45491</v>
      </c>
    </row>
    <row r="33" customFormat="false" ht="16.4" hidden="false" customHeight="false" outlineLevel="0" collapsed="false">
      <c r="B33" s="8" t="s">
        <v>50</v>
      </c>
      <c r="C33" s="8" t="s">
        <v>51</v>
      </c>
      <c r="D33" s="9" t="s">
        <v>41</v>
      </c>
      <c r="E33" s="12" t="n">
        <v>45495</v>
      </c>
    </row>
    <row r="34" customFormat="false" ht="16.4" hidden="false" customHeight="false" outlineLevel="0" collapsed="false">
      <c r="B34" s="8" t="s">
        <v>52</v>
      </c>
      <c r="C34" s="8" t="s">
        <v>53</v>
      </c>
      <c r="D34" s="9" t="s">
        <v>32</v>
      </c>
      <c r="E34" s="12" t="n">
        <v>45496</v>
      </c>
    </row>
    <row r="35" customFormat="false" ht="16.4" hidden="false" customHeight="false" outlineLevel="0" collapsed="false">
      <c r="B35" s="8" t="s">
        <v>54</v>
      </c>
      <c r="C35" s="8" t="s">
        <v>55</v>
      </c>
      <c r="D35" s="9" t="s">
        <v>32</v>
      </c>
      <c r="E35" s="12" t="n">
        <v>45496</v>
      </c>
    </row>
    <row r="36" customFormat="false" ht="16.4" hidden="false" customHeight="false" outlineLevel="0" collapsed="false">
      <c r="B36" s="1" t="s">
        <v>56</v>
      </c>
      <c r="C36" s="1" t="s">
        <v>57</v>
      </c>
      <c r="D36" s="9" t="s">
        <v>32</v>
      </c>
      <c r="E36" s="13" t="n">
        <v>45531</v>
      </c>
    </row>
    <row r="37" customFormat="false" ht="16.4" hidden="false" customHeight="false" outlineLevel="0" collapsed="false">
      <c r="B37" s="1" t="s">
        <v>58</v>
      </c>
      <c r="C37" s="1" t="s">
        <v>59</v>
      </c>
      <c r="D37" s="9" t="s">
        <v>32</v>
      </c>
      <c r="E37" s="13" t="n">
        <v>45539</v>
      </c>
    </row>
    <row r="38" customFormat="false" ht="31.3" hidden="false" customHeight="false" outlineLevel="0" collapsed="false">
      <c r="B38" s="1" t="s">
        <v>60</v>
      </c>
      <c r="C38" s="1" t="s">
        <v>61</v>
      </c>
      <c r="D38" s="9" t="s">
        <v>41</v>
      </c>
      <c r="E38" s="13" t="s">
        <v>62</v>
      </c>
    </row>
    <row r="39" customFormat="false" ht="15" hidden="false" customHeight="false" outlineLevel="0" collapsed="false">
      <c r="D39" s="9"/>
      <c r="E39" s="13"/>
    </row>
    <row r="40" customFormat="false" ht="15" hidden="false" customHeight="false" outlineLevel="0" collapsed="false">
      <c r="D40" s="9"/>
      <c r="E40" s="13"/>
    </row>
    <row r="41" customFormat="false" ht="15" hidden="false" customHeight="false" outlineLevel="0" collapsed="false">
      <c r="D41" s="9"/>
      <c r="E41" s="13"/>
    </row>
    <row r="42" customFormat="false" ht="15" hidden="false" customHeight="false" outlineLevel="0" collapsed="false">
      <c r="D42" s="9"/>
      <c r="E42" s="13"/>
    </row>
    <row r="43" customFormat="false" ht="15" hidden="false" customHeight="false" outlineLevel="0" collapsed="false">
      <c r="D43" s="9"/>
      <c r="E43" s="13"/>
    </row>
    <row r="44" customFormat="false" ht="15" hidden="false" customHeight="false" outlineLevel="0" collapsed="false">
      <c r="D44" s="9"/>
      <c r="E44" s="13"/>
    </row>
    <row r="45" customFormat="false" ht="15" hidden="false" customHeight="false" outlineLevel="0" collapsed="false">
      <c r="E45" s="13"/>
    </row>
    <row r="46" customFormat="false" ht="15" hidden="false" customHeight="false" outlineLevel="0" collapsed="false">
      <c r="D46" s="9"/>
      <c r="E46" s="13"/>
    </row>
    <row r="47" customFormat="false" ht="15" hidden="false" customHeight="false" outlineLevel="0" collapsed="false">
      <c r="D47" s="9"/>
      <c r="E47" s="13"/>
    </row>
    <row r="48" customFormat="false" ht="15" hidden="false" customHeight="false" outlineLevel="0" collapsed="false">
      <c r="D48" s="9"/>
      <c r="E48" s="13"/>
    </row>
    <row r="49" customFormat="false" ht="15" hidden="false" customHeight="false" outlineLevel="0" collapsed="false">
      <c r="D49" s="9"/>
      <c r="E49" s="13"/>
    </row>
    <row r="50" customFormat="false" ht="15" hidden="false" customHeight="false" outlineLevel="0" collapsed="false">
      <c r="D50" s="9"/>
      <c r="E50" s="13"/>
    </row>
    <row r="51" customFormat="false" ht="15" hidden="false" customHeight="false" outlineLevel="0" collapsed="false">
      <c r="D51" s="9"/>
      <c r="E51" s="13"/>
    </row>
    <row r="52" customFormat="false" ht="15" hidden="false" customHeight="false" outlineLevel="0" collapsed="false">
      <c r="D52" s="9"/>
      <c r="E52" s="13"/>
    </row>
    <row r="53" customFormat="false" ht="15" hidden="false" customHeight="false" outlineLevel="0" collapsed="false">
      <c r="D53" s="9"/>
      <c r="E53" s="13"/>
    </row>
    <row r="54" customFormat="false" ht="15" hidden="false" customHeight="false" outlineLevel="0" collapsed="false">
      <c r="D54" s="9"/>
      <c r="E54" s="13"/>
    </row>
    <row r="55" customFormat="false" ht="15" hidden="false" customHeight="false" outlineLevel="0" collapsed="false">
      <c r="D55" s="9"/>
      <c r="E55" s="13"/>
    </row>
    <row r="56" customFormat="false" ht="15" hidden="false" customHeight="false" outlineLevel="0" collapsed="false">
      <c r="D56" s="9"/>
      <c r="E56" s="13"/>
    </row>
    <row r="57" customFormat="false" ht="15" hidden="false" customHeight="false" outlineLevel="0" collapsed="false">
      <c r="D57" s="9"/>
      <c r="E57" s="13"/>
    </row>
    <row r="58" customFormat="false" ht="15" hidden="false" customHeight="false" outlineLevel="0" collapsed="false">
      <c r="D58" s="9"/>
      <c r="E58" s="13"/>
    </row>
    <row r="59" customFormat="false" ht="15" hidden="false" customHeight="false" outlineLevel="0" collapsed="false">
      <c r="D59" s="9"/>
      <c r="E59" s="13"/>
    </row>
    <row r="60" customFormat="false" ht="15" hidden="false" customHeight="false" outlineLevel="0" collapsed="false">
      <c r="D60" s="9"/>
      <c r="E60" s="13"/>
    </row>
    <row r="61" customFormat="false" ht="15" hidden="false" customHeight="false" outlineLevel="0" collapsed="false">
      <c r="D61" s="9"/>
      <c r="E61" s="13"/>
    </row>
    <row r="62" customFormat="false" ht="15" hidden="false" customHeight="false" outlineLevel="0" collapsed="false">
      <c r="D62" s="9"/>
      <c r="E62" s="13"/>
    </row>
    <row r="63" customFormat="false" ht="15" hidden="false" customHeight="false" outlineLevel="0" collapsed="false">
      <c r="D63" s="9"/>
      <c r="E63" s="13"/>
    </row>
    <row r="64" customFormat="false" ht="15" hidden="false" customHeight="false" outlineLevel="0" collapsed="false">
      <c r="D64" s="9"/>
      <c r="E64" s="13"/>
    </row>
    <row r="65" customFormat="false" ht="15" hidden="false" customHeight="false" outlineLevel="0" collapsed="false">
      <c r="D65" s="9"/>
      <c r="E65" s="13"/>
    </row>
    <row r="66" customFormat="false" ht="15" hidden="false" customHeight="false" outlineLevel="0" collapsed="false">
      <c r="D66" s="9"/>
      <c r="E66" s="13"/>
    </row>
    <row r="67" customFormat="false" ht="15" hidden="false" customHeight="false" outlineLevel="0" collapsed="false">
      <c r="D67" s="9"/>
      <c r="E67" s="13"/>
    </row>
    <row r="68" customFormat="false" ht="15" hidden="false" customHeight="false" outlineLevel="0" collapsed="false">
      <c r="D68" s="9"/>
      <c r="E68" s="13"/>
    </row>
    <row r="69" customFormat="false" ht="15" hidden="false" customHeight="false" outlineLevel="0" collapsed="false">
      <c r="D69" s="9"/>
      <c r="E69" s="13"/>
    </row>
    <row r="70" customFormat="false" ht="15" hidden="false" customHeight="false" outlineLevel="0" collapsed="false">
      <c r="D70" s="9"/>
      <c r="E70" s="13"/>
    </row>
    <row r="71" customFormat="false" ht="15" hidden="false" customHeight="false" outlineLevel="0" collapsed="false">
      <c r="D71" s="9"/>
      <c r="E71" s="1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4" width="29.14"/>
    <col collapsed="false" customWidth="true" hidden="false" outlineLevel="0" max="2" min="2" style="2" width="13.57"/>
    <col collapsed="false" customWidth="true" hidden="false" outlineLevel="0" max="3" min="3" style="15" width="13.57"/>
  </cols>
  <sheetData>
    <row r="1" s="14" customFormat="true" ht="15" hidden="false" customHeight="false" outlineLevel="0" collapsed="false">
      <c r="A1" s="14" t="s">
        <v>63</v>
      </c>
      <c r="B1" s="14" t="s">
        <v>64</v>
      </c>
      <c r="C1" s="16" t="s">
        <v>65</v>
      </c>
    </row>
    <row r="2" s="14" customFormat="true" ht="15" hidden="false" customHeight="false" outlineLevel="0" collapsed="false">
      <c r="A2" s="14" t="s">
        <v>66</v>
      </c>
      <c r="B2" s="14" t="s">
        <v>67</v>
      </c>
      <c r="C2" s="15" t="n">
        <v>4</v>
      </c>
    </row>
    <row r="3" s="14" customFormat="true" ht="15" hidden="false" customHeight="false" outlineLevel="0" collapsed="false">
      <c r="B3" s="14" t="s">
        <v>68</v>
      </c>
      <c r="C3" s="15" t="n">
        <v>8.1</v>
      </c>
    </row>
    <row r="4" s="14" customFormat="true" ht="15" hidden="false" customHeight="false" outlineLevel="0" collapsed="false">
      <c r="B4" s="14" t="s">
        <v>69</v>
      </c>
      <c r="C4" s="15" t="n">
        <v>13.8</v>
      </c>
    </row>
    <row r="5" s="14" customFormat="true" ht="15" hidden="false" customHeight="false" outlineLevel="0" collapsed="false">
      <c r="B5" s="14" t="s">
        <v>70</v>
      </c>
      <c r="C5" s="15" t="n">
        <v>7.2</v>
      </c>
    </row>
    <row r="6" s="14" customFormat="true" ht="15" hidden="false" customHeight="false" outlineLevel="0" collapsed="false">
      <c r="B6" s="14" t="s">
        <v>71</v>
      </c>
      <c r="C6" s="15" t="n">
        <v>18.1</v>
      </c>
    </row>
    <row r="7" s="14" customFormat="true" ht="15" hidden="false" customHeight="false" outlineLevel="0" collapsed="false">
      <c r="B7" s="14" t="s">
        <v>72</v>
      </c>
      <c r="C7" s="15" t="n">
        <v>15.2</v>
      </c>
    </row>
    <row r="8" s="14" customFormat="true" ht="15" hidden="false" customHeight="false" outlineLevel="0" collapsed="false">
      <c r="B8" s="14" t="s">
        <v>73</v>
      </c>
      <c r="C8" s="15" t="n">
        <v>9.1</v>
      </c>
    </row>
    <row r="9" s="14" customFormat="true" ht="15" hidden="false" customHeight="false" outlineLevel="0" collapsed="false">
      <c r="B9" s="14" t="s">
        <v>74</v>
      </c>
      <c r="C9" s="15" t="n">
        <v>2.5</v>
      </c>
    </row>
    <row r="10" s="14" customFormat="true" ht="15" hidden="false" customHeight="false" outlineLevel="0" collapsed="false">
      <c r="B10" s="14" t="s">
        <v>75</v>
      </c>
      <c r="C10" s="15" t="n">
        <v>21.9</v>
      </c>
    </row>
    <row r="11" s="14" customFormat="true" ht="15" hidden="false" customHeight="false" outlineLevel="0" collapsed="false">
      <c r="B11" s="14" t="s">
        <v>76</v>
      </c>
      <c r="C11" s="15" t="n">
        <v>12.56</v>
      </c>
    </row>
    <row r="12" customFormat="false" ht="15" hidden="false" customHeight="false" outlineLevel="0" collapsed="false">
      <c r="B12" s="2" t="s">
        <v>77</v>
      </c>
      <c r="C12" s="15" t="n">
        <v>8.1</v>
      </c>
    </row>
    <row r="13" customFormat="false" ht="15" hidden="false" customHeight="false" outlineLevel="0" collapsed="false">
      <c r="B13" s="2" t="s">
        <v>78</v>
      </c>
      <c r="C13" s="15" t="n">
        <v>13.8</v>
      </c>
    </row>
    <row r="14" customFormat="false" ht="15" hidden="false" customHeight="false" outlineLevel="0" collapsed="false">
      <c r="A14" s="14" t="s">
        <v>79</v>
      </c>
      <c r="B14" s="2" t="s">
        <v>72</v>
      </c>
      <c r="C14" s="15" t="n">
        <v>0.00230316543753382</v>
      </c>
    </row>
    <row r="15" customFormat="false" ht="15" hidden="false" customHeight="false" outlineLevel="0" collapsed="false">
      <c r="B15" s="2" t="s">
        <v>69</v>
      </c>
      <c r="C15" s="15" t="n">
        <v>0.0819803528062258</v>
      </c>
    </row>
    <row r="16" customFormat="false" ht="15" hidden="false" customHeight="false" outlineLevel="0" collapsed="false">
      <c r="B16" s="2" t="s">
        <v>80</v>
      </c>
      <c r="C16" s="15" t="n">
        <v>0.122466774252533</v>
      </c>
    </row>
    <row r="17" customFormat="false" ht="15" hidden="false" customHeight="false" outlineLevel="0" collapsed="false">
      <c r="B17" s="2" t="s">
        <v>81</v>
      </c>
      <c r="C17" s="15" t="n">
        <v>0.454454037837085</v>
      </c>
    </row>
    <row r="18" customFormat="false" ht="15" hidden="false" customHeight="false" outlineLevel="0" collapsed="false">
      <c r="B18" s="2" t="s">
        <v>77</v>
      </c>
      <c r="C18" s="15" t="n">
        <v>0.338795669666623</v>
      </c>
    </row>
    <row r="19" customFormat="false" ht="15" hidden="false" customHeight="false" outlineLevel="0" collapsed="false">
      <c r="B19" s="2" t="s">
        <v>78</v>
      </c>
      <c r="C19" s="15" t="n">
        <v>0</v>
      </c>
    </row>
    <row r="20" customFormat="false" ht="15" hidden="false" customHeight="false" outlineLevel="0" collapsed="false">
      <c r="B20" s="2" t="s">
        <v>73</v>
      </c>
      <c r="C20" s="15" t="n">
        <v>0</v>
      </c>
    </row>
    <row r="21" customFormat="false" ht="15" hidden="false" customHeight="false" outlineLevel="0" collapsed="false">
      <c r="B21" s="2" t="s">
        <v>76</v>
      </c>
      <c r="C21" s="15" t="n">
        <v>0</v>
      </c>
    </row>
    <row r="22" customFormat="false" ht="15" hidden="false" customHeight="false" outlineLevel="0" collapsed="false">
      <c r="B22" s="2" t="s">
        <v>67</v>
      </c>
      <c r="C22" s="15" t="n">
        <v>0</v>
      </c>
    </row>
    <row r="23" customFormat="false" ht="15" hidden="false" customHeight="false" outlineLevel="0" collapsed="false">
      <c r="A23" s="14" t="s">
        <v>82</v>
      </c>
      <c r="B23" s="2" t="s">
        <v>83</v>
      </c>
      <c r="C23" s="17" t="n">
        <v>12.69</v>
      </c>
    </row>
    <row r="24" customFormat="false" ht="15" hidden="false" customHeight="false" outlineLevel="0" collapsed="false">
      <c r="B24" s="2" t="s">
        <v>84</v>
      </c>
      <c r="C24" s="18" t="n">
        <v>12.5058316822947</v>
      </c>
    </row>
    <row r="25" customFormat="false" ht="15" hidden="false" customHeight="false" outlineLevel="0" collapsed="false">
      <c r="B25" s="2" t="s">
        <v>85</v>
      </c>
      <c r="C25" s="19" t="n">
        <v>1.18648180943392</v>
      </c>
    </row>
    <row r="26" customFormat="false" ht="15" hidden="false" customHeight="false" outlineLevel="0" collapsed="false">
      <c r="A26" s="14" t="s">
        <v>86</v>
      </c>
      <c r="B26" s="2" t="s">
        <v>83</v>
      </c>
      <c r="C26" s="15" t="n">
        <v>0.42</v>
      </c>
    </row>
    <row r="27" customFormat="false" ht="15" hidden="false" customHeight="false" outlineLevel="0" collapsed="false">
      <c r="B27" s="2" t="s">
        <v>87</v>
      </c>
      <c r="C27" s="2" t="n">
        <v>12.4820501828364</v>
      </c>
    </row>
    <row r="28" customFormat="false" ht="15" hidden="false" customHeight="false" outlineLevel="0" collapsed="false">
      <c r="B28" s="2" t="s">
        <v>88</v>
      </c>
      <c r="C28" s="2" t="n">
        <v>17.2371169191551</v>
      </c>
    </row>
    <row r="29" customFormat="false" ht="15" hidden="false" customHeight="false" outlineLevel="0" collapsed="false">
      <c r="A29" s="14" t="s">
        <v>89</v>
      </c>
      <c r="B29" s="2" t="s">
        <v>72</v>
      </c>
      <c r="C29" s="15" t="n">
        <v>3340.81732</v>
      </c>
      <c r="E29" s="20"/>
    </row>
    <row r="30" customFormat="false" ht="15" hidden="false" customHeight="false" outlineLevel="0" collapsed="false">
      <c r="B30" s="2" t="s">
        <v>69</v>
      </c>
      <c r="C30" s="15" t="n">
        <v>278221.04</v>
      </c>
      <c r="E30" s="20"/>
    </row>
    <row r="31" customFormat="false" ht="15" hidden="false" customHeight="false" outlineLevel="0" collapsed="false">
      <c r="B31" s="2" t="s">
        <v>80</v>
      </c>
      <c r="C31" s="15" t="n">
        <v>163823.92</v>
      </c>
      <c r="E31" s="20"/>
    </row>
    <row r="32" customFormat="false" ht="15" hidden="false" customHeight="false" outlineLevel="0" collapsed="false">
      <c r="B32" s="2" t="s">
        <v>81</v>
      </c>
      <c r="C32" s="15" t="n">
        <v>1033752.25</v>
      </c>
      <c r="E32" s="20"/>
    </row>
    <row r="33" customFormat="false" ht="15" hidden="false" customHeight="false" outlineLevel="0" collapsed="false">
      <c r="B33" s="2" t="s">
        <v>77</v>
      </c>
      <c r="C33" s="15" t="n">
        <v>371604.37</v>
      </c>
      <c r="E33" s="20"/>
    </row>
    <row r="34" customFormat="false" ht="15" hidden="false" customHeight="false" outlineLevel="0" collapsed="false">
      <c r="B34" s="2" t="s">
        <v>78</v>
      </c>
    </row>
    <row r="35" customFormat="false" ht="15" hidden="false" customHeight="false" outlineLevel="0" collapsed="false">
      <c r="B35" s="2" t="s">
        <v>73</v>
      </c>
    </row>
    <row r="36" customFormat="false" ht="15" hidden="false" customHeight="false" outlineLevel="0" collapsed="false">
      <c r="B36" s="2" t="s">
        <v>76</v>
      </c>
    </row>
    <row r="37" customFormat="false" ht="15" hidden="false" customHeight="false" outlineLevel="0" collapsed="false">
      <c r="B37" s="2" t="s">
        <v>67</v>
      </c>
    </row>
    <row r="38" customFormat="false" ht="15" hidden="false" customHeight="false" outlineLevel="0" collapsed="false">
      <c r="A38" s="14" t="s">
        <v>90</v>
      </c>
      <c r="C38" s="15" t="s">
        <v>91</v>
      </c>
    </row>
    <row r="39" customFormat="false" ht="15" hidden="false" customHeight="false" outlineLevel="0" collapsed="false">
      <c r="A39" s="14" t="s">
        <v>92</v>
      </c>
      <c r="C39" s="15" t="s">
        <v>93</v>
      </c>
    </row>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C3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3"/>
  <sheetViews>
    <sheetView showFormulas="false" showGridLines="true" showRowColHeaders="true" showZeros="true" rightToLeft="false" tabSelected="false" showOutlineSymbols="true" defaultGridColor="true" view="normal" topLeftCell="C79" colorId="64" zoomScale="100" zoomScaleNormal="100" zoomScalePageLayoutView="100" workbookViewId="0">
      <selection pane="topLeft" activeCell="L104" activeCellId="0" sqref="L104"/>
    </sheetView>
  </sheetViews>
  <sheetFormatPr defaultColWidth="8.59765625" defaultRowHeight="15" zeroHeight="false" outlineLevelRow="0" outlineLevelCol="0"/>
  <cols>
    <col collapsed="false" customWidth="true" hidden="false" outlineLevel="0" max="2" min="1" style="21" width="8.86"/>
    <col collapsed="false" customWidth="true" hidden="false" outlineLevel="0" max="3" min="3" style="21" width="33.57"/>
    <col collapsed="false" customWidth="true" hidden="false" outlineLevel="0" max="4" min="4" style="21" width="28"/>
    <col collapsed="false" customWidth="true" hidden="false" outlineLevel="0" max="5" min="5" style="2" width="16.57"/>
    <col collapsed="false" customWidth="true" hidden="false" outlineLevel="0" max="6" min="6" style="2" width="24.14"/>
    <col collapsed="false" customWidth="true" hidden="false" outlineLevel="0" max="7" min="7" style="2" width="9.86"/>
    <col collapsed="false" customWidth="true" hidden="false" outlineLevel="0" max="8" min="8" style="22" width="8.86"/>
    <col collapsed="false" customWidth="true" hidden="false" outlineLevel="0" max="9" min="9" style="22" width="12.14"/>
    <col collapsed="false" customWidth="true" hidden="false" outlineLevel="0" max="10" min="10" style="2" width="8.14"/>
    <col collapsed="false" customWidth="true" hidden="false" outlineLevel="0" max="11" min="11" style="2" width="16.57"/>
    <col collapsed="false" customWidth="true" hidden="false" outlineLevel="0" max="12" min="12" style="2" width="36.57"/>
  </cols>
  <sheetData>
    <row r="1" customFormat="false" ht="15" hidden="false" customHeight="false" outlineLevel="0" collapsed="false">
      <c r="A1" s="23" t="s">
        <v>94</v>
      </c>
      <c r="L1" s="24" t="s">
        <v>95</v>
      </c>
    </row>
    <row r="2" customFormat="false" ht="15" hidden="false" customHeight="false" outlineLevel="0" collapsed="false">
      <c r="L2" s="25" t="s">
        <v>96</v>
      </c>
    </row>
    <row r="3" s="14" customFormat="true" ht="15" hidden="false" customHeight="false" outlineLevel="0" collapsed="false">
      <c r="A3" s="21" t="s">
        <v>97</v>
      </c>
      <c r="B3" s="21" t="s">
        <v>98</v>
      </c>
      <c r="C3" s="21" t="s">
        <v>99</v>
      </c>
      <c r="D3" s="21" t="s">
        <v>100</v>
      </c>
      <c r="E3" s="14" t="s">
        <v>101</v>
      </c>
      <c r="F3" s="14" t="s">
        <v>102</v>
      </c>
      <c r="G3" s="14" t="s">
        <v>103</v>
      </c>
      <c r="H3" s="26" t="s">
        <v>104</v>
      </c>
      <c r="I3" s="26" t="s">
        <v>105</v>
      </c>
      <c r="J3" s="14" t="s">
        <v>106</v>
      </c>
      <c r="K3" s="14" t="s">
        <v>6</v>
      </c>
      <c r="L3" s="14" t="s">
        <v>107</v>
      </c>
      <c r="M3" s="14" t="s">
        <v>108</v>
      </c>
      <c r="N3" s="14" t="s">
        <v>109</v>
      </c>
    </row>
    <row r="4" customFormat="false" ht="15" hidden="false" customHeight="false" outlineLevel="0" collapsed="false">
      <c r="A4" s="21" t="n">
        <v>3</v>
      </c>
      <c r="B4" s="21" t="n">
        <v>2</v>
      </c>
      <c r="C4" s="21" t="str">
        <f aca="false">IF(G4 = "",F4,IF(OR(G4="alpha",G4="beta",G4="constant",G4="sd",G4="mean",G4="sample"),F4,F4&amp;" "&amp;G4))</f>
        <v>speeds auto_rickshaw</v>
      </c>
      <c r="D4" s="21" t="str">
        <f aca="false">F4&amp;"_"&amp;E4</f>
        <v>speeds_bogota</v>
      </c>
      <c r="E4" s="27" t="str">
        <f aca="true" t="array" ref="E4:E4">INDIRECT(ADDRESS(1,A4,1,1,"all_city_parameter_inputs"))</f>
        <v>bogota</v>
      </c>
      <c r="F4" s="27" t="str">
        <f aca="true" t="array" ref="F4:F4">IF(AND(ISBLANK(INDIRECT(ADDRESS(B4,2,1,1,"all_city_parameter_inputs"))), ISBLANK(INDIRECT(ADDRESS(B4,1,1,1,"all_city_parameter_inputs")))), "", IF(ISBLANK(INDIRECT(ADDRESS(B4,1,1,1,"all_city_parameter_inputs"))), All_city_list!F3,INDIRECT(ADDRESS(B4,1,1,1,"all_city_parameter_inputs"))))</f>
        <v>speeds</v>
      </c>
      <c r="G4" s="27" t="str">
        <f aca="true" t="array" ref="G4:G4">IF(AND(ISBLANK(INDIRECT(ADDRESS(B4,3,1,1,"all_city_parameter_inputs"))),ISBLANK(INDIRECT(ADDRESS(B4,2,1,1,"all_city_parameter_inputs")))),"",IF(ISBLANK(INDIRECT(ADDRESS(B4,2,1,1,"all_city_parameter_inputs"))),"",INDIRECT(ADDRESS(B4,2,1,1,"all_city_parameter_inputs"))))</f>
        <v>auto_rickshaw</v>
      </c>
      <c r="H4" s="28" t="n">
        <f aca="true" t="array" ref="H4:H4">IF(ISBLANK(INDIRECT(ADDRESS(B4,A4,1,1,"all_city_parameter_inputs"))), "--",INDIRECT(ADDRESS(B4,A4,1,1,"all_city_parameter_inputs")))</f>
        <v>4</v>
      </c>
      <c r="I4" s="28" t="n">
        <f aca="false">IF(OR(G4="alpha",G4="beta",G4="sd",G4="mean"),"--",VLOOKUP(C4,Default!$B$5:$H$114,7,FALSE()))</f>
        <v>4</v>
      </c>
      <c r="J4" s="27" t="str">
        <f aca="false">VLOOKUP(F4,Lookup!$C$5:$D$110,2, FALSE())</f>
        <v>Travel values</v>
      </c>
      <c r="K4" s="27" t="n">
        <f aca="false">VLOOKUP(C4,Default!$B$4:$E$114,4, FALSE())</f>
        <v>0</v>
      </c>
      <c r="L4" s="29"/>
      <c r="M4" s="25" t="s">
        <v>110</v>
      </c>
      <c r="N4" s="25"/>
    </row>
    <row r="5" customFormat="false" ht="374.6" hidden="false" customHeight="false" outlineLevel="0" collapsed="false">
      <c r="A5" s="21" t="n">
        <v>3</v>
      </c>
      <c r="B5" s="21" t="n">
        <v>3</v>
      </c>
      <c r="C5" s="21" t="str">
        <f aca="false">IF(G5 = "",F5,IF(OR(G5="alpha",G5="beta",G5="constant",G5="sd",G5="mean",G5="sample"),F5,F5&amp;" "&amp;G5))</f>
        <v>speeds bus</v>
      </c>
      <c r="D5" s="21" t="str">
        <f aca="false">F5&amp;"_"&amp;E5</f>
        <v>speeds_bogota</v>
      </c>
      <c r="E5" s="27" t="str">
        <f aca="true" t="array" ref="E5:E5">INDIRECT(ADDRESS(1,A5,1,1,"all_city_parameter_inputs"))</f>
        <v>bogota</v>
      </c>
      <c r="F5" s="27" t="str">
        <f aca="true" t="array" ref="F5:F5">IF(AND(ISBLANK(INDIRECT(ADDRESS(B5,2,1,1,"all_city_parameter_inputs"))), ISBLANK(INDIRECT(ADDRESS(B5,1,1,1,"all_city_parameter_inputs")))), "", IF(ISBLANK(INDIRECT(ADDRESS(B5,1,1,1,"all_city_parameter_inputs"))), All_city_list!F4,INDIRECT(ADDRESS(B5,1,1,1,"all_city_parameter_inputs"))))</f>
        <v>speeds</v>
      </c>
      <c r="G5" s="27" t="str">
        <f aca="true" t="array" ref="G5:G5">IF(AND(ISBLANK(INDIRECT(ADDRESS(B5,3,1,1,"all_city_parameter_inputs"))),ISBLANK(INDIRECT(ADDRESS(B5,2,1,1,"all_city_parameter_inputs")))),"",IF(ISBLANK(INDIRECT(ADDRESS(B5,2,1,1,"all_city_parameter_inputs"))),"",INDIRECT(ADDRESS(B5,2,1,1,"all_city_parameter_inputs"))))</f>
        <v>bus</v>
      </c>
      <c r="H5" s="28" t="n">
        <f aca="true" t="array" ref="H5:H5">IF(ISBLANK(INDIRECT(ADDRESS(B5,A5,1,1,"all_city_parameter_inputs"))), "--",INDIRECT(ADDRESS(B5,A5,1,1,"all_city_parameter_inputs")))</f>
        <v>8.1</v>
      </c>
      <c r="I5" s="28" t="n">
        <f aca="false">IF(OR(G5="alpha",G5="beta",G5="sd",G5="mean"),"--",VLOOKUP(C5,Default!$B$5:$H$114,7,FALSE()))</f>
        <v>8.1</v>
      </c>
      <c r="J5" s="27" t="str">
        <f aca="false">VLOOKUP(F5,Lookup!$C$5:$D$110,2, FALSE())</f>
        <v>Travel values</v>
      </c>
      <c r="K5" s="30" t="str">
        <f aca="false">VLOOKUP(C5,Default!$B$4:$E$114,4,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5" s="25" t="n">
        <f aca="true">IF(ISNA(VLOOKUP($D5,Grouped_Sources!$C:$C,1,FALSE())),"", INDIRECT(VLOOKUP($D5,Grouped_Sources!$C:$I,5,FALSE())))</f>
        <v>0</v>
      </c>
      <c r="M5" s="25" t="str">
        <f aca="true" t="array" ref="M5:M5">IF(ISNA(VLOOKUP($D5,Grouped_Sources!$C:$C,1,FALSE())),"", INDIRECT(VLOOKUP($D5,Grouped_Sources!$C:$I,6,FALSE())))</f>
        <v>average speeds between London and Delhi travel surveys and where the speeds for Delhi are higher than those for London, the London speeds are chosen</v>
      </c>
      <c r="N5" s="25" t="n">
        <f aca="true">IF(ISNA(VLOOKUP($D5,Grouped_Sources!$C:$C,1,FALSE())),"", INDIRECT(VLOOKUP($D5,Grouped_Sources!$C:$I,7,FALSE())))</f>
        <v>0</v>
      </c>
    </row>
    <row r="6" customFormat="false" ht="15" hidden="false" customHeight="false" outlineLevel="0" collapsed="false">
      <c r="A6" s="21" t="n">
        <v>3</v>
      </c>
      <c r="B6" s="21" t="n">
        <v>4</v>
      </c>
      <c r="C6" s="21" t="str">
        <f aca="false">IF(G6 = "",F6,IF(OR(G6="alpha",G6="beta",G6="constant",G6="sd",G6="mean",G6="sample"),F6,F6&amp;" "&amp;G6))</f>
        <v>speeds car</v>
      </c>
      <c r="D6" s="21" t="str">
        <f aca="false">F6&amp;"_"&amp;E6</f>
        <v>speeds_bogota</v>
      </c>
      <c r="E6" s="27" t="str">
        <f aca="true" t="array" ref="E6:E6">INDIRECT(ADDRESS(1,A6,1,1,"all_city_parameter_inputs"))</f>
        <v>bogota</v>
      </c>
      <c r="F6" s="27" t="str">
        <f aca="true" t="array" ref="F6:F6">IF(AND(ISBLANK(INDIRECT(ADDRESS(B6,2,1,1,"all_city_parameter_inputs"))), ISBLANK(INDIRECT(ADDRESS(B6,1,1,1,"all_city_parameter_inputs")))), "", IF(ISBLANK(INDIRECT(ADDRESS(B6,1,1,1,"all_city_parameter_inputs"))), All_city_list!F5,INDIRECT(ADDRESS(B6,1,1,1,"all_city_parameter_inputs"))))</f>
        <v>speeds</v>
      </c>
      <c r="G6" s="27" t="str">
        <f aca="true" t="array" ref="G6:G6">IF(AND(ISBLANK(INDIRECT(ADDRESS(B6,3,1,1,"all_city_parameter_inputs"))),ISBLANK(INDIRECT(ADDRESS(B6,2,1,1,"all_city_parameter_inputs")))),"",IF(ISBLANK(INDIRECT(ADDRESS(B6,2,1,1,"all_city_parameter_inputs"))),"",INDIRECT(ADDRESS(B6,2,1,1,"all_city_parameter_inputs"))))</f>
        <v>car</v>
      </c>
      <c r="H6" s="28" t="n">
        <f aca="true" t="array" ref="H6:H6">IF(ISBLANK(INDIRECT(ADDRESS(B6,A6,1,1,"all_city_parameter_inputs"))), "--",INDIRECT(ADDRESS(B6,A6,1,1,"all_city_parameter_inputs")))</f>
        <v>13.8</v>
      </c>
      <c r="I6" s="28" t="n">
        <f aca="false">IF(OR(G6="alpha",G6="beta",G6="sd",G6="mean"),"--",VLOOKUP(C6,Default!$B$5:$H$114,7,FALSE()))</f>
        <v>13.8</v>
      </c>
      <c r="J6" s="27" t="str">
        <f aca="false">VLOOKUP(F6,Lookup!$C$5:$D$110,2, FALSE())</f>
        <v>Travel values</v>
      </c>
      <c r="K6" s="27" t="n">
        <f aca="false">VLOOKUP(C6,Default!$B$4:$E$114,4, FALSE())</f>
        <v>0</v>
      </c>
      <c r="L6" s="25" t="n">
        <f aca="true">IF(ISNA(VLOOKUP($D6,Grouped_Sources!$C:$C,1,FALSE())),"", INDIRECT(VLOOKUP($D6,Grouped_Sources!$C:$I,5,FALSE())))</f>
        <v>0</v>
      </c>
      <c r="M6" s="25" t="str">
        <f aca="true" t="array" ref="M6:M6">IF(ISNA(VLOOKUP($D6,Grouped_Sources!$C:$C,1,FALSE())),"", INDIRECT(VLOOKUP($D6,Grouped_Sources!$C:$I,6,FALSE())))</f>
        <v>average speeds between London and Delhi travel surveys and where the speeds for Delhi are higher than those for London, the London speeds are chosen</v>
      </c>
      <c r="N6" s="25" t="n">
        <f aca="true">IF(ISNA(VLOOKUP($D6,Grouped_Sources!$C:$C,1,FALSE())),"", INDIRECT(VLOOKUP($D6,Grouped_Sources!$C:$I,7,FALSE())))</f>
        <v>0</v>
      </c>
    </row>
    <row r="7" customFormat="false" ht="15" hidden="false" customHeight="false" outlineLevel="0" collapsed="false">
      <c r="A7" s="21" t="n">
        <v>3</v>
      </c>
      <c r="B7" s="21" t="n">
        <v>5</v>
      </c>
      <c r="C7" s="21" t="str">
        <f aca="false">IF(G7 = "",F7,IF(OR(G7="alpha",G7="beta",G7="constant",G7="sd",G7="mean",G7="sample"),F7,F7&amp;" "&amp;G7))</f>
        <v>speeds cycle</v>
      </c>
      <c r="D7" s="21" t="str">
        <f aca="false">F7&amp;"_"&amp;E7</f>
        <v>speeds_bogota</v>
      </c>
      <c r="E7" s="27" t="str">
        <f aca="true" t="array" ref="E7:E7">INDIRECT(ADDRESS(1,A7,1,1,"all_city_parameter_inputs"))</f>
        <v>bogota</v>
      </c>
      <c r="F7" s="27" t="str">
        <f aca="true" t="array" ref="F7:F7">IF(AND(ISBLANK(INDIRECT(ADDRESS(B7,2,1,1,"all_city_parameter_inputs"))), ISBLANK(INDIRECT(ADDRESS(B7,1,1,1,"all_city_parameter_inputs")))), "", IF(ISBLANK(INDIRECT(ADDRESS(B7,1,1,1,"all_city_parameter_inputs"))), All_city_list!F6,INDIRECT(ADDRESS(B7,1,1,1,"all_city_parameter_inputs"))))</f>
        <v>speeds</v>
      </c>
      <c r="G7" s="27" t="str">
        <f aca="true" t="array" ref="G7:G7">IF(AND(ISBLANK(INDIRECT(ADDRESS(B7,3,1,1,"all_city_parameter_inputs"))),ISBLANK(INDIRECT(ADDRESS(B7,2,1,1,"all_city_parameter_inputs")))),"",IF(ISBLANK(INDIRECT(ADDRESS(B7,2,1,1,"all_city_parameter_inputs"))),"",INDIRECT(ADDRESS(B7,2,1,1,"all_city_parameter_inputs"))))</f>
        <v>cycle</v>
      </c>
      <c r="H7" s="28" t="n">
        <f aca="true" t="array" ref="H7:H7">IF(ISBLANK(INDIRECT(ADDRESS(B7,A7,1,1,"all_city_parameter_inputs"))), "--",INDIRECT(ADDRESS(B7,A7,1,1,"all_city_parameter_inputs")))</f>
        <v>7.2</v>
      </c>
      <c r="I7" s="28" t="n">
        <f aca="false">IF(OR(G7="alpha",G7="beta",G7="sd",G7="mean"),"--",VLOOKUP(C7,Default!$B$5:$H$114,7,FALSE()))</f>
        <v>7.2</v>
      </c>
      <c r="J7" s="27" t="str">
        <f aca="false">VLOOKUP(F7,Lookup!$C$5:$D$110,2, FALSE())</f>
        <v>Travel values</v>
      </c>
      <c r="K7" s="27" t="n">
        <f aca="false">VLOOKUP(C7,Default!$B$4:$E$114,4, FALSE())</f>
        <v>0</v>
      </c>
      <c r="L7" s="25" t="n">
        <f aca="true">IF(ISNA(VLOOKUP($D7,Grouped_Sources!$C:$C,1,FALSE())),"", INDIRECT(VLOOKUP($D7,Grouped_Sources!$C:$I,5,FALSE())))</f>
        <v>0</v>
      </c>
      <c r="M7" s="25" t="str">
        <f aca="true" t="array" ref="M7:M7">IF(ISNA(VLOOKUP($D7,Grouped_Sources!$C:$C,1,FALSE())),"", INDIRECT(VLOOKUP($D7,Grouped_Sources!$C:$I,6,FALSE())))</f>
        <v>average speeds between London and Delhi travel surveys and where the speeds for Delhi are higher than those for London, the London speeds are chosen</v>
      </c>
      <c r="N7" s="25" t="n">
        <f aca="true">IF(ISNA(VLOOKUP($D7,Grouped_Sources!$C:$C,1,FALSE())),"", INDIRECT(VLOOKUP($D7,Grouped_Sources!$C:$I,7,FALSE())))</f>
        <v>0</v>
      </c>
    </row>
    <row r="8" customFormat="false" ht="15" hidden="false" customHeight="false" outlineLevel="0" collapsed="false">
      <c r="A8" s="21" t="n">
        <v>3</v>
      </c>
      <c r="B8" s="21" t="n">
        <v>6</v>
      </c>
      <c r="C8" s="21" t="str">
        <f aca="false">IF(G8 = "",F8,IF(OR(G8="alpha",G8="beta",G8="constant",G8="sd",G8="mean",G8="sample"),F8,F8&amp;" "&amp;G8))</f>
        <v>speeds subway</v>
      </c>
      <c r="D8" s="21" t="str">
        <f aca="false">F8&amp;"_"&amp;E8</f>
        <v>speeds_bogota</v>
      </c>
      <c r="E8" s="27" t="str">
        <f aca="true" t="array" ref="E8:E8">INDIRECT(ADDRESS(1,A8,1,1,"all_city_parameter_inputs"))</f>
        <v>bogota</v>
      </c>
      <c r="F8" s="27" t="str">
        <f aca="true" t="array" ref="F8:F8">IF(AND(ISBLANK(INDIRECT(ADDRESS(B8,2,1,1,"all_city_parameter_inputs"))), ISBLANK(INDIRECT(ADDRESS(B8,1,1,1,"all_city_parameter_inputs")))), "", IF(ISBLANK(INDIRECT(ADDRESS(B8,1,1,1,"all_city_parameter_inputs"))), All_city_list!F7,INDIRECT(ADDRESS(B8,1,1,1,"all_city_parameter_inputs"))))</f>
        <v>speeds</v>
      </c>
      <c r="G8" s="27" t="str">
        <f aca="true" t="array" ref="G8:G8">IF(AND(ISBLANK(INDIRECT(ADDRESS(B8,3,1,1,"all_city_parameter_inputs"))),ISBLANK(INDIRECT(ADDRESS(B8,2,1,1,"all_city_parameter_inputs")))),"",IF(ISBLANK(INDIRECT(ADDRESS(B8,2,1,1,"all_city_parameter_inputs"))),"",INDIRECT(ADDRESS(B8,2,1,1,"all_city_parameter_inputs"))))</f>
        <v>subway</v>
      </c>
      <c r="H8" s="28" t="n">
        <f aca="true" t="array" ref="H8:H8">IF(ISBLANK(INDIRECT(ADDRESS(B8,A8,1,1,"all_city_parameter_inputs"))), "--",INDIRECT(ADDRESS(B8,A8,1,1,"all_city_parameter_inputs")))</f>
        <v>18.1</v>
      </c>
      <c r="I8" s="28" t="n">
        <f aca="false">IF(OR(G8="alpha",G8="beta",G8="sd",G8="mean"),"--",VLOOKUP(C8,Default!$B$5:$H$114,7,FALSE()))</f>
        <v>18.1</v>
      </c>
      <c r="J8" s="27" t="str">
        <f aca="false">VLOOKUP(F8,Lookup!$C$5:$D$110,2, FALSE())</f>
        <v>Travel values</v>
      </c>
      <c r="K8" s="27" t="n">
        <f aca="false">VLOOKUP(C8,Default!$B$4:$E$114,4, FALSE())</f>
        <v>0</v>
      </c>
      <c r="L8" s="25" t="n">
        <f aca="true">IF(ISNA(VLOOKUP($D8,Grouped_Sources!$C:$C,1,FALSE())),"", INDIRECT(VLOOKUP($D8,Grouped_Sources!$C:$I,5,FALSE())))</f>
        <v>0</v>
      </c>
      <c r="M8" s="25" t="str">
        <f aca="true" t="array" ref="M8:M8">IF(ISNA(VLOOKUP($D8,Grouped_Sources!$C:$C,1,FALSE())),"", INDIRECT(VLOOKUP($D8,Grouped_Sources!$C:$I,6,FALSE())))</f>
        <v>average speeds between London and Delhi travel surveys and where the speeds for Delhi are higher than those for London, the London speeds are chosen</v>
      </c>
      <c r="N8" s="25" t="n">
        <f aca="true">IF(ISNA(VLOOKUP($D8,Grouped_Sources!$C:$C,1,FALSE())),"", INDIRECT(VLOOKUP($D8,Grouped_Sources!$C:$I,7,FALSE())))</f>
        <v>0</v>
      </c>
    </row>
    <row r="9" customFormat="false" ht="15" hidden="false" customHeight="false" outlineLevel="0" collapsed="false">
      <c r="A9" s="21" t="n">
        <v>3</v>
      </c>
      <c r="B9" s="21" t="n">
        <v>7</v>
      </c>
      <c r="C9" s="21" t="str">
        <f aca="false">IF(G9 = "",F9,IF(OR(G9="alpha",G9="beta",G9="constant",G9="sd",G9="mean",G9="sample"),F9,F9&amp;" "&amp;G9))</f>
        <v>speeds motorcycle</v>
      </c>
      <c r="D9" s="21" t="str">
        <f aca="false">F9&amp;"_"&amp;E9</f>
        <v>speeds_bogota</v>
      </c>
      <c r="E9" s="27" t="str">
        <f aca="true" t="array" ref="E9:E9">INDIRECT(ADDRESS(1,A9,1,1,"all_city_parameter_inputs"))</f>
        <v>bogota</v>
      </c>
      <c r="F9" s="27" t="str">
        <f aca="true" t="array" ref="F9:F9">IF(AND(ISBLANK(INDIRECT(ADDRESS(B9,2,1,1,"all_city_parameter_inputs"))), ISBLANK(INDIRECT(ADDRESS(B9,1,1,1,"all_city_parameter_inputs")))), "", IF(ISBLANK(INDIRECT(ADDRESS(B9,1,1,1,"all_city_parameter_inputs"))), All_city_list!F8,INDIRECT(ADDRESS(B9,1,1,1,"all_city_parameter_inputs"))))</f>
        <v>speeds</v>
      </c>
      <c r="G9" s="27" t="str">
        <f aca="true" t="array" ref="G9:G9">IF(AND(ISBLANK(INDIRECT(ADDRESS(B9,3,1,1,"all_city_parameter_inputs"))),ISBLANK(INDIRECT(ADDRESS(B9,2,1,1,"all_city_parameter_inputs")))),"",IF(ISBLANK(INDIRECT(ADDRESS(B9,2,1,1,"all_city_parameter_inputs"))),"",INDIRECT(ADDRESS(B9,2,1,1,"all_city_parameter_inputs"))))</f>
        <v>motorcycle</v>
      </c>
      <c r="H9" s="28" t="n">
        <f aca="true" t="array" ref="H9:H9">IF(ISBLANK(INDIRECT(ADDRESS(B9,A9,1,1,"all_city_parameter_inputs"))), "--",INDIRECT(ADDRESS(B9,A9,1,1,"all_city_parameter_inputs")))</f>
        <v>15.2</v>
      </c>
      <c r="I9" s="28" t="n">
        <f aca="false">IF(OR(G9="alpha",G9="beta",G9="sd",G9="mean"),"--",VLOOKUP(C9,Default!$B$5:$H$114,7,FALSE()))</f>
        <v>15.2</v>
      </c>
      <c r="J9" s="27" t="str">
        <f aca="false">VLOOKUP(F9,Lookup!$C$5:$D$110,2, FALSE())</f>
        <v>Travel values</v>
      </c>
      <c r="K9" s="27" t="n">
        <f aca="false">VLOOKUP(C9,Default!$B$4:$E$114,4, FALSE())</f>
        <v>0</v>
      </c>
      <c r="L9" s="25" t="n">
        <f aca="true">IF(ISNA(VLOOKUP($D9,Grouped_Sources!$C:$C,1,FALSE())),"", INDIRECT(VLOOKUP($D9,Grouped_Sources!$C:$I,5,FALSE())))</f>
        <v>0</v>
      </c>
      <c r="M9" s="25" t="str">
        <f aca="true" t="array" ref="M9:M9">IF(ISNA(VLOOKUP($D9,Grouped_Sources!$C:$C,1,FALSE())),"", INDIRECT(VLOOKUP($D9,Grouped_Sources!$C:$I,6,FALSE())))</f>
        <v>average speeds between London and Delhi travel surveys and where the speeds for Delhi are higher than those for London, the London speeds are chosen</v>
      </c>
      <c r="N9" s="25" t="n">
        <f aca="true">IF(ISNA(VLOOKUP($D9,Grouped_Sources!$C:$C,1,FALSE())),"", INDIRECT(VLOOKUP($D9,Grouped_Sources!$C:$I,7,FALSE())))</f>
        <v>0</v>
      </c>
    </row>
    <row r="10" customFormat="false" ht="15" hidden="false" customHeight="false" outlineLevel="0" collapsed="false">
      <c r="A10" s="21" t="n">
        <v>3</v>
      </c>
      <c r="B10" s="21" t="n">
        <v>8</v>
      </c>
      <c r="C10" s="21" t="str">
        <f aca="false">IF(G10 = "",F10,IF(OR(G10="alpha",G10="beta",G10="constant",G10="sd",G10="mean",G10="sample"),F10,F10&amp;" "&amp;G10))</f>
        <v>speeds other</v>
      </c>
      <c r="D10" s="21" t="str">
        <f aca="false">F10&amp;"_"&amp;E10</f>
        <v>speeds_bogota</v>
      </c>
      <c r="E10" s="27" t="str">
        <f aca="true" t="array" ref="E10:E10">INDIRECT(ADDRESS(1,A10,1,1,"all_city_parameter_inputs"))</f>
        <v>bogota</v>
      </c>
      <c r="F10" s="27" t="str">
        <f aca="true" t="array" ref="F10:F10">IF(AND(ISBLANK(INDIRECT(ADDRESS(B10,2,1,1,"all_city_parameter_inputs"))), ISBLANK(INDIRECT(ADDRESS(B10,1,1,1,"all_city_parameter_inputs")))), "", IF(ISBLANK(INDIRECT(ADDRESS(B10,1,1,1,"all_city_parameter_inputs"))), All_city_list!F9,INDIRECT(ADDRESS(B10,1,1,1,"all_city_parameter_inputs"))))</f>
        <v>speeds</v>
      </c>
      <c r="G10" s="27" t="str">
        <f aca="true" t="array" ref="G10:G10">IF(AND(ISBLANK(INDIRECT(ADDRESS(B10,3,1,1,"all_city_parameter_inputs"))),ISBLANK(INDIRECT(ADDRESS(B10,2,1,1,"all_city_parameter_inputs")))),"",IF(ISBLANK(INDIRECT(ADDRESS(B10,2,1,1,"all_city_parameter_inputs"))),"",INDIRECT(ADDRESS(B10,2,1,1,"all_city_parameter_inputs"))))</f>
        <v>other</v>
      </c>
      <c r="H10" s="28" t="n">
        <f aca="true" t="array" ref="H10:H10">IF(ISBLANK(INDIRECT(ADDRESS(B10,A10,1,1,"all_city_parameter_inputs"))), "--",INDIRECT(ADDRESS(B10,A10,1,1,"all_city_parameter_inputs")))</f>
        <v>9.1</v>
      </c>
      <c r="I10" s="28" t="n">
        <f aca="false">IF(OR(G10="alpha",G10="beta",G10="sd",G10="mean"),"--",VLOOKUP(C10,Default!$B$5:$H$114,7,FALSE()))</f>
        <v>9.1</v>
      </c>
      <c r="J10" s="27" t="str">
        <f aca="false">VLOOKUP(F10,Lookup!$C$5:$D$110,2, FALSE())</f>
        <v>Travel values</v>
      </c>
      <c r="K10" s="27" t="n">
        <f aca="false">VLOOKUP(C10,Default!$B$4:$E$114,4, FALSE())</f>
        <v>0</v>
      </c>
      <c r="L10" s="25" t="n">
        <f aca="true">IF(ISNA(VLOOKUP($D10,Grouped_Sources!$C:$C,1,FALSE())),"", INDIRECT(VLOOKUP($D10,Grouped_Sources!$C:$I,5,FALSE())))</f>
        <v>0</v>
      </c>
      <c r="M10" s="25" t="str">
        <f aca="true" t="array" ref="M10:M10">IF(ISNA(VLOOKUP($D10,Grouped_Sources!$C:$C,1,FALSE())),"", INDIRECT(VLOOKUP($D10,Grouped_Sources!$C:$I,6,FALSE())))</f>
        <v>average speeds between London and Delhi travel surveys and where the speeds for Delhi are higher than those for London, the London speeds are chosen</v>
      </c>
      <c r="N10" s="25" t="n">
        <f aca="true">IF(ISNA(VLOOKUP($D10,Grouped_Sources!$C:$C,1,FALSE())),"", INDIRECT(VLOOKUP($D10,Grouped_Sources!$C:$I,7,FALSE())))</f>
        <v>0</v>
      </c>
    </row>
    <row r="11" customFormat="false" ht="15" hidden="false" customHeight="false" outlineLevel="0" collapsed="false">
      <c r="A11" s="21" t="n">
        <v>3</v>
      </c>
      <c r="B11" s="21" t="n">
        <v>9</v>
      </c>
      <c r="C11" s="21" t="str">
        <f aca="false">IF(G11 = "",F11,IF(OR(G11="alpha",G11="beta",G11="constant",G11="sd",G11="mean",G11="sample"),F11,F11&amp;" "&amp;G11))</f>
        <v>speeds pedestrian</v>
      </c>
      <c r="D11" s="21" t="str">
        <f aca="false">F11&amp;"_"&amp;E11</f>
        <v>speeds_bogota</v>
      </c>
      <c r="E11" s="27" t="str">
        <f aca="true" t="array" ref="E11:E11">INDIRECT(ADDRESS(1,A11,1,1,"all_city_parameter_inputs"))</f>
        <v>bogota</v>
      </c>
      <c r="F11" s="27" t="str">
        <f aca="true" t="array" ref="F11:F11">IF(AND(ISBLANK(INDIRECT(ADDRESS(B11,2,1,1,"all_city_parameter_inputs"))), ISBLANK(INDIRECT(ADDRESS(B11,1,1,1,"all_city_parameter_inputs")))), "", IF(ISBLANK(INDIRECT(ADDRESS(B11,1,1,1,"all_city_parameter_inputs"))), All_city_list!F10,INDIRECT(ADDRESS(B11,1,1,1,"all_city_parameter_inputs"))))</f>
        <v>speeds</v>
      </c>
      <c r="G11" s="27" t="str">
        <f aca="true" t="array" ref="G11:G11">IF(AND(ISBLANK(INDIRECT(ADDRESS(B11,3,1,1,"all_city_parameter_inputs"))),ISBLANK(INDIRECT(ADDRESS(B11,2,1,1,"all_city_parameter_inputs")))),"",IF(ISBLANK(INDIRECT(ADDRESS(B11,2,1,1,"all_city_parameter_inputs"))),"",INDIRECT(ADDRESS(B11,2,1,1,"all_city_parameter_inputs"))))</f>
        <v>pedestrian</v>
      </c>
      <c r="H11" s="28" t="n">
        <f aca="true" t="array" ref="H11:H11">IF(ISBLANK(INDIRECT(ADDRESS(B11,A11,1,1,"all_city_parameter_inputs"))), "--",INDIRECT(ADDRESS(B11,A11,1,1,"all_city_parameter_inputs")))</f>
        <v>2.5</v>
      </c>
      <c r="I11" s="28" t="n">
        <f aca="false">IF(OR(G11="alpha",G11="beta",G11="sd",G11="mean"),"--",VLOOKUP(C11,Default!$B$5:$H$114,7,FALSE()))</f>
        <v>2.5</v>
      </c>
      <c r="J11" s="27" t="str">
        <f aca="false">VLOOKUP(F11,Lookup!$C$5:$D$110,2, FALSE())</f>
        <v>Travel values</v>
      </c>
      <c r="K11" s="27" t="n">
        <f aca="false">VLOOKUP(C11,Default!$B$4:$E$114,4, FALSE())</f>
        <v>0</v>
      </c>
      <c r="L11" s="25" t="n">
        <f aca="true">IF(ISNA(VLOOKUP($D11,Grouped_Sources!$C:$C,1,FALSE())),"", INDIRECT(VLOOKUP($D11,Grouped_Sources!$C:$I,5,FALSE())))</f>
        <v>0</v>
      </c>
      <c r="M11" s="25" t="str">
        <f aca="true" t="array" ref="M11:M11">IF(ISNA(VLOOKUP($D11,Grouped_Sources!$C:$C,1,FALSE())),"", INDIRECT(VLOOKUP($D11,Grouped_Sources!$C:$I,6,FALSE())))</f>
        <v>average speeds between London and Delhi travel surveys and where the speeds for Delhi are higher than those for London, the London speeds are chosen</v>
      </c>
      <c r="N11" s="25" t="n">
        <f aca="true">IF(ISNA(VLOOKUP($D11,Grouped_Sources!$C:$C,1,FALSE())),"", INDIRECT(VLOOKUP($D11,Grouped_Sources!$C:$I,7,FALSE())))</f>
        <v>0</v>
      </c>
    </row>
    <row r="12" customFormat="false" ht="15" hidden="false" customHeight="false" outlineLevel="0" collapsed="false">
      <c r="A12" s="21" t="n">
        <v>3</v>
      </c>
      <c r="B12" s="21" t="n">
        <v>10</v>
      </c>
      <c r="C12" s="21" t="str">
        <f aca="false">IF(G12 = "",F12,IF(OR(G12="alpha",G12="beta",G12="constant",G12="sd",G12="mean",G12="sample"),F12,F12&amp;" "&amp;G12))</f>
        <v>speeds rail</v>
      </c>
      <c r="D12" s="21" t="str">
        <f aca="false">F12&amp;"_"&amp;E12</f>
        <v>speeds_bogota</v>
      </c>
      <c r="E12" s="27" t="str">
        <f aca="true" t="array" ref="E12:E12">INDIRECT(ADDRESS(1,A12,1,1,"all_city_parameter_inputs"))</f>
        <v>bogota</v>
      </c>
      <c r="F12" s="27" t="str">
        <f aca="true" t="array" ref="F12:F12">IF(AND(ISBLANK(INDIRECT(ADDRESS(B12,2,1,1,"all_city_parameter_inputs"))), ISBLANK(INDIRECT(ADDRESS(B12,1,1,1,"all_city_parameter_inputs")))), "", IF(ISBLANK(INDIRECT(ADDRESS(B12,1,1,1,"all_city_parameter_inputs"))), All_city_list!F11,INDIRECT(ADDRESS(B12,1,1,1,"all_city_parameter_inputs"))))</f>
        <v>speeds</v>
      </c>
      <c r="G12" s="27" t="str">
        <f aca="true" t="array" ref="G12:G12">IF(AND(ISBLANK(INDIRECT(ADDRESS(B12,3,1,1,"all_city_parameter_inputs"))),ISBLANK(INDIRECT(ADDRESS(B12,2,1,1,"all_city_parameter_inputs")))),"",IF(ISBLANK(INDIRECT(ADDRESS(B12,2,1,1,"all_city_parameter_inputs"))),"",INDIRECT(ADDRESS(B12,2,1,1,"all_city_parameter_inputs"))))</f>
        <v>rail</v>
      </c>
      <c r="H12" s="28" t="n">
        <f aca="true" t="array" ref="H12:H12">IF(ISBLANK(INDIRECT(ADDRESS(B12,A12,1,1,"all_city_parameter_inputs"))), "--",INDIRECT(ADDRESS(B12,A12,1,1,"all_city_parameter_inputs")))</f>
        <v>21.9</v>
      </c>
      <c r="I12" s="28" t="n">
        <f aca="false">IF(OR(G12="alpha",G12="beta",G12="sd",G12="mean"),"--",VLOOKUP(C12,Default!$B$5:$H$114,7,FALSE()))</f>
        <v>21.9</v>
      </c>
      <c r="J12" s="27" t="str">
        <f aca="false">VLOOKUP(F12,Lookup!$C$5:$D$110,2, FALSE())</f>
        <v>Travel values</v>
      </c>
      <c r="K12" s="27" t="n">
        <f aca="false">VLOOKUP(C12,Default!$B$4:$E$114,4, FALSE())</f>
        <v>0</v>
      </c>
      <c r="L12" s="25" t="n">
        <f aca="true">IF(ISNA(VLOOKUP($D12,Grouped_Sources!$C:$C,1,FALSE())),"", INDIRECT(VLOOKUP($D12,Grouped_Sources!$C:$I,5,FALSE())))</f>
        <v>0</v>
      </c>
      <c r="M12" s="25" t="str">
        <f aca="true" t="array" ref="M12:M12">IF(ISNA(VLOOKUP($D12,Grouped_Sources!$C:$C,1,FALSE())),"", INDIRECT(VLOOKUP($D12,Grouped_Sources!$C:$I,6,FALSE())))</f>
        <v>average speeds between London and Delhi travel surveys and where the speeds for Delhi are higher than those for London, the London speeds are chosen</v>
      </c>
      <c r="N12" s="25" t="n">
        <f aca="true">IF(ISNA(VLOOKUP($D12,Grouped_Sources!$C:$C,1,FALSE())),"", INDIRECT(VLOOKUP($D12,Grouped_Sources!$C:$I,7,FALSE())))</f>
        <v>0</v>
      </c>
    </row>
    <row r="13" customFormat="false" ht="15" hidden="false" customHeight="false" outlineLevel="0" collapsed="false">
      <c r="A13" s="21" t="n">
        <v>3</v>
      </c>
      <c r="B13" s="21" t="n">
        <v>11</v>
      </c>
      <c r="C13" s="21" t="str">
        <f aca="false">IF(G13 = "",F13,IF(OR(G13="alpha",G13="beta",G13="constant",G13="sd",G13="mean",G13="sample"),F13,F13&amp;" "&amp;G13))</f>
        <v>speeds taxi</v>
      </c>
      <c r="D13" s="21" t="str">
        <f aca="false">F13&amp;"_"&amp;E13</f>
        <v>speeds_bogota</v>
      </c>
      <c r="E13" s="27" t="str">
        <f aca="true" t="array" ref="E13:E13">INDIRECT(ADDRESS(1,A13,1,1,"all_city_parameter_inputs"))</f>
        <v>bogota</v>
      </c>
      <c r="F13" s="27" t="str">
        <f aca="true" t="array" ref="F13:F13">IF(AND(ISBLANK(INDIRECT(ADDRESS(B13,2,1,1,"all_city_parameter_inputs"))), ISBLANK(INDIRECT(ADDRESS(B13,1,1,1,"all_city_parameter_inputs")))), "", IF(ISBLANK(INDIRECT(ADDRESS(B13,1,1,1,"all_city_parameter_inputs"))), All_city_list!F12,INDIRECT(ADDRESS(B13,1,1,1,"all_city_parameter_inputs"))))</f>
        <v>speeds</v>
      </c>
      <c r="G13" s="27" t="str">
        <f aca="true" t="array" ref="G13:G13">IF(AND(ISBLANK(INDIRECT(ADDRESS(B13,3,1,1,"all_city_parameter_inputs"))),ISBLANK(INDIRECT(ADDRESS(B13,2,1,1,"all_city_parameter_inputs")))),"",IF(ISBLANK(INDIRECT(ADDRESS(B13,2,1,1,"all_city_parameter_inputs"))),"",INDIRECT(ADDRESS(B13,2,1,1,"all_city_parameter_inputs"))))</f>
        <v>taxi</v>
      </c>
      <c r="H13" s="28" t="n">
        <f aca="true" t="array" ref="H13:H13">IF(ISBLANK(INDIRECT(ADDRESS(B13,A13,1,1,"all_city_parameter_inputs"))), "--",INDIRECT(ADDRESS(B13,A13,1,1,"all_city_parameter_inputs")))</f>
        <v>12.56</v>
      </c>
      <c r="I13" s="28" t="n">
        <f aca="false">IF(OR(G13="alpha",G13="beta",G13="sd",G13="mean"),"--",VLOOKUP(C13,Default!$B$5:$H$114,7,FALSE()))</f>
        <v>13.8</v>
      </c>
      <c r="J13" s="27" t="str">
        <f aca="false">VLOOKUP(F13,Lookup!$C$5:$D$110,2, FALSE())</f>
        <v>Travel values</v>
      </c>
      <c r="K13" s="27" t="n">
        <f aca="false">VLOOKUP(C13,Default!$B$4:$E$114,4, FALSE())</f>
        <v>0</v>
      </c>
      <c r="L13" s="25" t="n">
        <f aca="true">IF(ISNA(VLOOKUP($D13,Grouped_Sources!$C:$C,1,FALSE())),"", INDIRECT(VLOOKUP($D13,Grouped_Sources!$C:$I,5,FALSE())))</f>
        <v>0</v>
      </c>
      <c r="M13" s="25" t="str">
        <f aca="true" t="array" ref="M13:M13">IF(ISNA(VLOOKUP($D13,Grouped_Sources!$C:$C,1,FALSE())),"", INDIRECT(VLOOKUP($D13,Grouped_Sources!$C:$I,6,FALSE())))</f>
        <v>average speeds between London and Delhi travel surveys and where the speeds for Delhi are higher than those for London, the London speeds are chosen</v>
      </c>
      <c r="N13" s="25" t="n">
        <f aca="true">IF(ISNA(VLOOKUP($D13,Grouped_Sources!$C:$C,1,FALSE())),"", INDIRECT(VLOOKUP($D13,Grouped_Sources!$C:$I,7,FALSE())))</f>
        <v>0</v>
      </c>
    </row>
    <row r="14" customFormat="false" ht="15" hidden="false" customHeight="false" outlineLevel="0" collapsed="false">
      <c r="A14" s="21" t="n">
        <v>3</v>
      </c>
      <c r="B14" s="21" t="n">
        <v>12</v>
      </c>
      <c r="C14" s="21" t="str">
        <f aca="false">IF(G14 = "",F14,IF(OR(G14="alpha",G14="beta",G14="constant",G14="sd",G14="mean",G14="sample"),F14,F14&amp;" "&amp;G14))</f>
        <v>speeds truck</v>
      </c>
      <c r="D14" s="21" t="str">
        <f aca="false">F14&amp;"_"&amp;E14</f>
        <v>speeds_bogota</v>
      </c>
      <c r="E14" s="27" t="str">
        <f aca="true" t="array" ref="E14:E14">INDIRECT(ADDRESS(1,A14,1,1,"all_city_parameter_inputs"))</f>
        <v>bogota</v>
      </c>
      <c r="F14" s="27" t="str">
        <f aca="true" t="array" ref="F14:F14">IF(AND(ISBLANK(INDIRECT(ADDRESS(B14,2,1,1,"all_city_parameter_inputs"))), ISBLANK(INDIRECT(ADDRESS(B14,1,1,1,"all_city_parameter_inputs")))), "", IF(ISBLANK(INDIRECT(ADDRESS(B14,1,1,1,"all_city_parameter_inputs"))), All_city_list!F13,INDIRECT(ADDRESS(B14,1,1,1,"all_city_parameter_inputs"))))</f>
        <v>speeds</v>
      </c>
      <c r="G14" s="27" t="str">
        <f aca="true" t="array" ref="G14:G14">IF(AND(ISBLANK(INDIRECT(ADDRESS(B14,3,1,1,"all_city_parameter_inputs"))),ISBLANK(INDIRECT(ADDRESS(B14,2,1,1,"all_city_parameter_inputs")))),"",IF(ISBLANK(INDIRECT(ADDRESS(B14,2,1,1,"all_city_parameter_inputs"))),"",INDIRECT(ADDRESS(B14,2,1,1,"all_city_parameter_inputs"))))</f>
        <v>truck</v>
      </c>
      <c r="H14" s="28" t="n">
        <f aca="true" t="array" ref="H14:H14">IF(ISBLANK(INDIRECT(ADDRESS(B14,A14,1,1,"all_city_parameter_inputs"))), "--",INDIRECT(ADDRESS(B14,A14,1,1,"all_city_parameter_inputs")))</f>
        <v>8.1</v>
      </c>
      <c r="I14" s="28" t="n">
        <f aca="false">IF(OR(G14="alpha",G14="beta",G14="sd",G14="mean"),"--",VLOOKUP(C14,Default!$B$5:$H$114,7,FALSE()))</f>
        <v>8.1</v>
      </c>
      <c r="J14" s="27" t="str">
        <f aca="false">VLOOKUP(F14,Lookup!$C$5:$D$110,2, FALSE())</f>
        <v>Travel values</v>
      </c>
      <c r="K14" s="27" t="n">
        <f aca="false">VLOOKUP(C14,Default!$B$4:$E$114,4, FALSE())</f>
        <v>0</v>
      </c>
      <c r="L14" s="25" t="n">
        <f aca="true">IF(ISNA(VLOOKUP($D14,Grouped_Sources!$C:$C,1,FALSE())),"", INDIRECT(VLOOKUP($D14,Grouped_Sources!$C:$I,5,FALSE())))</f>
        <v>0</v>
      </c>
      <c r="M14" s="25" t="str">
        <f aca="true" t="array" ref="M14:M14">IF(ISNA(VLOOKUP($D14,Grouped_Sources!$C:$C,1,FALSE())),"", INDIRECT(VLOOKUP($D14,Grouped_Sources!$C:$I,6,FALSE())))</f>
        <v>average speeds between London and Delhi travel surveys and where the speeds for Delhi are higher than those for London, the London speeds are chosen</v>
      </c>
      <c r="N14" s="25" t="n">
        <f aca="true">IF(ISNA(VLOOKUP($D14,Grouped_Sources!$C:$C,1,FALSE())),"", INDIRECT(VLOOKUP($D14,Grouped_Sources!$C:$I,7,FALSE())))</f>
        <v>0</v>
      </c>
    </row>
    <row r="15" customFormat="false" ht="15" hidden="false" customHeight="false" outlineLevel="0" collapsed="false">
      <c r="A15" s="21" t="n">
        <v>3</v>
      </c>
      <c r="B15" s="21" t="n">
        <v>13</v>
      </c>
      <c r="C15" s="21" t="str">
        <f aca="false">IF(G15 = "",F15,IF(OR(G15="alpha",G15="beta",G15="constant",G15="sd",G15="mean",G15="sample"),F15,F15&amp;" "&amp;G15))</f>
        <v>speeds van</v>
      </c>
      <c r="D15" s="21" t="str">
        <f aca="false">F15&amp;"_"&amp;E15</f>
        <v>speeds_bogota</v>
      </c>
      <c r="E15" s="27" t="str">
        <f aca="true" t="array" ref="E15:E15">INDIRECT(ADDRESS(1,A15,1,1,"all_city_parameter_inputs"))</f>
        <v>bogota</v>
      </c>
      <c r="F15" s="27" t="str">
        <f aca="true" t="array" ref="F15:F15">IF(AND(ISBLANK(INDIRECT(ADDRESS(B15,2,1,1,"all_city_parameter_inputs"))), ISBLANK(INDIRECT(ADDRESS(B15,1,1,1,"all_city_parameter_inputs")))), "", IF(ISBLANK(INDIRECT(ADDRESS(B15,1,1,1,"all_city_parameter_inputs"))), All_city_list!F14,INDIRECT(ADDRESS(B15,1,1,1,"all_city_parameter_inputs"))))</f>
        <v>speeds</v>
      </c>
      <c r="G15" s="27" t="str">
        <f aca="true" t="array" ref="G15:G15">IF(AND(ISBLANK(INDIRECT(ADDRESS(B15,3,1,1,"all_city_parameter_inputs"))),ISBLANK(INDIRECT(ADDRESS(B15,2,1,1,"all_city_parameter_inputs")))),"",IF(ISBLANK(INDIRECT(ADDRESS(B15,2,1,1,"all_city_parameter_inputs"))),"",INDIRECT(ADDRESS(B15,2,1,1,"all_city_parameter_inputs"))))</f>
        <v>van</v>
      </c>
      <c r="H15" s="28" t="n">
        <f aca="true" t="array" ref="H15:H15">IF(ISBLANK(INDIRECT(ADDRESS(B15,A15,1,1,"all_city_parameter_inputs"))), "--",INDIRECT(ADDRESS(B15,A15,1,1,"all_city_parameter_inputs")))</f>
        <v>13.8</v>
      </c>
      <c r="I15" s="28" t="n">
        <f aca="false">IF(OR(G15="alpha",G15="beta",G15="sd",G15="mean"),"--",VLOOKUP(C15,Default!$B$5:$H$114,7,FALSE()))</f>
        <v>13.8</v>
      </c>
      <c r="J15" s="27" t="str">
        <f aca="false">VLOOKUP(F15,Lookup!$C$5:$D$110,2, FALSE())</f>
        <v>Travel values</v>
      </c>
      <c r="K15" s="27" t="n">
        <f aca="false">VLOOKUP(C15,Default!$B$4:$E$114,4, FALSE())</f>
        <v>0</v>
      </c>
      <c r="L15" s="25" t="n">
        <f aca="true">IF(ISNA(VLOOKUP($D15,Grouped_Sources!$C:$C,1,FALSE())),"", INDIRECT(VLOOKUP($D15,Grouped_Sources!$C:$I,5,FALSE())))</f>
        <v>0</v>
      </c>
      <c r="M15" s="25" t="str">
        <f aca="true" t="array" ref="M15:M15">IF(ISNA(VLOOKUP($D15,Grouped_Sources!$C:$C,1,FALSE())),"", INDIRECT(VLOOKUP($D15,Grouped_Sources!$C:$I,6,FALSE())))</f>
        <v>average speeds between London and Delhi travel surveys and where the speeds for Delhi are higher than those for London, the London speeds are chosen</v>
      </c>
      <c r="N15" s="25" t="n">
        <f aca="true">IF(ISNA(VLOOKUP($D15,Grouped_Sources!$C:$C,1,FALSE())),"", INDIRECT(VLOOKUP($D15,Grouped_Sources!$C:$I,7,FALSE())))</f>
        <v>0</v>
      </c>
    </row>
    <row r="16" customFormat="false" ht="314.9" hidden="false" customHeight="false" outlineLevel="0" collapsed="false">
      <c r="A16" s="21" t="n">
        <v>3</v>
      </c>
      <c r="B16" s="21" t="n">
        <v>14</v>
      </c>
      <c r="C16" s="21" t="str">
        <f aca="false">IF(G16 = "",F16,IF(OR(G16="alpha",G16="beta",G16="constant",G16="sd",G16="mean",G16="sample"),F16,F16&amp;" "&amp;G16))</f>
        <v>PM_emission_inventories motorcycle</v>
      </c>
      <c r="D16" s="21" t="str">
        <f aca="false">F16&amp;"_"&amp;E16</f>
        <v>PM_emission_inventories_bogota</v>
      </c>
      <c r="E16" s="27" t="str">
        <f aca="true" t="array" ref="E16:E16">INDIRECT(ADDRESS(1,A16,1,1,"all_city_parameter_inputs"))</f>
        <v>bogota</v>
      </c>
      <c r="F16" s="27" t="str">
        <f aca="true" t="array" ref="F16:F16">IF(AND(ISBLANK(INDIRECT(ADDRESS(B16,2,1,1,"all_city_parameter_inputs"))), ISBLANK(INDIRECT(ADDRESS(B16,1,1,1,"all_city_parameter_inputs")))), "", IF(ISBLANK(INDIRECT(ADDRESS(B16,1,1,1,"all_city_parameter_inputs"))), All_city_list!F5,INDIRECT(ADDRESS(B16,1,1,1,"all_city_parameter_inputs"))))</f>
        <v>PM_emission_inventories</v>
      </c>
      <c r="G16" s="27" t="str">
        <f aca="true" t="array" ref="G16:G16">IF(AND(ISBLANK(INDIRECT(ADDRESS(B16,3,1,1,"all_city_parameter_inputs"))),ISBLANK(INDIRECT(ADDRESS(B16,2,1,1,"all_city_parameter_inputs")))),"",IF(ISBLANK(INDIRECT(ADDRESS(B16,2,1,1,"all_city_parameter_inputs"))),"",INDIRECT(ADDRESS(B16,2,1,1,"all_city_parameter_inputs"))))</f>
        <v>motorcycle</v>
      </c>
      <c r="H16" s="28" t="n">
        <f aca="true" t="array" ref="H16:H16">IF(ISBLANK(INDIRECT(ADDRESS(B16,A16,1,1,"all_city_parameter_inputs"))), "--",INDIRECT(ADDRESS(B16,A16,1,1,"all_city_parameter_inputs")))</f>
        <v>0.00230316543753382</v>
      </c>
      <c r="I16" s="28" t="n">
        <f aca="false">IF(OR(G16="alpha",G16="beta",G16="sd",G16="mean"),"--",VLOOKUP(C16,Default!$B$5:$H$114,7,FALSE()))</f>
        <v>0.00230316543753382</v>
      </c>
      <c r="J16" s="27" t="str">
        <f aca="false">VLOOKUP(F16,Lookup!$C$5:$D$110,2, FALSE())</f>
        <v>Pollution values</v>
      </c>
      <c r="K16" s="30" t="str">
        <f aca="false">VLOOKUP(C16,Default!$B$4:$E$114,4,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6" s="31" t="s">
        <v>111</v>
      </c>
      <c r="M16" s="24" t="s">
        <v>112</v>
      </c>
      <c r="N16" s="32"/>
    </row>
    <row r="17" customFormat="false" ht="15" hidden="false" customHeight="false" outlineLevel="0" collapsed="false">
      <c r="A17" s="21" t="n">
        <v>3</v>
      </c>
      <c r="B17" s="21" t="n">
        <v>15</v>
      </c>
      <c r="C17" s="21" t="str">
        <f aca="false">IF(G17 = "",F17,IF(OR(G17="alpha",G17="beta",G17="constant",G17="sd",G17="mean",G17="sample"),F17,F17&amp;" "&amp;G17))</f>
        <v>PM_emission_inventories car</v>
      </c>
      <c r="D17" s="21" t="str">
        <f aca="false">F17&amp;"_"&amp;E17</f>
        <v>PM_emission_inventories_bogota</v>
      </c>
      <c r="E17" s="27" t="str">
        <f aca="true" t="array" ref="E17:E17">INDIRECT(ADDRESS(1,A17,1,1,"all_city_parameter_inputs"))</f>
        <v>bogota</v>
      </c>
      <c r="F17" s="27" t="str">
        <f aca="true" t="array" ref="F17:F17">IF(AND(ISBLANK(INDIRECT(ADDRESS(B17,2,1,1,"all_city_parameter_inputs"))), ISBLANK(INDIRECT(ADDRESS(B17,1,1,1,"all_city_parameter_inputs")))), "", IF(ISBLANK(INDIRECT(ADDRESS(B17,1,1,1,"all_city_parameter_inputs"))), All_city_list!F16,INDIRECT(ADDRESS(B17,1,1,1,"all_city_parameter_inputs"))))</f>
        <v>PM_emission_inventories</v>
      </c>
      <c r="G17" s="27" t="str">
        <f aca="true" t="array" ref="G17:G17">IF(AND(ISBLANK(INDIRECT(ADDRESS(B17,3,1,1,"all_city_parameter_inputs"))),ISBLANK(INDIRECT(ADDRESS(B17,2,1,1,"all_city_parameter_inputs")))),"",IF(ISBLANK(INDIRECT(ADDRESS(B17,2,1,1,"all_city_parameter_inputs"))),"",INDIRECT(ADDRESS(B17,2,1,1,"all_city_parameter_inputs"))))</f>
        <v>car</v>
      </c>
      <c r="H17" s="28" t="n">
        <f aca="true" t="array" ref="H17:H17">IF(ISBLANK(INDIRECT(ADDRESS(B17,A17,1,1,"all_city_parameter_inputs"))), "--",INDIRECT(ADDRESS(B17,A17,1,1,"all_city_parameter_inputs")))</f>
        <v>0.0819803528062258</v>
      </c>
      <c r="I17" s="28" t="n">
        <f aca="false">IF(OR(G17="alpha",G17="beta",G17="sd",G17="mean"),"--",VLOOKUP(C17,Default!$B$5:$H$114,7,FALSE()))</f>
        <v>0.0819803528062258</v>
      </c>
      <c r="J17" s="27" t="str">
        <f aca="false">VLOOKUP(F17,Lookup!$C$5:$D$110,2, FALSE())</f>
        <v>Pollution values</v>
      </c>
      <c r="K17" s="27" t="n">
        <f aca="false">VLOOKUP(C17,Default!$B$4:$E$114,4, FALSE())</f>
        <v>0</v>
      </c>
      <c r="L17" s="25" t="str">
        <f aca="true" t="array" ref="L17:L17">IF(ISNA(VLOOKUP($D17,Grouped_Sources!$C:$C,1,FALSE())),"", INDIRECT(VLOOKUP($D17,Grouped_Sources!$C:$I,5,FALSE())))</f>
        <v>https://edgar.jrc.ec.europa.eu/, obtained values based on private correspondence</v>
      </c>
      <c r="M17" s="25" t="str">
        <f aca="true" t="array" ref="M17:M17">IF(ISNA(VLOOKUP($D17,Grouped_Sources!$C:$C,1,FALSE())),"", INDIRECT(VLOOKUP($D17,Grouped_Sources!$C:$I,6,FALSE())))</f>
        <v>EDGAR, 2018</v>
      </c>
      <c r="N17" s="25" t="n">
        <f aca="true">IF(ISNA(VLOOKUP($D17,Grouped_Sources!$C:$C,1,FALSE())),"", INDIRECT(VLOOKUP($D17,Grouped_Sources!$C:$I,7,FALSE())))</f>
        <v>0</v>
      </c>
    </row>
    <row r="18" customFormat="false" ht="15" hidden="false" customHeight="false" outlineLevel="0" collapsed="false">
      <c r="A18" s="21" t="n">
        <v>3</v>
      </c>
      <c r="B18" s="21" t="n">
        <v>16</v>
      </c>
      <c r="C18" s="21" t="str">
        <f aca="false">IF(G18 = "",F18,IF(OR(G18="alpha",G18="beta",G18="constant",G18="sd",G18="mean",G18="sample"),F18,F18&amp;" "&amp;G18))</f>
        <v>PM_emission_inventories bus_driver</v>
      </c>
      <c r="D18" s="21" t="str">
        <f aca="false">F18&amp;"_"&amp;E18</f>
        <v>PM_emission_inventories_bogota</v>
      </c>
      <c r="E18" s="27" t="str">
        <f aca="true" t="array" ref="E18:E18">INDIRECT(ADDRESS(1,A18,1,1,"all_city_parameter_inputs"))</f>
        <v>bogota</v>
      </c>
      <c r="F18" s="27" t="str">
        <f aca="true" t="array" ref="F18:F18">IF(AND(ISBLANK(INDIRECT(ADDRESS(B18,2,1,1,"all_city_parameter_inputs"))), ISBLANK(INDIRECT(ADDRESS(B18,1,1,1,"all_city_parameter_inputs")))), "", IF(ISBLANK(INDIRECT(ADDRESS(B18,1,1,1,"all_city_parameter_inputs"))), All_city_list!F17,INDIRECT(ADDRESS(B18,1,1,1,"all_city_parameter_inputs"))))</f>
        <v>PM_emission_inventories</v>
      </c>
      <c r="G18" s="27" t="str">
        <f aca="true" t="array" ref="G18:G18">IF(AND(ISBLANK(INDIRECT(ADDRESS(B18,3,1,1,"all_city_parameter_inputs"))),ISBLANK(INDIRECT(ADDRESS(B18,2,1,1,"all_city_parameter_inputs")))),"",IF(ISBLANK(INDIRECT(ADDRESS(B18,2,1,1,"all_city_parameter_inputs"))),"",INDIRECT(ADDRESS(B18,2,1,1,"all_city_parameter_inputs"))))</f>
        <v>bus_driver</v>
      </c>
      <c r="H18" s="28" t="n">
        <f aca="true" t="array" ref="H18:H18">IF(ISBLANK(INDIRECT(ADDRESS(B18,A18,1,1,"all_city_parameter_inputs"))), "--",INDIRECT(ADDRESS(B18,A18,1,1,"all_city_parameter_inputs")))</f>
        <v>0.122466774252533</v>
      </c>
      <c r="I18" s="28" t="n">
        <f aca="false">IF(OR(G18="alpha",G18="beta",G18="sd",G18="mean"),"--",VLOOKUP(C18,Default!$B$5:$H$114,7,FALSE()))</f>
        <v>0.122466774252533</v>
      </c>
      <c r="J18" s="27" t="str">
        <f aca="false">VLOOKUP(F18,Lookup!$C$5:$D$110,2, FALSE())</f>
        <v>Pollution values</v>
      </c>
      <c r="K18" s="27" t="n">
        <f aca="false">VLOOKUP(C18,Default!$B$4:$E$114,4, FALSE())</f>
        <v>0</v>
      </c>
      <c r="L18" s="25" t="str">
        <f aca="true" t="array" ref="L18:L18">IF(ISNA(VLOOKUP($D18,Grouped_Sources!$C:$C,1,FALSE())),"", INDIRECT(VLOOKUP($D18,Grouped_Sources!$C:$I,5,FALSE())))</f>
        <v>https://edgar.jrc.ec.europa.eu/, obtained values based on private correspondence</v>
      </c>
      <c r="M18" s="25" t="str">
        <f aca="true" t="array" ref="M18:M18">IF(ISNA(VLOOKUP($D18,Grouped_Sources!$C:$C,1,FALSE())),"", INDIRECT(VLOOKUP($D18,Grouped_Sources!$C:$I,6,FALSE())))</f>
        <v>EDGAR, 2018</v>
      </c>
      <c r="N18" s="25" t="n">
        <f aca="true">IF(ISNA(VLOOKUP($D18,Grouped_Sources!$C:$C,1,FALSE())),"", INDIRECT(VLOOKUP($D18,Grouped_Sources!$C:$I,7,FALSE())))</f>
        <v>0</v>
      </c>
    </row>
    <row r="19" customFormat="false" ht="15" hidden="false" customHeight="false" outlineLevel="0" collapsed="false">
      <c r="A19" s="21" t="n">
        <v>3</v>
      </c>
      <c r="B19" s="21" t="n">
        <v>17</v>
      </c>
      <c r="C19" s="21" t="str">
        <f aca="false">IF(G19 = "",F19,IF(OR(G19="alpha",G19="beta",G19="constant",G19="sd",G19="mean",G19="sample"),F19,F19&amp;" "&amp;G19))</f>
        <v>PM_emission_inventories heavy_truck</v>
      </c>
      <c r="D19" s="21" t="str">
        <f aca="false">F19&amp;"_"&amp;E19</f>
        <v>PM_emission_inventories_bogota</v>
      </c>
      <c r="E19" s="27" t="str">
        <f aca="true" t="array" ref="E19:E19">INDIRECT(ADDRESS(1,A19,1,1,"all_city_parameter_inputs"))</f>
        <v>bogota</v>
      </c>
      <c r="F19" s="27" t="str">
        <f aca="true" t="array" ref="F19:F19">IF(AND(ISBLANK(INDIRECT(ADDRESS(B19,2,1,1,"all_city_parameter_inputs"))), ISBLANK(INDIRECT(ADDRESS(B19,1,1,1,"all_city_parameter_inputs")))), "", IF(ISBLANK(INDIRECT(ADDRESS(B19,1,1,1,"all_city_parameter_inputs"))), All_city_list!F18,INDIRECT(ADDRESS(B19,1,1,1,"all_city_parameter_inputs"))))</f>
        <v>PM_emission_inventories</v>
      </c>
      <c r="G19" s="27" t="str">
        <f aca="true" t="array" ref="G19:G19">IF(AND(ISBLANK(INDIRECT(ADDRESS(B19,3,1,1,"all_city_parameter_inputs"))),ISBLANK(INDIRECT(ADDRESS(B19,2,1,1,"all_city_parameter_inputs")))),"",IF(ISBLANK(INDIRECT(ADDRESS(B19,2,1,1,"all_city_parameter_inputs"))),"",INDIRECT(ADDRESS(B19,2,1,1,"all_city_parameter_inputs"))))</f>
        <v>heavy_truck</v>
      </c>
      <c r="H19" s="28" t="n">
        <f aca="true" t="array" ref="H19:H19">IF(ISBLANK(INDIRECT(ADDRESS(B19,A19,1,1,"all_city_parameter_inputs"))), "--",INDIRECT(ADDRESS(B19,A19,1,1,"all_city_parameter_inputs")))</f>
        <v>0.454454037837085</v>
      </c>
      <c r="I19" s="28" t="n">
        <f aca="false">IF(OR(G19="alpha",G19="beta",G19="sd",G19="mean"),"--",VLOOKUP(C19,Default!$B$5:$H$114,7,FALSE()))</f>
        <v>0.454454037837085</v>
      </c>
      <c r="J19" s="27" t="str">
        <f aca="false">VLOOKUP(F19,Lookup!$C$5:$D$110,2, FALSE())</f>
        <v>Pollution values</v>
      </c>
      <c r="K19" s="27" t="n">
        <f aca="false">VLOOKUP(C19,Default!$B$4:$E$114,4, FALSE())</f>
        <v>0</v>
      </c>
      <c r="L19" s="25" t="str">
        <f aca="true" t="array" ref="L19:L19">IF(ISNA(VLOOKUP($D19,Grouped_Sources!$C:$C,1,FALSE())),"", INDIRECT(VLOOKUP($D19,Grouped_Sources!$C:$I,5,FALSE())))</f>
        <v>https://edgar.jrc.ec.europa.eu/, obtained values based on private correspondence</v>
      </c>
      <c r="M19" s="25" t="str">
        <f aca="true" t="array" ref="M19:M19">IF(ISNA(VLOOKUP($D19,Grouped_Sources!$C:$C,1,FALSE())),"", INDIRECT(VLOOKUP($D19,Grouped_Sources!$C:$I,6,FALSE())))</f>
        <v>EDGAR, 2018</v>
      </c>
      <c r="N19" s="25" t="n">
        <f aca="true">IF(ISNA(VLOOKUP($D19,Grouped_Sources!$C:$C,1,FALSE())),"", INDIRECT(VLOOKUP($D19,Grouped_Sources!$C:$I,7,FALSE())))</f>
        <v>0</v>
      </c>
    </row>
    <row r="20" customFormat="false" ht="15" hidden="false" customHeight="false" outlineLevel="0" collapsed="false">
      <c r="A20" s="21" t="n">
        <v>3</v>
      </c>
      <c r="B20" s="21" t="n">
        <v>18</v>
      </c>
      <c r="C20" s="21" t="str">
        <f aca="false">IF(G20 = "",F20,IF(OR(G20="alpha",G20="beta",G20="constant",G20="sd",G20="mean",G20="sample"),F20,F20&amp;" "&amp;G20))</f>
        <v>PM_emission_inventories truck</v>
      </c>
      <c r="D20" s="21" t="str">
        <f aca="false">F20&amp;"_"&amp;E20</f>
        <v>PM_emission_inventories_bogota</v>
      </c>
      <c r="E20" s="27" t="str">
        <f aca="true" t="array" ref="E20:E20">INDIRECT(ADDRESS(1,A20,1,1,"all_city_parameter_inputs"))</f>
        <v>bogota</v>
      </c>
      <c r="F20" s="27" t="str">
        <f aca="true" t="array" ref="F20:F20">IF(AND(ISBLANK(INDIRECT(ADDRESS(B20,2,1,1,"all_city_parameter_inputs"))), ISBLANK(INDIRECT(ADDRESS(B20,1,1,1,"all_city_parameter_inputs")))), "", IF(ISBLANK(INDIRECT(ADDRESS(B20,1,1,1,"all_city_parameter_inputs"))), All_city_list!F19,INDIRECT(ADDRESS(B20,1,1,1,"all_city_parameter_inputs"))))</f>
        <v>PM_emission_inventories</v>
      </c>
      <c r="G20" s="27" t="str">
        <f aca="true" t="array" ref="G20:G20">IF(AND(ISBLANK(INDIRECT(ADDRESS(B20,3,1,1,"all_city_parameter_inputs"))),ISBLANK(INDIRECT(ADDRESS(B20,2,1,1,"all_city_parameter_inputs")))),"",IF(ISBLANK(INDIRECT(ADDRESS(B20,2,1,1,"all_city_parameter_inputs"))),"",INDIRECT(ADDRESS(B20,2,1,1,"all_city_parameter_inputs"))))</f>
        <v>truck</v>
      </c>
      <c r="H20" s="28" t="n">
        <f aca="true" t="array" ref="H20:H20">IF(ISBLANK(INDIRECT(ADDRESS(B20,A20,1,1,"all_city_parameter_inputs"))), "--",INDIRECT(ADDRESS(B20,A20,1,1,"all_city_parameter_inputs")))</f>
        <v>0.338795669666623</v>
      </c>
      <c r="I20" s="28" t="n">
        <f aca="false">IF(OR(G20="alpha",G20="beta",G20="sd",G20="mean"),"--",VLOOKUP(C20,Default!$B$5:$H$114,7,FALSE()))</f>
        <v>0.338795669666623</v>
      </c>
      <c r="J20" s="27" t="str">
        <f aca="false">VLOOKUP(F20,Lookup!$C$5:$D$110,2, FALSE())</f>
        <v>Pollution values</v>
      </c>
      <c r="K20" s="27" t="n">
        <f aca="false">VLOOKUP(C20,Default!$B$4:$E$114,4, FALSE())</f>
        <v>0</v>
      </c>
      <c r="L20" s="25" t="str">
        <f aca="true" t="array" ref="L20:L20">IF(ISNA(VLOOKUP($D20,Grouped_Sources!$C:$C,1,FALSE())),"", INDIRECT(VLOOKUP($D20,Grouped_Sources!$C:$I,5,FALSE())))</f>
        <v>https://edgar.jrc.ec.europa.eu/, obtained values based on private correspondence</v>
      </c>
      <c r="M20" s="25" t="str">
        <f aca="true" t="array" ref="M20:M20">IF(ISNA(VLOOKUP($D20,Grouped_Sources!$C:$C,1,FALSE())),"", INDIRECT(VLOOKUP($D20,Grouped_Sources!$C:$I,6,FALSE())))</f>
        <v>EDGAR, 2018</v>
      </c>
      <c r="N20" s="25" t="n">
        <f aca="true">IF(ISNA(VLOOKUP($D20,Grouped_Sources!$C:$C,1,FALSE())),"", INDIRECT(VLOOKUP($D20,Grouped_Sources!$C:$I,7,FALSE())))</f>
        <v>0</v>
      </c>
    </row>
    <row r="21" customFormat="false" ht="15" hidden="false" customHeight="false" outlineLevel="0" collapsed="false">
      <c r="A21" s="21" t="n">
        <v>3</v>
      </c>
      <c r="B21" s="21" t="n">
        <v>19</v>
      </c>
      <c r="C21" s="21" t="str">
        <f aca="false">IF(G21 = "",F21,IF(OR(G21="alpha",G21="beta",G21="constant",G21="sd",G21="mean",G21="sample"),F21,F21&amp;" "&amp;G21))</f>
        <v>PM_emission_inventories van</v>
      </c>
      <c r="D21" s="21" t="str">
        <f aca="false">F21&amp;"_"&amp;E21</f>
        <v>PM_emission_inventories_bogota</v>
      </c>
      <c r="E21" s="27" t="str">
        <f aca="true" t="array" ref="E21:E21">INDIRECT(ADDRESS(1,A21,1,1,"all_city_parameter_inputs"))</f>
        <v>bogota</v>
      </c>
      <c r="F21" s="27" t="str">
        <f aca="true" t="array" ref="F21:F21">IF(AND(ISBLANK(INDIRECT(ADDRESS(B21,2,1,1,"all_city_parameter_inputs"))), ISBLANK(INDIRECT(ADDRESS(B21,1,1,1,"all_city_parameter_inputs")))), "", IF(ISBLANK(INDIRECT(ADDRESS(B21,1,1,1,"all_city_parameter_inputs"))), All_city_list!F20,INDIRECT(ADDRESS(B21,1,1,1,"all_city_parameter_inputs"))))</f>
        <v>PM_emission_inventories</v>
      </c>
      <c r="G21" s="27" t="str">
        <f aca="true" t="array" ref="G21:G21">IF(AND(ISBLANK(INDIRECT(ADDRESS(B21,3,1,1,"all_city_parameter_inputs"))),ISBLANK(INDIRECT(ADDRESS(B21,2,1,1,"all_city_parameter_inputs")))),"",IF(ISBLANK(INDIRECT(ADDRESS(B21,2,1,1,"all_city_parameter_inputs"))),"",INDIRECT(ADDRESS(B21,2,1,1,"all_city_parameter_inputs"))))</f>
        <v>van</v>
      </c>
      <c r="H21" s="28" t="n">
        <f aca="true" t="array" ref="H21:H21">IF(ISBLANK(INDIRECT(ADDRESS(B21,A21,1,1,"all_city_parameter_inputs"))), "--",INDIRECT(ADDRESS(B21,A21,1,1,"all_city_parameter_inputs")))</f>
        <v>0</v>
      </c>
      <c r="I21" s="33" t="n">
        <f aca="false">IF(OR(G21="alpha",G21="beta",G21="sd",G21="mean"),"--",VLOOKUP(C21,Default!$B$5:$H$114,7,FALSE()))</f>
        <v>0</v>
      </c>
      <c r="J21" s="27" t="str">
        <f aca="false">VLOOKUP(F21,Lookup!$C$5:$D$110,2, FALSE())</f>
        <v>Pollution values</v>
      </c>
      <c r="K21" s="27" t="n">
        <f aca="false">VLOOKUP(C21,Default!$B$4:$E$114,4, FALSE())</f>
        <v>0</v>
      </c>
      <c r="L21" s="25" t="str">
        <f aca="true" t="array" ref="L21:L21">IF(ISNA(VLOOKUP($D21,Grouped_Sources!$C:$C,1,FALSE())),"", INDIRECT(VLOOKUP($D21,Grouped_Sources!$C:$I,5,FALSE())))</f>
        <v>https://edgar.jrc.ec.europa.eu/, obtained values based on private correspondence</v>
      </c>
      <c r="M21" s="25" t="str">
        <f aca="true" t="array" ref="M21:M21">IF(ISNA(VLOOKUP($D21,Grouped_Sources!$C:$C,1,FALSE())),"", INDIRECT(VLOOKUP($D21,Grouped_Sources!$C:$I,6,FALSE())))</f>
        <v>EDGAR, 2018</v>
      </c>
      <c r="N21" s="25" t="n">
        <f aca="true">IF(ISNA(VLOOKUP($D21,Grouped_Sources!$C:$C,1,FALSE())),"", INDIRECT(VLOOKUP($D21,Grouped_Sources!$C:$I,7,FALSE())))</f>
        <v>0</v>
      </c>
    </row>
    <row r="22" customFormat="false" ht="15" hidden="false" customHeight="false" outlineLevel="0" collapsed="false">
      <c r="A22" s="21" t="n">
        <v>3</v>
      </c>
      <c r="B22" s="21" t="n">
        <v>20</v>
      </c>
      <c r="C22" s="21" t="str">
        <f aca="false">IF(G22 = "",F22,IF(OR(G22="alpha",G22="beta",G22="constant",G22="sd",G22="mean",G22="sample"),F22,F22&amp;" "&amp;G22))</f>
        <v>PM_emission_inventories other</v>
      </c>
      <c r="D22" s="21" t="str">
        <f aca="false">F22&amp;"_"&amp;E22</f>
        <v>PM_emission_inventories_bogota</v>
      </c>
      <c r="E22" s="27" t="str">
        <f aca="true" t="array" ref="E22:E22">INDIRECT(ADDRESS(1,A22,1,1,"all_city_parameter_inputs"))</f>
        <v>bogota</v>
      </c>
      <c r="F22" s="27" t="str">
        <f aca="true" t="array" ref="F22:F22">IF(AND(ISBLANK(INDIRECT(ADDRESS(B22,2,1,1,"all_city_parameter_inputs"))), ISBLANK(INDIRECT(ADDRESS(B22,1,1,1,"all_city_parameter_inputs")))), "", IF(ISBLANK(INDIRECT(ADDRESS(B22,1,1,1,"all_city_parameter_inputs"))), All_city_list!F21,INDIRECT(ADDRESS(B22,1,1,1,"all_city_parameter_inputs"))))</f>
        <v>PM_emission_inventories</v>
      </c>
      <c r="G22" s="27" t="str">
        <f aca="true" t="array" ref="G22:G22">IF(AND(ISBLANK(INDIRECT(ADDRESS(B22,3,1,1,"all_city_parameter_inputs"))),ISBLANK(INDIRECT(ADDRESS(B22,2,1,1,"all_city_parameter_inputs")))),"",IF(ISBLANK(INDIRECT(ADDRESS(B22,2,1,1,"all_city_parameter_inputs"))),"",INDIRECT(ADDRESS(B22,2,1,1,"all_city_parameter_inputs"))))</f>
        <v>other</v>
      </c>
      <c r="H22" s="28" t="n">
        <f aca="true" t="array" ref="H22:H22">IF(ISBLANK(INDIRECT(ADDRESS(B22,A22,1,1,"all_city_parameter_inputs"))), "--",INDIRECT(ADDRESS(B22,A22,1,1,"all_city_parameter_inputs")))</f>
        <v>0</v>
      </c>
      <c r="I22" s="33" t="n">
        <f aca="false">IF(OR(G22="alpha",G22="beta",G22="sd",G22="mean"),"--",VLOOKUP(C22,Default!$B$5:$H$114,7,FALSE()))</f>
        <v>0</v>
      </c>
      <c r="J22" s="27" t="str">
        <f aca="false">VLOOKUP(F22,Lookup!$C$5:$D$110,2, FALSE())</f>
        <v>Pollution values</v>
      </c>
      <c r="K22" s="27" t="n">
        <f aca="false">VLOOKUP(C22,Default!$B$4:$E$114,4, FALSE())</f>
        <v>0</v>
      </c>
      <c r="L22" s="25" t="str">
        <f aca="true" t="array" ref="L22:L22">IF(ISNA(VLOOKUP($D22,Grouped_Sources!$C:$C,1,FALSE())),"", INDIRECT(VLOOKUP($D22,Grouped_Sources!$C:$I,5,FALSE())))</f>
        <v>https://edgar.jrc.ec.europa.eu/, obtained values based on private correspondence</v>
      </c>
      <c r="M22" s="25" t="str">
        <f aca="true" t="array" ref="M22:M22">IF(ISNA(VLOOKUP($D22,Grouped_Sources!$C:$C,1,FALSE())),"", INDIRECT(VLOOKUP($D22,Grouped_Sources!$C:$I,6,FALSE())))</f>
        <v>EDGAR, 2018</v>
      </c>
      <c r="N22" s="25" t="n">
        <f aca="true">IF(ISNA(VLOOKUP($D22,Grouped_Sources!$C:$C,1,FALSE())),"", INDIRECT(VLOOKUP($D22,Grouped_Sources!$C:$I,7,FALSE())))</f>
        <v>0</v>
      </c>
    </row>
    <row r="23" customFormat="false" ht="15" hidden="false" customHeight="false" outlineLevel="0" collapsed="false">
      <c r="A23" s="21" t="n">
        <v>3</v>
      </c>
      <c r="B23" s="21" t="n">
        <v>21</v>
      </c>
      <c r="C23" s="21" t="str">
        <f aca="false">IF(G23 = "",F23,IF(OR(G23="alpha",G23="beta",G23="constant",G23="sd",G23="mean",G23="sample"),F23,F23&amp;" "&amp;G23))</f>
        <v>PM_emission_inventories taxi</v>
      </c>
      <c r="D23" s="21" t="str">
        <f aca="false">F23&amp;"_"&amp;E23</f>
        <v>PM_emission_inventories_bogota</v>
      </c>
      <c r="E23" s="27" t="str">
        <f aca="true" t="array" ref="E23:E23">INDIRECT(ADDRESS(1,A23,1,1,"all_city_parameter_inputs"))</f>
        <v>bogota</v>
      </c>
      <c r="F23" s="27" t="str">
        <f aca="true" t="array" ref="F23:F23">IF(AND(ISBLANK(INDIRECT(ADDRESS(B23,2,1,1,"all_city_parameter_inputs"))), ISBLANK(INDIRECT(ADDRESS(B23,1,1,1,"all_city_parameter_inputs")))), "", IF(ISBLANK(INDIRECT(ADDRESS(B23,1,1,1,"all_city_parameter_inputs"))), All_city_list!F22,INDIRECT(ADDRESS(B23,1,1,1,"all_city_parameter_inputs"))))</f>
        <v>PM_emission_inventories</v>
      </c>
      <c r="G23" s="27" t="str">
        <f aca="true" t="array" ref="G23:G23">IF(AND(ISBLANK(INDIRECT(ADDRESS(B23,3,1,1,"all_city_parameter_inputs"))),ISBLANK(INDIRECT(ADDRESS(B23,2,1,1,"all_city_parameter_inputs")))),"",IF(ISBLANK(INDIRECT(ADDRESS(B23,2,1,1,"all_city_parameter_inputs"))),"",INDIRECT(ADDRESS(B23,2,1,1,"all_city_parameter_inputs"))))</f>
        <v>taxi</v>
      </c>
      <c r="H23" s="28" t="n">
        <f aca="true" t="array" ref="H23:H23">IF(ISBLANK(INDIRECT(ADDRESS(B23,A23,1,1,"all_city_parameter_inputs"))), "--",INDIRECT(ADDRESS(B23,A23,1,1,"all_city_parameter_inputs")))</f>
        <v>0</v>
      </c>
      <c r="I23" s="33" t="n">
        <f aca="false">IF(OR(G23="alpha",G23="beta",G23="sd",G23="mean"),"--",VLOOKUP(C23,Default!$B$5:$H$114,7,FALSE()))</f>
        <v>0</v>
      </c>
      <c r="J23" s="27" t="str">
        <f aca="false">VLOOKUP(F23,Lookup!$C$5:$D$110,2, FALSE())</f>
        <v>Pollution values</v>
      </c>
      <c r="K23" s="27" t="n">
        <f aca="false">VLOOKUP(C23,Default!$B$4:$E$114,4, FALSE())</f>
        <v>0</v>
      </c>
      <c r="L23" s="25" t="str">
        <f aca="true" t="array" ref="L23:L23">IF(ISNA(VLOOKUP($D23,Grouped_Sources!$C:$C,1,FALSE())),"", INDIRECT(VLOOKUP($D23,Grouped_Sources!$C:$I,5,FALSE())))</f>
        <v>https://edgar.jrc.ec.europa.eu/, obtained values based on private correspondence</v>
      </c>
      <c r="M23" s="25" t="str">
        <f aca="true" t="array" ref="M23:M23">IF(ISNA(VLOOKUP($D23,Grouped_Sources!$C:$C,1,FALSE())),"", INDIRECT(VLOOKUP($D23,Grouped_Sources!$C:$I,6,FALSE())))</f>
        <v>EDGAR, 2018</v>
      </c>
      <c r="N23" s="25" t="n">
        <f aca="true">IF(ISNA(VLOOKUP($D23,Grouped_Sources!$C:$C,1,FALSE())),"", INDIRECT(VLOOKUP($D23,Grouped_Sources!$C:$I,7,FALSE())))</f>
        <v>0</v>
      </c>
    </row>
    <row r="24" customFormat="false" ht="15" hidden="false" customHeight="false" outlineLevel="0" collapsed="false">
      <c r="A24" s="21" t="n">
        <v>3</v>
      </c>
      <c r="B24" s="21" t="n">
        <v>22</v>
      </c>
      <c r="C24" s="21" t="str">
        <f aca="false">IF(G24 = "",F24,IF(OR(G24="alpha",G24="beta",G24="constant",G24="sd",G24="mean",G24="sample"),F24,F24&amp;" "&amp;G24))</f>
        <v>PM_emission_inventories auto_rickshaw</v>
      </c>
      <c r="D24" s="21" t="str">
        <f aca="false">F24&amp;"_"&amp;E24</f>
        <v>PM_emission_inventories_bogota</v>
      </c>
      <c r="E24" s="27" t="str">
        <f aca="true" t="array" ref="E24:E24">INDIRECT(ADDRESS(1,A24,1,1,"all_city_parameter_inputs"))</f>
        <v>bogota</v>
      </c>
      <c r="F24" s="27" t="str">
        <f aca="true" t="array" ref="F24:F24">IF(AND(ISBLANK(INDIRECT(ADDRESS(B24,2,1,1,"all_city_parameter_inputs"))), ISBLANK(INDIRECT(ADDRESS(B24,1,1,1,"all_city_parameter_inputs")))), "", IF(ISBLANK(INDIRECT(ADDRESS(B24,1,1,1,"all_city_parameter_inputs"))), All_city_list!F23,INDIRECT(ADDRESS(B24,1,1,1,"all_city_parameter_inputs"))))</f>
        <v>PM_emission_inventories</v>
      </c>
      <c r="G24" s="27" t="str">
        <f aca="true" t="array" ref="G24:G24">IF(AND(ISBLANK(INDIRECT(ADDRESS(B24,3,1,1,"all_city_parameter_inputs"))),ISBLANK(INDIRECT(ADDRESS(B24,2,1,1,"all_city_parameter_inputs")))),"",IF(ISBLANK(INDIRECT(ADDRESS(B24,2,1,1,"all_city_parameter_inputs"))),"",INDIRECT(ADDRESS(B24,2,1,1,"all_city_parameter_inputs"))))</f>
        <v>auto_rickshaw</v>
      </c>
      <c r="H24" s="28" t="n">
        <f aca="true" t="array" ref="H24:H24">IF(ISBLANK(INDIRECT(ADDRESS(B24,A24,1,1,"all_city_parameter_inputs"))), "--",INDIRECT(ADDRESS(B24,A24,1,1,"all_city_parameter_inputs")))</f>
        <v>0</v>
      </c>
      <c r="I24" s="33" t="n">
        <f aca="false">IF(OR(G24="alpha",G24="beta",G24="sd",G24="mean"),"--",VLOOKUP(C24,Default!$B$5:$H$114,7,FALSE()))</f>
        <v>0</v>
      </c>
      <c r="J24" s="27" t="str">
        <f aca="false">VLOOKUP(F24,Lookup!$C$5:$D$110,2, FALSE())</f>
        <v>Pollution values</v>
      </c>
      <c r="K24" s="27" t="n">
        <f aca="false">VLOOKUP(C24,Default!$B$4:$E$114,4, FALSE())</f>
        <v>0</v>
      </c>
      <c r="L24" s="25" t="str">
        <f aca="true" t="array" ref="L24:L24">IF(ISNA(VLOOKUP($D24,Grouped_Sources!$C:$C,1,FALSE())),"", INDIRECT(VLOOKUP($D24,Grouped_Sources!$C:$I,5,FALSE())))</f>
        <v>https://edgar.jrc.ec.europa.eu/, obtained values based on private correspondence</v>
      </c>
      <c r="M24" s="25" t="str">
        <f aca="true" t="array" ref="M24:M24">IF(ISNA(VLOOKUP($D24,Grouped_Sources!$C:$C,1,FALSE())),"", INDIRECT(VLOOKUP($D24,Grouped_Sources!$C:$I,6,FALSE())))</f>
        <v>EDGAR, 2018</v>
      </c>
      <c r="N24" s="25" t="n">
        <f aca="true">IF(ISNA(VLOOKUP($D24,Grouped_Sources!$C:$C,1,FALSE())),"", INDIRECT(VLOOKUP($D24,Grouped_Sources!$C:$I,7,FALSE())))</f>
        <v>0</v>
      </c>
    </row>
    <row r="25" customFormat="false" ht="16.4" hidden="false" customHeight="false" outlineLevel="0" collapsed="false">
      <c r="A25" s="21" t="n">
        <v>3</v>
      </c>
      <c r="B25" s="21" t="n">
        <v>23</v>
      </c>
      <c r="C25" s="21" t="str">
        <f aca="false">IF(G25 = "",F25,IF(OR(G25="alpha",G25="beta",G25="constant",G25="sd",G25="mean",G25="sample"),F25,F25&amp;" "&amp;G25))</f>
        <v>pm_conc_base</v>
      </c>
      <c r="D25" s="21" t="str">
        <f aca="false">F25&amp;"_"&amp;E25</f>
        <v>pm_conc_base_bogota</v>
      </c>
      <c r="E25" s="27" t="str">
        <f aca="true" t="array" ref="E25:E25">INDIRECT(ADDRESS(1,A25,1,1,"all_city_parameter_inputs"))</f>
        <v>bogota</v>
      </c>
      <c r="F25" s="27" t="str">
        <f aca="true" t="array" ref="F25:F25">IF(AND(ISBLANK(INDIRECT(ADDRESS(B25,2,1,1,"all_city_parameter_inputs"))), ISBLANK(INDIRECT(ADDRESS(B25,1,1,1,"all_city_parameter_inputs")))), "", IF(ISBLANK(INDIRECT(ADDRESS(B25,1,1,1,"all_city_parameter_inputs"))), All_city_list!F24,INDIRECT(ADDRESS(B25,1,1,1,"all_city_parameter_inputs"))))</f>
        <v>pm_conc_base</v>
      </c>
      <c r="G25" s="27" t="str">
        <f aca="true" t="array" ref="G25:G25">IF(AND(ISBLANK(INDIRECT(ADDRESS(B25,3,1,1,"all_city_parameter_inputs"))),ISBLANK(INDIRECT(ADDRESS(B25,2,1,1,"all_city_parameter_inputs")))),"",IF(ISBLANK(INDIRECT(ADDRESS(B25,2,1,1,"all_city_parameter_inputs"))),"",INDIRECT(ADDRESS(B25,2,1,1,"all_city_parameter_inputs"))))</f>
        <v>constant</v>
      </c>
      <c r="H25" s="28" t="n">
        <f aca="true" t="array" ref="H25:H25">IF(ISBLANK(INDIRECT(ADDRESS(B25,A25,1,1,"all_city_parameter_inputs"))), "--",INDIRECT(ADDRESS(B25,A25,1,1,"all_city_parameter_inputs")))</f>
        <v>12.69</v>
      </c>
      <c r="I25" s="28" t="n">
        <f aca="false">IF(OR(G25="alpha",G25="beta",G25="sd",G25="mean"),"--",VLOOKUP(C25,Default!$B$5:$H$114,7,FALSE()))</f>
        <v>12.69</v>
      </c>
      <c r="J25" s="27" t="str">
        <f aca="false">VLOOKUP(F25,Lookup!$C$5:$D$110,2, FALSE())</f>
        <v>Pollution values</v>
      </c>
      <c r="K25" s="27" t="str">
        <f aca="false">VLOOKUP(C25,Default!$B$4:$E$114,4, FALSE())</f>
        <v>background PM2.5 concentration</v>
      </c>
      <c r="L25" s="34" t="s">
        <v>113</v>
      </c>
      <c r="M25" s="35" t="s">
        <v>114</v>
      </c>
      <c r="N25" s="25"/>
    </row>
    <row r="26" customFormat="false" ht="15" hidden="false" customHeight="false" outlineLevel="0" collapsed="false">
      <c r="A26" s="21" t="n">
        <v>3</v>
      </c>
      <c r="B26" s="21" t="n">
        <v>24</v>
      </c>
      <c r="C26" s="21" t="str">
        <f aca="false">IF(G26 = "",F26,IF(OR(G26="alpha",G26="beta",G26="constant",G26="sd",G26="mean",G26="sample"),F26,F26&amp;" "&amp;G26))</f>
        <v>pm_conc_base</v>
      </c>
      <c r="D26" s="21" t="str">
        <f aca="false">F26&amp;"_"&amp;E26</f>
        <v>pm_conc_base_bogota</v>
      </c>
      <c r="E26" s="27" t="str">
        <f aca="true" t="array" ref="E26:E26">INDIRECT(ADDRESS(1,A26,1,1,"all_city_parameter_inputs"))</f>
        <v>bogota</v>
      </c>
      <c r="F26" s="27" t="str">
        <f aca="true" t="array" ref="F26:F26">IF(AND(ISBLANK(INDIRECT(ADDRESS(B26,2,1,1,"all_city_parameter_inputs"))), ISBLANK(INDIRECT(ADDRESS(B26,1,1,1,"all_city_parameter_inputs")))), "", IF(ISBLANK(INDIRECT(ADDRESS(B26,1,1,1,"all_city_parameter_inputs"))), All_city_list!F25,INDIRECT(ADDRESS(B26,1,1,1,"all_city_parameter_inputs"))))</f>
        <v>pm_conc_base</v>
      </c>
      <c r="G26" s="27" t="str">
        <f aca="true" t="array" ref="G26:G26">IF(AND(ISBLANK(INDIRECT(ADDRESS(B26,3,1,1,"all_city_parameter_inputs"))),ISBLANK(INDIRECT(ADDRESS(B26,2,1,1,"all_city_parameter_inputs")))),"",IF(ISBLANK(INDIRECT(ADDRESS(B26,2,1,1,"all_city_parameter_inputs"))),"",INDIRECT(ADDRESS(B26,2,1,1,"all_city_parameter_inputs"))))</f>
        <v>mean</v>
      </c>
      <c r="H26" s="28" t="n">
        <f aca="true" t="array" ref="H26:H26">IF(ISBLANK(INDIRECT(ADDRESS(B26,A26,1,1,"all_city_parameter_inputs"))), "--",INDIRECT(ADDRESS(B26,A26,1,1,"all_city_parameter_inputs")))</f>
        <v>12.5058316822947</v>
      </c>
      <c r="I26" s="28" t="str">
        <f aca="false">IF(OR(G26="alpha",G26="beta",G26="sd",G26="mean"),"--",VLOOKUP(C26,Default!$B$5:$H$114,7,FALSE()))</f>
        <v>--</v>
      </c>
      <c r="J26" s="27" t="str">
        <f aca="false">VLOOKUP(F26,Lookup!$C$5:$D$110,2, FALSE())</f>
        <v>Pollution values</v>
      </c>
      <c r="K26" s="27" t="str">
        <f aca="false">VLOOKUP(C26,Default!$B$4:$E$114,4, FALSE())</f>
        <v>background PM2.5 concentration</v>
      </c>
      <c r="L26" s="25" t="str">
        <f aca="true" t="array" ref="L26:L26">IF(ISNA(VLOOKUP($D26,Grouped_Sources!$C:$C,1,FALSE())),"", INDIRECT(VLOOKUP($D26,Grouped_Sources!$C:$I,5,FALSE())))</f>
        <v>https://www.who.int/publications/i/item/9789241565684 </v>
      </c>
      <c r="M26" s="25" t="str">
        <f aca="true" t="array" ref="M26:M26">IF(ISNA(VLOOKUP($D26,Grouped_Sources!$C:$C,1,FALSE())),"", INDIRECT(VLOOKUP($D26,Grouped_Sources!$C:$I,6,FALSE())))</f>
        <v>WHO report giving reported and estimated injury statistics at a country level. The underreporting for Colombia is approx 20% but we assumed that the underreporting at a city level is half this value, i.e. 10%. So parameter was set to 1-0.1= 0.9</v>
      </c>
      <c r="N26" s="25" t="n">
        <f aca="true">IF(ISNA(VLOOKUP($D26,Grouped_Sources!$C:$C,1,FALSE())),"", INDIRECT(VLOOKUP($D26,Grouped_Sources!$C:$I,7,FALSE())))</f>
        <v>0</v>
      </c>
    </row>
    <row r="27" customFormat="false" ht="15" hidden="false" customHeight="false" outlineLevel="0" collapsed="false">
      <c r="A27" s="21" t="n">
        <v>3</v>
      </c>
      <c r="B27" s="21" t="n">
        <v>25</v>
      </c>
      <c r="C27" s="21" t="str">
        <f aca="false">IF(G27 = "",F27,IF(OR(G27="alpha",G27="beta",G27="constant",G27="sd",G27="mean",G27="sample"),F27,F27&amp;" "&amp;G27))</f>
        <v>pm_conc_base</v>
      </c>
      <c r="D27" s="21" t="str">
        <f aca="false">F27&amp;"_"&amp;E27</f>
        <v>pm_conc_base_bogota</v>
      </c>
      <c r="E27" s="27" t="str">
        <f aca="true" t="array" ref="E27:E27">INDIRECT(ADDRESS(1,A27,1,1,"all_city_parameter_inputs"))</f>
        <v>bogota</v>
      </c>
      <c r="F27" s="27" t="str">
        <f aca="true" t="array" ref="F27:F27">IF(AND(ISBLANK(INDIRECT(ADDRESS(B27,2,1,1,"all_city_parameter_inputs"))), ISBLANK(INDIRECT(ADDRESS(B27,1,1,1,"all_city_parameter_inputs")))), "", IF(ISBLANK(INDIRECT(ADDRESS(B27,1,1,1,"all_city_parameter_inputs"))), All_city_list!F26,INDIRECT(ADDRESS(B27,1,1,1,"all_city_parameter_inputs"))))</f>
        <v>pm_conc_base</v>
      </c>
      <c r="G27" s="27" t="str">
        <f aca="true" t="array" ref="G27:G27">IF(AND(ISBLANK(INDIRECT(ADDRESS(B27,3,1,1,"all_city_parameter_inputs"))),ISBLANK(INDIRECT(ADDRESS(B27,2,1,1,"all_city_parameter_inputs")))),"",IF(ISBLANK(INDIRECT(ADDRESS(B27,2,1,1,"all_city_parameter_inputs"))),"",INDIRECT(ADDRESS(B27,2,1,1,"all_city_parameter_inputs"))))</f>
        <v>sd</v>
      </c>
      <c r="H27" s="28" t="n">
        <f aca="true" t="array" ref="H27:H27">IF(ISBLANK(INDIRECT(ADDRESS(B27,A27,1,1,"all_city_parameter_inputs"))), "--",INDIRECT(ADDRESS(B27,A27,1,1,"all_city_parameter_inputs")))</f>
        <v>1.18648180943392</v>
      </c>
      <c r="I27" s="28" t="str">
        <f aca="false">IF(OR(G27="alpha",G27="beta",G27="sd",G27="mean"),"--",VLOOKUP(C27,Default!$B$5:$H$114,7,FALSE()))</f>
        <v>--</v>
      </c>
      <c r="J27" s="27" t="str">
        <f aca="false">VLOOKUP(F27,Lookup!$C$5:$D$110,2, FALSE())</f>
        <v>Pollution values</v>
      </c>
      <c r="K27" s="27" t="str">
        <f aca="false">VLOOKUP(C27,Default!$B$4:$E$114,4, FALSE())</f>
        <v>background PM2.5 concentration</v>
      </c>
      <c r="L27" s="25" t="str">
        <f aca="true" t="array" ref="L27:L27">IF(ISNA(VLOOKUP($D27,Grouped_Sources!$C:$C,1,FALSE())),"", INDIRECT(VLOOKUP($D27,Grouped_Sources!$C:$I,5,FALSE())))</f>
        <v>https://www.who.int/publications/i/item/9789241565684 </v>
      </c>
      <c r="M27" s="25" t="str">
        <f aca="true" t="array" ref="M27:M27">IF(ISNA(VLOOKUP($D27,Grouped_Sources!$C:$C,1,FALSE())),"", INDIRECT(VLOOKUP($D27,Grouped_Sources!$C:$I,6,FALSE())))</f>
        <v>WHO report giving reported and estimated injury statistics at a country level. The underreporting for Colombia is approx 20% but we assumed that the underreporting at a city level is half this value, i.e. 10%. So parameter was set to 1-0.1= 0.9</v>
      </c>
      <c r="N27" s="25" t="n">
        <f aca="true">IF(ISNA(VLOOKUP($D27,Grouped_Sources!$C:$C,1,FALSE())),"", INDIRECT(VLOOKUP($D27,Grouped_Sources!$C:$I,7,FALSE())))</f>
        <v>0</v>
      </c>
    </row>
    <row r="28" customFormat="false" ht="15" hidden="false" customHeight="false" outlineLevel="0" collapsed="false">
      <c r="A28" s="21" t="n">
        <v>3</v>
      </c>
      <c r="B28" s="21" t="n">
        <v>26</v>
      </c>
      <c r="C28" s="21" t="str">
        <f aca="false">IF(G28 = "",F28,IF(OR(G28="alpha",G28="beta",G28="constant",G28="sd",G28="mean",G28="sample"),F28,F28&amp;" "&amp;G28))</f>
        <v>pm_trans_share</v>
      </c>
      <c r="D28" s="21" t="str">
        <f aca="false">F28&amp;"_"&amp;E28</f>
        <v>pm_trans_share_bogota</v>
      </c>
      <c r="E28" s="27" t="str">
        <f aca="true" t="array" ref="E28:E28">INDIRECT(ADDRESS(1,A28,1,1,"all_city_parameter_inputs"))</f>
        <v>bogota</v>
      </c>
      <c r="F28" s="27" t="str">
        <f aca="true" t="array" ref="F28:F28">IF(AND(ISBLANK(INDIRECT(ADDRESS(B28,2,1,1,"all_city_parameter_inputs"))), ISBLANK(INDIRECT(ADDRESS(B28,1,1,1,"all_city_parameter_inputs")))), "", IF(ISBLANK(INDIRECT(ADDRESS(B28,1,1,1,"all_city_parameter_inputs"))), All_city_list!F27,INDIRECT(ADDRESS(B28,1,1,1,"all_city_parameter_inputs"))))</f>
        <v>pm_trans_share</v>
      </c>
      <c r="G28" s="27" t="str">
        <f aca="true" t="array" ref="G28:G28">IF(AND(ISBLANK(INDIRECT(ADDRESS(B28,3,1,1,"all_city_parameter_inputs"))),ISBLANK(INDIRECT(ADDRESS(B28,2,1,1,"all_city_parameter_inputs")))),"",IF(ISBLANK(INDIRECT(ADDRESS(B28,2,1,1,"all_city_parameter_inputs"))),"",INDIRECT(ADDRESS(B28,2,1,1,"all_city_parameter_inputs"))))</f>
        <v>constant</v>
      </c>
      <c r="H28" s="28" t="n">
        <f aca="true" t="array" ref="H28:H28">IF(ISBLANK(INDIRECT(ADDRESS(B28,A28,1,1,"all_city_parameter_inputs"))), "--",INDIRECT(ADDRESS(B28,A28,1,1,"all_city_parameter_inputs")))</f>
        <v>0.42</v>
      </c>
      <c r="I28" s="28" t="n">
        <f aca="false">IF(OR(G28="alpha",G28="beta",G28="sd",G28="mean"),"--",VLOOKUP(C28,Default!$B$5:$H$114,7,FALSE()))</f>
        <v>0.42</v>
      </c>
      <c r="J28" s="27" t="str">
        <f aca="false">VLOOKUP(F28,Lookup!$C$5:$D$110,2, FALSE())</f>
        <v>Pollution values</v>
      </c>
      <c r="K28" s="27" t="str">
        <f aca="false">VLOOKUP(C28,Default!$B$4:$E$114,4, FALSE())</f>
        <v>proportion of background PM2.5 attributable to transport</v>
      </c>
      <c r="L28" s="24" t="s">
        <v>115</v>
      </c>
      <c r="M28" s="25"/>
      <c r="N28" s="25"/>
    </row>
    <row r="29" customFormat="false" ht="15" hidden="false" customHeight="false" outlineLevel="0" collapsed="false">
      <c r="A29" s="21" t="n">
        <v>3</v>
      </c>
      <c r="B29" s="21" t="n">
        <v>27</v>
      </c>
      <c r="C29" s="21" t="str">
        <f aca="false">IF(G29 = "",F29,IF(OR(G29="alpha",G29="beta",G29="constant",G29="sd",G29="mean",G29="sample"),F29,F29&amp;" "&amp;G29))</f>
        <v>pm_trans_share</v>
      </c>
      <c r="D29" s="21" t="str">
        <f aca="false">F29&amp;"_"&amp;E29</f>
        <v>pm_trans_share_bogota</v>
      </c>
      <c r="E29" s="27" t="str">
        <f aca="true" t="array" ref="E29:E29">INDIRECT(ADDRESS(1,A29,1,1,"all_city_parameter_inputs"))</f>
        <v>bogota</v>
      </c>
      <c r="F29" s="27" t="str">
        <f aca="true" t="array" ref="F29:F29">IF(AND(ISBLANK(INDIRECT(ADDRESS(B29,2,1,1,"all_city_parameter_inputs"))), ISBLANK(INDIRECT(ADDRESS(B29,1,1,1,"all_city_parameter_inputs")))), "", IF(ISBLANK(INDIRECT(ADDRESS(B29,1,1,1,"all_city_parameter_inputs"))), All_city_list!F28,INDIRECT(ADDRESS(B29,1,1,1,"all_city_parameter_inputs"))))</f>
        <v>pm_trans_share</v>
      </c>
      <c r="G29" s="27" t="str">
        <f aca="true" t="array" ref="G29:G29">IF(AND(ISBLANK(INDIRECT(ADDRESS(B29,3,1,1,"all_city_parameter_inputs"))),ISBLANK(INDIRECT(ADDRESS(B29,2,1,1,"all_city_parameter_inputs")))),"",IF(ISBLANK(INDIRECT(ADDRESS(B29,2,1,1,"all_city_parameter_inputs"))),"",INDIRECT(ADDRESS(B29,2,1,1,"all_city_parameter_inputs"))))</f>
        <v>alpha</v>
      </c>
      <c r="H29" s="28" t="n">
        <f aca="true" t="array" ref="H29:H29">IF(ISBLANK(INDIRECT(ADDRESS(B29,A29,1,1,"all_city_parameter_inputs"))), "--",INDIRECT(ADDRESS(B29,A29,1,1,"all_city_parameter_inputs")))</f>
        <v>12.4820501828364</v>
      </c>
      <c r="I29" s="28" t="str">
        <f aca="false">IF(OR(G29="alpha",G29="beta",G29="sd",G29="mean"),"--",VLOOKUP(C29,Default!$B$5:$H$114,7,FALSE()))</f>
        <v>--</v>
      </c>
      <c r="J29" s="27" t="str">
        <f aca="false">VLOOKUP(F29,Lookup!$C$5:$D$110,2, FALSE())</f>
        <v>Pollution values</v>
      </c>
      <c r="K29" s="27" t="str">
        <f aca="false">VLOOKUP(C29,Default!$B$4:$E$114,4, FALSE())</f>
        <v>proportion of background PM2.5 attributable to transport</v>
      </c>
      <c r="L29" s="25" t="str">
        <f aca="true" t="array" ref="L29:L29">IF(ISNA(VLOOKUP($D29,Grouped_Sources!$C:$C,1,FALSE())),"", INDIRECT(VLOOKUP($D29,Grouped_Sources!$C:$I,5,FALSE())))</f>
        <v>assumes no bias in the disease data, distribution values need updating</v>
      </c>
      <c r="M29" s="25" t="n">
        <f aca="true">IF(ISNA(VLOOKUP($D29,Grouped_Sources!$C:$C,1,FALSE())),"", INDIRECT(VLOOKUP($D29,Grouped_Sources!$C:$I,6,FALSE())))</f>
        <v>0</v>
      </c>
      <c r="N29" s="25" t="n">
        <f aca="true">IF(ISNA(VLOOKUP($D29,Grouped_Sources!$C:$C,1,FALSE())),"", INDIRECT(VLOOKUP($D29,Grouped_Sources!$C:$I,7,FALSE())))</f>
        <v>0</v>
      </c>
    </row>
    <row r="30" customFormat="false" ht="15" hidden="false" customHeight="false" outlineLevel="0" collapsed="false">
      <c r="A30" s="21" t="n">
        <v>3</v>
      </c>
      <c r="B30" s="21" t="n">
        <v>28</v>
      </c>
      <c r="C30" s="21" t="str">
        <f aca="false">IF(G30 = "",F30,IF(OR(G30="alpha",G30="beta",G30="constant",G30="sd",G30="mean",G30="sample"),F30,F30&amp;" "&amp;G30))</f>
        <v>pm_trans_share</v>
      </c>
      <c r="D30" s="21" t="str">
        <f aca="false">F30&amp;"_"&amp;E30</f>
        <v>pm_trans_share_bogota</v>
      </c>
      <c r="E30" s="27" t="str">
        <f aca="true" t="array" ref="E30:E30">INDIRECT(ADDRESS(1,A30,1,1,"all_city_parameter_inputs"))</f>
        <v>bogota</v>
      </c>
      <c r="F30" s="27" t="str">
        <f aca="true" t="array" ref="F30:F30">IF(AND(ISBLANK(INDIRECT(ADDRESS(B30,2,1,1,"all_city_parameter_inputs"))), ISBLANK(INDIRECT(ADDRESS(B30,1,1,1,"all_city_parameter_inputs")))), "", IF(ISBLANK(INDIRECT(ADDRESS(B30,1,1,1,"all_city_parameter_inputs"))), All_city_list!F29,INDIRECT(ADDRESS(B30,1,1,1,"all_city_parameter_inputs"))))</f>
        <v>pm_trans_share</v>
      </c>
      <c r="G30" s="27" t="str">
        <f aca="true" t="array" ref="G30:G30">IF(AND(ISBLANK(INDIRECT(ADDRESS(B30,3,1,1,"all_city_parameter_inputs"))),ISBLANK(INDIRECT(ADDRESS(B30,2,1,1,"all_city_parameter_inputs")))),"",IF(ISBLANK(INDIRECT(ADDRESS(B30,2,1,1,"all_city_parameter_inputs"))),"",INDIRECT(ADDRESS(B30,2,1,1,"all_city_parameter_inputs"))))</f>
        <v>beta</v>
      </c>
      <c r="H30" s="28" t="n">
        <f aca="true" t="array" ref="H30:H30">IF(ISBLANK(INDIRECT(ADDRESS(B30,A30,1,1,"all_city_parameter_inputs"))), "--",INDIRECT(ADDRESS(B30,A30,1,1,"all_city_parameter_inputs")))</f>
        <v>17.2371169191551</v>
      </c>
      <c r="I30" s="28" t="str">
        <f aca="false">IF(OR(G30="alpha",G30="beta",G30="sd",G30="mean"),"--",VLOOKUP(C30,Default!$B$5:$H$114,7,FALSE()))</f>
        <v>--</v>
      </c>
      <c r="J30" s="27" t="str">
        <f aca="false">VLOOKUP(F30,Lookup!$C$5:$D$110,2, FALSE())</f>
        <v>Pollution values</v>
      </c>
      <c r="K30" s="27" t="str">
        <f aca="false">VLOOKUP(C30,Default!$B$4:$E$114,4, FALSE())</f>
        <v>proportion of background PM2.5 attributable to transport</v>
      </c>
      <c r="L30" s="25" t="str">
        <f aca="true" t="array" ref="L30:L30">IF(ISNA(VLOOKUP($D30,Grouped_Sources!$C:$C,1,FALSE())),"", INDIRECT(VLOOKUP($D30,Grouped_Sources!$C:$I,5,FALSE())))</f>
        <v>assumes no bias in the disease data, distribution values need updating</v>
      </c>
      <c r="M30" s="25" t="n">
        <f aca="true">IF(ISNA(VLOOKUP($D30,Grouped_Sources!$C:$C,1,FALSE())),"", INDIRECT(VLOOKUP($D30,Grouped_Sources!$C:$I,6,FALSE())))</f>
        <v>0</v>
      </c>
      <c r="N30" s="25" t="n">
        <f aca="true">IF(ISNA(VLOOKUP($D30,Grouped_Sources!$C:$C,1,FALSE())),"", INDIRECT(VLOOKUP($D30,Grouped_Sources!$C:$I,7,FALSE())))</f>
        <v>0</v>
      </c>
    </row>
    <row r="31" customFormat="false" ht="225.35" hidden="false" customHeight="false" outlineLevel="0" collapsed="false">
      <c r="A31" s="21" t="n">
        <v>3</v>
      </c>
      <c r="B31" s="21" t="n">
        <v>29</v>
      </c>
      <c r="C31" s="21" t="str">
        <f aca="false">IF(G31 = "",F31,IF(OR(G31="alpha",G31="beta",G31="constant",G31="sd",G31="mean",G31="sample"),F31,F31&amp;" "&amp;G31))</f>
        <v>CO2_emission_inventories motorcycle</v>
      </c>
      <c r="D31" s="21" t="str">
        <f aca="false">F31&amp;"_"&amp;E31</f>
        <v>CO2_emission_inventories_bogota</v>
      </c>
      <c r="E31" s="27" t="str">
        <f aca="true" t="array" ref="E31:E31">INDIRECT(ADDRESS(1,A31,1,1,"all_city_parameter_inputs"))</f>
        <v>bogota</v>
      </c>
      <c r="F31" s="27" t="str">
        <f aca="true" t="array" ref="F31:F31">IF(AND(ISBLANK(INDIRECT(ADDRESS(B31,2,1,1,"all_city_parameter_inputs"))), ISBLANK(INDIRECT(ADDRESS(B31,1,1,1,"all_city_parameter_inputs")))), "", IF(ISBLANK(INDIRECT(ADDRESS(B31,1,1,1,"all_city_parameter_inputs"))), All_city_list!F30,INDIRECT(ADDRESS(B31,1,1,1,"all_city_parameter_inputs"))))</f>
        <v>CO2_emission_inventories</v>
      </c>
      <c r="G31" s="27" t="str">
        <f aca="true" t="array" ref="G31:G31">IF(AND(ISBLANK(INDIRECT(ADDRESS(B31,3,1,1,"all_city_parameter_inputs"))),ISBLANK(INDIRECT(ADDRESS(B31,2,1,1,"all_city_parameter_inputs")))),"",IF(ISBLANK(INDIRECT(ADDRESS(B31,2,1,1,"all_city_parameter_inputs"))),"",INDIRECT(ADDRESS(B31,2,1,1,"all_city_parameter_inputs"))))</f>
        <v>motorcycle</v>
      </c>
      <c r="H31" s="28" t="n">
        <f aca="true" t="array" ref="H31:H31">IF(ISBLANK(INDIRECT(ADDRESS(B31,A31,1,1,"all_city_parameter_inputs"))), "--",INDIRECT(ADDRESS(B31,A31,1,1,"all_city_parameter_inputs")))</f>
        <v>3340.81732</v>
      </c>
      <c r="I31" s="28" t="n">
        <f aca="false">IF(OR(G31="alpha",G31="beta",G31="sd",G31="mean"),"--",VLOOKUP(C31,Default!$B$5:$H$114,7,FALSE()))</f>
        <v>30033.57181</v>
      </c>
      <c r="J31" s="27" t="str">
        <f aca="false">VLOOKUP(F31,Lookup!$C$5:$D$110,2, FALSE())</f>
        <v>Pollution values</v>
      </c>
      <c r="K31" s="30" t="str">
        <f aca="false">VLOOKUP(C31,Default!$B$4:$E$114,4, FALSE())</f>
        <v>- used to estimate the CO2 for scenarios (function "scenario_co2_calculations").
- used to create the VEHICLE_INVENTORY, with speeds, PM and CO2 emissions (function "set_vehicle_inventory").</v>
      </c>
      <c r="L31" s="24" t="s">
        <v>116</v>
      </c>
      <c r="M31" s="25" t="s">
        <v>117</v>
      </c>
      <c r="N31" s="36"/>
    </row>
    <row r="32" customFormat="false" ht="15" hidden="false" customHeight="false" outlineLevel="0" collapsed="false">
      <c r="A32" s="21" t="n">
        <v>3</v>
      </c>
      <c r="B32" s="21" t="n">
        <v>30</v>
      </c>
      <c r="C32" s="21" t="str">
        <f aca="false">IF(G32 = "",F32,IF(OR(G32="alpha",G32="beta",G32="constant",G32="sd",G32="mean",G32="sample"),F32,F32&amp;" "&amp;G32))</f>
        <v>CO2_emission_inventories car</v>
      </c>
      <c r="D32" s="21" t="str">
        <f aca="false">F32&amp;"_"&amp;E32</f>
        <v>CO2_emission_inventories_bogota</v>
      </c>
      <c r="E32" s="27" t="str">
        <f aca="true" t="array" ref="E32:E32">INDIRECT(ADDRESS(1,A32,1,1,"all_city_parameter_inputs"))</f>
        <v>bogota</v>
      </c>
      <c r="F32" s="27" t="str">
        <f aca="true" t="array" ref="F32:F32">IF(AND(ISBLANK(INDIRECT(ADDRESS(B32,2,1,1,"all_city_parameter_inputs"))), ISBLANK(INDIRECT(ADDRESS(B32,1,1,1,"all_city_parameter_inputs")))), "", IF(ISBLANK(INDIRECT(ADDRESS(B32,1,1,1,"all_city_parameter_inputs"))), All_city_list!F31,INDIRECT(ADDRESS(B32,1,1,1,"all_city_parameter_inputs"))))</f>
        <v>CO2_emission_inventories</v>
      </c>
      <c r="G32" s="27" t="str">
        <f aca="true" t="array" ref="G32:G32">IF(AND(ISBLANK(INDIRECT(ADDRESS(B32,3,1,1,"all_city_parameter_inputs"))),ISBLANK(INDIRECT(ADDRESS(B32,2,1,1,"all_city_parameter_inputs")))),"",IF(ISBLANK(INDIRECT(ADDRESS(B32,2,1,1,"all_city_parameter_inputs"))),"",INDIRECT(ADDRESS(B32,2,1,1,"all_city_parameter_inputs"))))</f>
        <v>car</v>
      </c>
      <c r="H32" s="28" t="n">
        <f aca="true" t="array" ref="H32:H32">IF(ISBLANK(INDIRECT(ADDRESS(B32,A32,1,1,"all_city_parameter_inputs"))), "--",INDIRECT(ADDRESS(B32,A32,1,1,"all_city_parameter_inputs")))</f>
        <v>278221.04</v>
      </c>
      <c r="I32" s="28" t="n">
        <f aca="false">IF(OR(G32="alpha",G32="beta",G32="sd",G32="mean"),"--",VLOOKUP(C32,Default!$B$5:$H$114,7,FALSE()))</f>
        <v>1033377.341</v>
      </c>
      <c r="J32" s="27" t="str">
        <f aca="false">VLOOKUP(F32,Lookup!$C$5:$D$110,2, FALSE())</f>
        <v>Pollution values</v>
      </c>
      <c r="K32" s="27" t="n">
        <f aca="false">VLOOKUP(C32,Default!$B$4:$E$114,4, FALSE())</f>
        <v>0</v>
      </c>
      <c r="L32" s="25" t="str">
        <f aca="true" t="array" ref="L32:L32">IF(ISNA(VLOOKUP($D32,Grouped_Sources!$C:$C,1,FALSE())),"", INDIRECT(VLOOKUP($D32,Grouped_Sources!$C:$I,5,FALSE())))</f>
        <v>https://www.who.int/publications/m/item/who-air-quality-database-2022 </v>
      </c>
      <c r="M32" s="25" t="str">
        <f aca="true" t="array" ref="M32:M32">IF(ISNA(VLOOKUP($D32,Grouped_Sources!$C:$C,1,FALSE())),"", INDIRECT(VLOOKUP($D32,Grouped_Sources!$C:$I,6,FALSE())))</f>
        <v>WHO Air Quality Database, Update 2022</v>
      </c>
      <c r="N32" s="25" t="n">
        <f aca="true">IF(ISNA(VLOOKUP($D32,Grouped_Sources!$C:$C,1,FALSE())),"", INDIRECT(VLOOKUP($D32,Grouped_Sources!$C:$I,7,FALSE())))</f>
        <v>0</v>
      </c>
    </row>
    <row r="33" customFormat="false" ht="15" hidden="false" customHeight="false" outlineLevel="0" collapsed="false">
      <c r="A33" s="21" t="n">
        <v>3</v>
      </c>
      <c r="B33" s="21" t="n">
        <v>31</v>
      </c>
      <c r="C33" s="21" t="str">
        <f aca="false">IF(G33 = "",F33,IF(OR(G33="alpha",G33="beta",G33="constant",G33="sd",G33="mean",G33="sample"),F33,F33&amp;" "&amp;G33))</f>
        <v>CO2_emission_inventories bus_driver</v>
      </c>
      <c r="D33" s="21" t="str">
        <f aca="false">F33&amp;"_"&amp;E33</f>
        <v>CO2_emission_inventories_bogota</v>
      </c>
      <c r="E33" s="27" t="str">
        <f aca="true" t="array" ref="E33:E33">INDIRECT(ADDRESS(1,A33,1,1,"all_city_parameter_inputs"))</f>
        <v>bogota</v>
      </c>
      <c r="F33" s="27" t="str">
        <f aca="true" t="array" ref="F33:F33">IF(AND(ISBLANK(INDIRECT(ADDRESS(B33,2,1,1,"all_city_parameter_inputs"))), ISBLANK(INDIRECT(ADDRESS(B33,1,1,1,"all_city_parameter_inputs")))), "", IF(ISBLANK(INDIRECT(ADDRESS(B33,1,1,1,"all_city_parameter_inputs"))), All_city_list!F32,INDIRECT(ADDRESS(B33,1,1,1,"all_city_parameter_inputs"))))</f>
        <v>CO2_emission_inventories</v>
      </c>
      <c r="G33" s="27" t="str">
        <f aca="true" t="array" ref="G33:G33">IF(AND(ISBLANK(INDIRECT(ADDRESS(B33,3,1,1,"all_city_parameter_inputs"))),ISBLANK(INDIRECT(ADDRESS(B33,2,1,1,"all_city_parameter_inputs")))),"",IF(ISBLANK(INDIRECT(ADDRESS(B33,2,1,1,"all_city_parameter_inputs"))),"",INDIRECT(ADDRESS(B33,2,1,1,"all_city_parameter_inputs"))))</f>
        <v>bus_driver</v>
      </c>
      <c r="H33" s="28" t="n">
        <f aca="true" t="array" ref="H33:H33">IF(ISBLANK(INDIRECT(ADDRESS(B33,A33,1,1,"all_city_parameter_inputs"))), "--",INDIRECT(ADDRESS(B33,A33,1,1,"all_city_parameter_inputs")))</f>
        <v>163823.92</v>
      </c>
      <c r="I33" s="28" t="n">
        <f aca="false">IF(OR(G33="alpha",G33="beta",G33="sd",G33="mean"),"--",VLOOKUP(C33,Default!$B$5:$H$114,7,FALSE()))</f>
        <v>100429.7216</v>
      </c>
      <c r="J33" s="27" t="str">
        <f aca="false">VLOOKUP(F33,Lookup!$C$5:$D$110,2, FALSE())</f>
        <v>Pollution values</v>
      </c>
      <c r="K33" s="27" t="n">
        <f aca="false">VLOOKUP(C33,Default!$B$4:$E$114,4, FALSE())</f>
        <v>0</v>
      </c>
      <c r="L33" s="25" t="str">
        <f aca="true" t="array" ref="L33:L33">IF(ISNA(VLOOKUP($D33,Grouped_Sources!$C:$C,1,FALSE())),"", INDIRECT(VLOOKUP($D33,Grouped_Sources!$C:$I,5,FALSE())))</f>
        <v>https://www.who.int/publications/m/item/who-air-quality-database-2022 </v>
      </c>
      <c r="M33" s="25" t="str">
        <f aca="true" t="array" ref="M33:M33">IF(ISNA(VLOOKUP($D33,Grouped_Sources!$C:$C,1,FALSE())),"", INDIRECT(VLOOKUP($D33,Grouped_Sources!$C:$I,6,FALSE())))</f>
        <v>WHO Air Quality Database, Update 2022</v>
      </c>
      <c r="N33" s="25" t="n">
        <f aca="true">IF(ISNA(VLOOKUP($D33,Grouped_Sources!$C:$C,1,FALSE())),"", INDIRECT(VLOOKUP($D33,Grouped_Sources!$C:$I,7,FALSE())))</f>
        <v>0</v>
      </c>
    </row>
    <row r="34" customFormat="false" ht="15" hidden="false" customHeight="false" outlineLevel="0" collapsed="false">
      <c r="A34" s="21" t="n">
        <v>3</v>
      </c>
      <c r="B34" s="21" t="n">
        <v>32</v>
      </c>
      <c r="C34" s="21" t="str">
        <f aca="false">IF(G34 = "",F34,IF(OR(G34="alpha",G34="beta",G34="constant",G34="sd",G34="mean",G34="sample"),F34,F34&amp;" "&amp;G34))</f>
        <v>CO2_emission_inventories heavy_truck</v>
      </c>
      <c r="D34" s="21" t="str">
        <f aca="false">F34&amp;"_"&amp;E34</f>
        <v>CO2_emission_inventories_bogota</v>
      </c>
      <c r="E34" s="27" t="str">
        <f aca="true" t="array" ref="E34:E34">INDIRECT(ADDRESS(1,A34,1,1,"all_city_parameter_inputs"))</f>
        <v>bogota</v>
      </c>
      <c r="F34" s="27" t="str">
        <f aca="true" t="array" ref="F34:F34">IF(AND(ISBLANK(INDIRECT(ADDRESS(B34,2,1,1,"all_city_parameter_inputs"))), ISBLANK(INDIRECT(ADDRESS(B34,1,1,1,"all_city_parameter_inputs")))), "", IF(ISBLANK(INDIRECT(ADDRESS(B34,1,1,1,"all_city_parameter_inputs"))), All_city_list!F33,INDIRECT(ADDRESS(B34,1,1,1,"all_city_parameter_inputs"))))</f>
        <v>CO2_emission_inventories</v>
      </c>
      <c r="G34" s="27" t="str">
        <f aca="true" t="array" ref="G34:G34">IF(AND(ISBLANK(INDIRECT(ADDRESS(B34,3,1,1,"all_city_parameter_inputs"))),ISBLANK(INDIRECT(ADDRESS(B34,2,1,1,"all_city_parameter_inputs")))),"",IF(ISBLANK(INDIRECT(ADDRESS(B34,2,1,1,"all_city_parameter_inputs"))),"",INDIRECT(ADDRESS(B34,2,1,1,"all_city_parameter_inputs"))))</f>
        <v>heavy_truck</v>
      </c>
      <c r="H34" s="28" t="n">
        <f aca="true" t="array" ref="H34:H34">IF(ISBLANK(INDIRECT(ADDRESS(B34,A34,1,1,"all_city_parameter_inputs"))), "--",INDIRECT(ADDRESS(B34,A34,1,1,"all_city_parameter_inputs")))</f>
        <v>1033752.25</v>
      </c>
      <c r="I34" s="28" t="n">
        <f aca="false">IF(OR(G34="alpha",G34="beta",G34="sd",G34="mean"),"--",VLOOKUP(C34,Default!$B$5:$H$114,7,FALSE()))</f>
        <v>259655.3245</v>
      </c>
      <c r="J34" s="27" t="str">
        <f aca="false">VLOOKUP(F34,Lookup!$C$5:$D$110,2, FALSE())</f>
        <v>Pollution values</v>
      </c>
      <c r="K34" s="30" t="n">
        <f aca="false">VLOOKUP(C34,Default!$B$4:$E$114,4, FALSE())</f>
        <v>0</v>
      </c>
      <c r="L34" s="24" t="s">
        <v>118</v>
      </c>
      <c r="M34" s="25" t="s">
        <v>119</v>
      </c>
      <c r="N34" s="25" t="s">
        <v>120</v>
      </c>
    </row>
    <row r="35" customFormat="false" ht="15" hidden="false" customHeight="false" outlineLevel="0" collapsed="false">
      <c r="A35" s="21" t="n">
        <v>3</v>
      </c>
      <c r="B35" s="21" t="n">
        <v>33</v>
      </c>
      <c r="C35" s="21" t="str">
        <f aca="false">IF(G35 = "",F35,IF(OR(G35="alpha",G35="beta",G35="constant",G35="sd",G35="mean",G35="sample"),F35,F35&amp;" "&amp;G35))</f>
        <v>CO2_emission_inventories truck</v>
      </c>
      <c r="D35" s="21" t="str">
        <f aca="false">F35&amp;"_"&amp;E35</f>
        <v>CO2_emission_inventories_bogota</v>
      </c>
      <c r="E35" s="27" t="str">
        <f aca="true" t="array" ref="E35:E35">INDIRECT(ADDRESS(1,A35,1,1,"all_city_parameter_inputs"))</f>
        <v>bogota</v>
      </c>
      <c r="F35" s="27" t="str">
        <f aca="true" t="array" ref="F35:F35">IF(AND(ISBLANK(INDIRECT(ADDRESS(B35,2,1,1,"all_city_parameter_inputs"))), ISBLANK(INDIRECT(ADDRESS(B35,1,1,1,"all_city_parameter_inputs")))), "", IF(ISBLANK(INDIRECT(ADDRESS(B35,1,1,1,"all_city_parameter_inputs"))), All_city_list!F34,INDIRECT(ADDRESS(B35,1,1,1,"all_city_parameter_inputs"))))</f>
        <v>CO2_emission_inventories</v>
      </c>
      <c r="G35" s="27" t="str">
        <f aca="true" t="array" ref="G35:G35">IF(AND(ISBLANK(INDIRECT(ADDRESS(B35,3,1,1,"all_city_parameter_inputs"))),ISBLANK(INDIRECT(ADDRESS(B35,2,1,1,"all_city_parameter_inputs")))),"",IF(ISBLANK(INDIRECT(ADDRESS(B35,2,1,1,"all_city_parameter_inputs"))),"",INDIRECT(ADDRESS(B35,2,1,1,"all_city_parameter_inputs"))))</f>
        <v>truck</v>
      </c>
      <c r="H35" s="28" t="n">
        <f aca="true" t="array" ref="H35:H35">IF(ISBLANK(INDIRECT(ADDRESS(B35,A35,1,1,"all_city_parameter_inputs"))), "--",INDIRECT(ADDRESS(B35,A35,1,1,"all_city_parameter_inputs")))</f>
        <v>371604.37</v>
      </c>
      <c r="I35" s="28" t="n">
        <f aca="false">IF(OR(G35="alpha",G35="beta",G35="sd",G35="mean"),"--",VLOOKUP(C35,Default!$B$5:$H$114,7,FALSE()))</f>
        <v>163516.1132</v>
      </c>
      <c r="J35" s="27" t="str">
        <f aca="false">VLOOKUP(F35,Lookup!$C$5:$D$110,2, FALSE())</f>
        <v>Pollution values</v>
      </c>
      <c r="K35" s="27" t="n">
        <f aca="false">VLOOKUP(C35,Default!$B$4:$E$114,4, FALSE())</f>
        <v>0</v>
      </c>
      <c r="L35" s="25" t="str">
        <f aca="true" t="array" ref="L35:L35">IF(ISNA(VLOOKUP($D35,Grouped_Sources!$C:$C,1,FALSE())),"", INDIRECT(VLOOKUP($D35,Grouped_Sources!$C:$I,5,FALSE())))</f>
        <v>https://www.who.int/publications/m/item/who-air-quality-database-2022 </v>
      </c>
      <c r="M35" s="25" t="str">
        <f aca="true" t="array" ref="M35:M35">IF(ISNA(VLOOKUP($D35,Grouped_Sources!$C:$C,1,FALSE())),"", INDIRECT(VLOOKUP($D35,Grouped_Sources!$C:$I,6,FALSE())))</f>
        <v>WHO Air Quality Database, Update 2022</v>
      </c>
      <c r="N35" s="25" t="n">
        <f aca="true">IF(ISNA(VLOOKUP($D35,Grouped_Sources!$C:$C,1,FALSE())),"", INDIRECT(VLOOKUP($D35,Grouped_Sources!$C:$I,7,FALSE())))</f>
        <v>0</v>
      </c>
    </row>
    <row r="36" customFormat="false" ht="15" hidden="false" customHeight="false" outlineLevel="0" collapsed="false">
      <c r="A36" s="21" t="n">
        <v>3</v>
      </c>
      <c r="B36" s="21" t="n">
        <v>34</v>
      </c>
      <c r="C36" s="21" t="str">
        <f aca="false">IF(G36 = "",F36,IF(OR(G36="alpha",G36="beta",G36="constant",G36="sd",G36="mean",G36="sample"),F36,F36&amp;" "&amp;G36))</f>
        <v>CO2_emission_inventories van</v>
      </c>
      <c r="D36" s="21" t="str">
        <f aca="false">F36&amp;"_"&amp;E36</f>
        <v>CO2_emission_inventories_bogota</v>
      </c>
      <c r="E36" s="27" t="str">
        <f aca="true" t="array" ref="E36:E36">INDIRECT(ADDRESS(1,A36,1,1,"all_city_parameter_inputs"))</f>
        <v>bogota</v>
      </c>
      <c r="F36" s="27" t="str">
        <f aca="true" t="array" ref="F36:F36">IF(AND(ISBLANK(INDIRECT(ADDRESS(B36,2,1,1,"all_city_parameter_inputs"))), ISBLANK(INDIRECT(ADDRESS(B36,1,1,1,"all_city_parameter_inputs")))), "", IF(ISBLANK(INDIRECT(ADDRESS(B36,1,1,1,"all_city_parameter_inputs"))), All_city_list!F35,INDIRECT(ADDRESS(B36,1,1,1,"all_city_parameter_inputs"))))</f>
        <v>CO2_emission_inventories</v>
      </c>
      <c r="G36" s="27" t="str">
        <f aca="true" t="array" ref="G36:G36">IF(AND(ISBLANK(INDIRECT(ADDRESS(B36,3,1,1,"all_city_parameter_inputs"))),ISBLANK(INDIRECT(ADDRESS(B36,2,1,1,"all_city_parameter_inputs")))),"",IF(ISBLANK(INDIRECT(ADDRESS(B36,2,1,1,"all_city_parameter_inputs"))),"",INDIRECT(ADDRESS(B36,2,1,1,"all_city_parameter_inputs"))))</f>
        <v>van</v>
      </c>
      <c r="H36" s="28" t="str">
        <f aca="true" t="array" ref="H36:H36">IF(ISBLANK(INDIRECT(ADDRESS(B36,A36,1,1,"all_city_parameter_inputs"))), "--",INDIRECT(ADDRESS(B36,A36,1,1,"all_city_parameter_inputs")))</f>
        <v>--</v>
      </c>
      <c r="I36" s="28" t="n">
        <f aca="false">IF(OR(G36="alpha",G36="beta",G36="sd",G36="mean"),"--",VLOOKUP(C36,Default!$B$5:$H$114,7,FALSE()))</f>
        <v>0</v>
      </c>
      <c r="J36" s="27" t="str">
        <f aca="false">VLOOKUP(F36,Lookup!$C$5:$D$110,2, FALSE())</f>
        <v>Pollution values</v>
      </c>
      <c r="K36" s="27" t="n">
        <f aca="false">VLOOKUP(C36,Default!$B$4:$E$114,4, FALSE())</f>
        <v>0</v>
      </c>
      <c r="L36" s="25" t="str">
        <f aca="true" t="array" ref="L36:L36">IF(ISNA(VLOOKUP($D36,Grouped_Sources!$C:$C,1,FALSE())),"", INDIRECT(VLOOKUP($D36,Grouped_Sources!$C:$I,5,FALSE())))</f>
        <v>https://www.who.int/publications/m/item/who-air-quality-database-2022 </v>
      </c>
      <c r="M36" s="25" t="str">
        <f aca="true" t="array" ref="M36:M36">IF(ISNA(VLOOKUP($D36,Grouped_Sources!$C:$C,1,FALSE())),"", INDIRECT(VLOOKUP($D36,Grouped_Sources!$C:$I,6,FALSE())))</f>
        <v>WHO Air Quality Database, Update 2022</v>
      </c>
      <c r="N36" s="25" t="n">
        <f aca="true">IF(ISNA(VLOOKUP($D36,Grouped_Sources!$C:$C,1,FALSE())),"", INDIRECT(VLOOKUP($D36,Grouped_Sources!$C:$I,7,FALSE())))</f>
        <v>0</v>
      </c>
    </row>
    <row r="37" customFormat="false" ht="15" hidden="false" customHeight="false" outlineLevel="0" collapsed="false">
      <c r="A37" s="21" t="n">
        <v>3</v>
      </c>
      <c r="B37" s="21" t="n">
        <v>35</v>
      </c>
      <c r="C37" s="21" t="str">
        <f aca="false">IF(G37 = "",F37,IF(OR(G37="alpha",G37="beta",G37="constant",G37="sd",G37="mean",G37="sample"),F37,F37&amp;" "&amp;G37))</f>
        <v>CO2_emission_inventories other</v>
      </c>
      <c r="D37" s="21" t="str">
        <f aca="false">F37&amp;"_"&amp;E37</f>
        <v>CO2_emission_inventories_bogota</v>
      </c>
      <c r="E37" s="27" t="str">
        <f aca="true" t="array" ref="E37:E37">INDIRECT(ADDRESS(1,A37,1,1,"all_city_parameter_inputs"))</f>
        <v>bogota</v>
      </c>
      <c r="F37" s="27" t="str">
        <f aca="true" t="array" ref="F37:F37">IF(AND(ISBLANK(INDIRECT(ADDRESS(B37,2,1,1,"all_city_parameter_inputs"))), ISBLANK(INDIRECT(ADDRESS(B37,1,1,1,"all_city_parameter_inputs")))), "", IF(ISBLANK(INDIRECT(ADDRESS(B37,1,1,1,"all_city_parameter_inputs"))), All_city_list!F36,INDIRECT(ADDRESS(B37,1,1,1,"all_city_parameter_inputs"))))</f>
        <v>CO2_emission_inventories</v>
      </c>
      <c r="G37" s="27" t="str">
        <f aca="true" t="array" ref="G37:G37">IF(AND(ISBLANK(INDIRECT(ADDRESS(B37,3,1,1,"all_city_parameter_inputs"))),ISBLANK(INDIRECT(ADDRESS(B37,2,1,1,"all_city_parameter_inputs")))),"",IF(ISBLANK(INDIRECT(ADDRESS(B37,2,1,1,"all_city_parameter_inputs"))),"",INDIRECT(ADDRESS(B37,2,1,1,"all_city_parameter_inputs"))))</f>
        <v>other</v>
      </c>
      <c r="H37" s="28" t="str">
        <f aca="true" t="array" ref="H37:H37">IF(ISBLANK(INDIRECT(ADDRESS(B37,A37,1,1,"all_city_parameter_inputs"))), "--",INDIRECT(ADDRESS(B37,A37,1,1,"all_city_parameter_inputs")))</f>
        <v>--</v>
      </c>
      <c r="I37" s="28" t="n">
        <f aca="false">IF(OR(G37="alpha",G37="beta",G37="sd",G37="mean"),"--",VLOOKUP(C37,Default!$B$5:$H$114,7,FALSE()))</f>
        <v>1906.893448</v>
      </c>
      <c r="J37" s="27" t="str">
        <f aca="false">VLOOKUP(F37,Lookup!$C$5:$D$110,2, FALSE())</f>
        <v>Pollution values</v>
      </c>
      <c r="K37" s="27" t="n">
        <f aca="false">VLOOKUP(C37,Default!$B$4:$E$114,4, FALSE())</f>
        <v>0</v>
      </c>
      <c r="L37" s="24" t="s">
        <v>121</v>
      </c>
      <c r="M37" s="25"/>
      <c r="N37" s="25"/>
    </row>
    <row r="38" customFormat="false" ht="15" hidden="false" customHeight="false" outlineLevel="0" collapsed="false">
      <c r="A38" s="21" t="n">
        <v>3</v>
      </c>
      <c r="B38" s="21" t="n">
        <v>36</v>
      </c>
      <c r="C38" s="21" t="str">
        <f aca="false">IF(G38 = "",F38,IF(OR(G38="alpha",G38="beta",G38="constant",G38="sd",G38="mean",G38="sample"),F38,F38&amp;" "&amp;G38))</f>
        <v>CO2_emission_inventories taxi</v>
      </c>
      <c r="D38" s="21" t="str">
        <f aca="false">F38&amp;"_"&amp;E38</f>
        <v>CO2_emission_inventories_bogota</v>
      </c>
      <c r="E38" s="27" t="str">
        <f aca="true" t="array" ref="E38:E38">INDIRECT(ADDRESS(1,A38,1,1,"all_city_parameter_inputs"))</f>
        <v>bogota</v>
      </c>
      <c r="F38" s="27" t="str">
        <f aca="true" t="array" ref="F38:F38">IF(AND(ISBLANK(INDIRECT(ADDRESS(B38,2,1,1,"all_city_parameter_inputs"))), ISBLANK(INDIRECT(ADDRESS(B38,1,1,1,"all_city_parameter_inputs")))), "", IF(ISBLANK(INDIRECT(ADDRESS(B38,1,1,1,"all_city_parameter_inputs"))), All_city_list!F37,INDIRECT(ADDRESS(B38,1,1,1,"all_city_parameter_inputs"))))</f>
        <v>CO2_emission_inventories</v>
      </c>
      <c r="G38" s="27" t="str">
        <f aca="true" t="array" ref="G38:G38">IF(AND(ISBLANK(INDIRECT(ADDRESS(B38,3,1,1,"all_city_parameter_inputs"))),ISBLANK(INDIRECT(ADDRESS(B38,2,1,1,"all_city_parameter_inputs")))),"",IF(ISBLANK(INDIRECT(ADDRESS(B38,2,1,1,"all_city_parameter_inputs"))),"",INDIRECT(ADDRESS(B38,2,1,1,"all_city_parameter_inputs"))))</f>
        <v>taxi</v>
      </c>
      <c r="H38" s="28" t="str">
        <f aca="true" t="array" ref="H38:H38">IF(ISBLANK(INDIRECT(ADDRESS(B38,A38,1,1,"all_city_parameter_inputs"))), "--",INDIRECT(ADDRESS(B38,A38,1,1,"all_city_parameter_inputs")))</f>
        <v>--</v>
      </c>
      <c r="I38" s="28" t="n">
        <f aca="false">IF(OR(G38="alpha",G38="beta",G38="sd",G38="mean"),"--",VLOOKUP(C38,Default!$B$5:$H$114,7,FALSE()))</f>
        <v>0</v>
      </c>
      <c r="J38" s="27" t="str">
        <f aca="false">VLOOKUP(F38,Lookup!$C$5:$D$110,2, FALSE())</f>
        <v>Pollution values</v>
      </c>
      <c r="K38" s="27" t="n">
        <f aca="false">VLOOKUP(C38,Default!$B$4:$E$114,4, FALSE())</f>
        <v>0</v>
      </c>
      <c r="L38" s="25" t="str">
        <f aca="true" t="array" ref="L38:L38">IF(ISNA(VLOOKUP($D38,Grouped_Sources!$C:$C,1,FALSE())),"", INDIRECT(VLOOKUP($D38,Grouped_Sources!$C:$I,5,FALSE())))</f>
        <v>https://www.who.int/publications/m/item/who-air-quality-database-2022 </v>
      </c>
      <c r="M38" s="25" t="str">
        <f aca="true">IF(ISNA(VLOOKUP($D38,Grouped_Sources!$C:$C,1,FALSE())),"", INDIRECT(VLOOKUP($D38,Grouped_Sources!$C:$I,6,FALSE())))</f>
        <v>WHO Air Quality Database, Update 2022</v>
      </c>
      <c r="N38" s="25" t="n">
        <f aca="true">IF(ISNA(VLOOKUP($D38,Grouped_Sources!$C:$C,1,FALSE())),"", INDIRECT(VLOOKUP($D38,Grouped_Sources!$C:$I,7,FALSE())))</f>
        <v>0</v>
      </c>
    </row>
    <row r="39" customFormat="false" ht="15" hidden="false" customHeight="false" outlineLevel="0" collapsed="false">
      <c r="A39" s="21" t="n">
        <v>3</v>
      </c>
      <c r="B39" s="21" t="n">
        <v>37</v>
      </c>
      <c r="C39" s="21" t="str">
        <f aca="false">IF(G39 = "",F39,IF(OR(G39="alpha",G39="beta",G39="constant",G39="sd",G39="mean",G39="sample"),F39,F39&amp;" "&amp;G39))</f>
        <v>CO2_emission_inventories auto_rickshaw</v>
      </c>
      <c r="D39" s="21" t="str">
        <f aca="false">F39&amp;"_"&amp;E39</f>
        <v>CO2_emission_inventories_bogota</v>
      </c>
      <c r="E39" s="27" t="str">
        <f aca="true" t="array" ref="E39:E39">INDIRECT(ADDRESS(1,A39,1,1,"all_city_parameter_inputs"))</f>
        <v>bogota</v>
      </c>
      <c r="F39" s="27" t="str">
        <f aca="true" t="array" ref="F39:F39">IF(AND(ISBLANK(INDIRECT(ADDRESS(B39,2,1,1,"all_city_parameter_inputs"))), ISBLANK(INDIRECT(ADDRESS(B39,1,1,1,"all_city_parameter_inputs")))), "", IF(ISBLANK(INDIRECT(ADDRESS(B39,1,1,1,"all_city_parameter_inputs"))), All_city_list!F38,INDIRECT(ADDRESS(B39,1,1,1,"all_city_parameter_inputs"))))</f>
        <v>CO2_emission_inventories</v>
      </c>
      <c r="G39" s="27" t="str">
        <f aca="true" t="array" ref="G39:G39">IF(AND(ISBLANK(INDIRECT(ADDRESS(B39,3,1,1,"all_city_parameter_inputs"))),ISBLANK(INDIRECT(ADDRESS(B39,2,1,1,"all_city_parameter_inputs")))),"",IF(ISBLANK(INDIRECT(ADDRESS(B39,2,1,1,"all_city_parameter_inputs"))),"",INDIRECT(ADDRESS(B39,2,1,1,"all_city_parameter_inputs"))))</f>
        <v>auto_rickshaw</v>
      </c>
      <c r="H39" s="28" t="str">
        <f aca="true" t="array" ref="H39:H39">IF(ISBLANK(INDIRECT(ADDRESS(B39,A39,1,1,"all_city_parameter_inputs"))), "--",INDIRECT(ADDRESS(B39,A39,1,1,"all_city_parameter_inputs")))</f>
        <v>--</v>
      </c>
      <c r="I39" s="28" t="n">
        <f aca="false">IF(OR(G39="alpha",G39="beta",G39="sd",G39="mean"),"--",VLOOKUP(C39,Default!$B$5:$H$114,7,FALSE()))</f>
        <v>0</v>
      </c>
      <c r="J39" s="27" t="str">
        <f aca="false">VLOOKUP(F39,Lookup!$C$5:$D$110,2, FALSE())</f>
        <v>Pollution values</v>
      </c>
      <c r="K39" s="27" t="n">
        <f aca="false">VLOOKUP(C39,Default!$B$4:$E$114,4, FALSE())</f>
        <v>0</v>
      </c>
      <c r="L39" s="25" t="str">
        <f aca="true" t="array" ref="L39:L39">IF(ISNA(VLOOKUP($D39,Grouped_Sources!$C:$C,1,FALSE())),"", INDIRECT(VLOOKUP($D39,Grouped_Sources!$C:$I,5,FALSE())))</f>
        <v>https://www.who.int/publications/m/item/who-air-quality-database-2022 </v>
      </c>
      <c r="M39" s="25" t="str">
        <f aca="true">IF(ISNA(VLOOKUP($D39,Grouped_Sources!$C:$C,1,FALSE())),"", INDIRECT(VLOOKUP($D39,Grouped_Sources!$C:$I,6,FALSE())))</f>
        <v>WHO Air Quality Database, Update 2022</v>
      </c>
      <c r="N39" s="25" t="n">
        <f aca="true">IF(ISNA(VLOOKUP($D39,Grouped_Sources!$C:$C,1,FALSE())),"", INDIRECT(VLOOKUP($D39,Grouped_Sources!$C:$I,7,FALSE())))</f>
        <v>0</v>
      </c>
    </row>
    <row r="40" customFormat="false" ht="15" hidden="false" customHeight="false" outlineLevel="0" collapsed="false">
      <c r="A40" s="21" t="n">
        <v>3</v>
      </c>
      <c r="B40" s="21" t="n">
        <v>38</v>
      </c>
      <c r="C40" s="21" t="str">
        <f aca="false">IF(G40 = "",F40,IF(OR(G40="alpha",G40="beta",G40="constant",G40="sd",G40="mean",G40="sample"),F40,F40&amp;" "&amp;G40))</f>
        <v>country</v>
      </c>
      <c r="D40" s="21" t="str">
        <f aca="false">F40&amp;"_"&amp;E40</f>
        <v>country_bogota</v>
      </c>
      <c r="E40" s="27" t="str">
        <f aca="true" t="array" ref="E40:E40">INDIRECT(ADDRESS(1,A40,1,1,"all_city_parameter_inputs"))</f>
        <v>bogota</v>
      </c>
      <c r="F40" s="27" t="str">
        <f aca="true" t="array" ref="F40:F40">IF(AND(ISBLANK(INDIRECT(ADDRESS(B40,2,1,1,"all_city_parameter_inputs"))), ISBLANK(INDIRECT(ADDRESS(B40,1,1,1,"all_city_parameter_inputs")))), "", IF(ISBLANK(INDIRECT(ADDRESS(B40,1,1,1,"all_city_parameter_inputs"))), All_city_list!F39,INDIRECT(ADDRESS(B40,1,1,1,"all_city_parameter_inputs"))))</f>
        <v>country</v>
      </c>
      <c r="G40" s="27" t="str">
        <f aca="true" t="array" ref="G40:G40">IF(AND(ISBLANK(INDIRECT(ADDRESS(B40,3,1,1,"all_city_parameter_inputs"))),ISBLANK(INDIRECT(ADDRESS(B40,2,1,1,"all_city_parameter_inputs")))),"",IF(ISBLANK(INDIRECT(ADDRESS(B40,2,1,1,"all_city_parameter_inputs"))),"",INDIRECT(ADDRESS(B40,2,1,1,"all_city_parameter_inputs"))))</f>
        <v/>
      </c>
      <c r="H40" s="28" t="str">
        <f aca="true" t="array" ref="H40:H40">IF(ISBLANK(INDIRECT(ADDRESS(B40,A40,1,1,"all_city_parameter_inputs"))), "--",INDIRECT(ADDRESS(B40,A40,1,1,"all_city_parameter_inputs")))</f>
        <v>Colombia</v>
      </c>
      <c r="I40" s="28" t="str">
        <f aca="false">IF(OR(G40="alpha",G40="beta",G40="sd",G40="mean"),"--",VLOOKUP(C40,Default!$B$5:$H$114,7,FALSE()))</f>
        <v>Bogota</v>
      </c>
      <c r="J40" s="27" t="str">
        <f aca="false">VLOOKUP(F40,Lookup!$C$5:$D$110,2, FALSE())</f>
        <v>Miscellaneous</v>
      </c>
      <c r="K40" s="27" t="str">
        <f aca="false">VLOOKUP(C40,Default!$B$4:$E$114,4, FALSE())</f>
        <v>country where city lies in</v>
      </c>
      <c r="L40" s="24" t="s">
        <v>122</v>
      </c>
      <c r="M40" s="25" t="s">
        <v>123</v>
      </c>
      <c r="N40" s="25"/>
    </row>
    <row r="41" customFormat="false" ht="15" hidden="false" customHeight="false" outlineLevel="0" collapsed="false">
      <c r="A41" s="21" t="n">
        <v>3</v>
      </c>
      <c r="B41" s="21" t="n">
        <v>39</v>
      </c>
      <c r="C41" s="21" t="str">
        <f aca="false">IF(G41 = "",F41,IF(OR(G41="alpha",G41="beta",G41="constant",G41="sd",G41="mean",G41="sample"),F41,F41&amp;" "&amp;G41))</f>
        <v>continent</v>
      </c>
      <c r="D41" s="21" t="str">
        <f aca="false">F41&amp;"_"&amp;E41</f>
        <v>continent_bogota</v>
      </c>
      <c r="E41" s="27" t="str">
        <f aca="true" t="array" ref="E41:E41">INDIRECT(ADDRESS(1,A41,1,1,"all_city_parameter_inputs"))</f>
        <v>bogota</v>
      </c>
      <c r="F41" s="27" t="str">
        <f aca="true" t="array" ref="F41:F41">IF(AND(ISBLANK(INDIRECT(ADDRESS(B41,2,1,1,"all_city_parameter_inputs"))), ISBLANK(INDIRECT(ADDRESS(B41,1,1,1,"all_city_parameter_inputs")))), "", IF(ISBLANK(INDIRECT(ADDRESS(B41,1,1,1,"all_city_parameter_inputs"))), All_city_list!F40,INDIRECT(ADDRESS(B41,1,1,1,"all_city_parameter_inputs"))))</f>
        <v>continent</v>
      </c>
      <c r="G41" s="27" t="str">
        <f aca="true" t="array" ref="G41:G41">IF(AND(ISBLANK(INDIRECT(ADDRESS(B41,3,1,1,"all_city_parameter_inputs"))),ISBLANK(INDIRECT(ADDRESS(B41,2,1,1,"all_city_parameter_inputs")))),"",IF(ISBLANK(INDIRECT(ADDRESS(B41,2,1,1,"all_city_parameter_inputs"))),"",INDIRECT(ADDRESS(B41,2,1,1,"all_city_parameter_inputs"))))</f>
        <v/>
      </c>
      <c r="H41" s="28" t="str">
        <f aca="true" t="array" ref="H41:H41">IF(ISBLANK(INDIRECT(ADDRESS(B41,A41,1,1,"all_city_parameter_inputs"))), "--",INDIRECT(ADDRESS(B41,A41,1,1,"all_city_parameter_inputs")))</f>
        <v>Latin_America</v>
      </c>
      <c r="I41" s="28" t="str">
        <f aca="false">IF(OR(G41="alpha",G41="beta",G41="sd",G41="mean"),"--",VLOOKUP(C41,Default!$B$5:$H$114,7,FALSE()))</f>
        <v>Latin_America</v>
      </c>
      <c r="J41" s="27" t="str">
        <f aca="false">VLOOKUP(F41,Lookup!$C$5:$D$110,2, FALSE())</f>
        <v>Miscellaneous</v>
      </c>
      <c r="K41" s="27" t="str">
        <f aca="false">VLOOKUP(C41,Default!$B$4:$E$114,4, FALSE())</f>
        <v>continent</v>
      </c>
      <c r="L41" s="25" t="str">
        <f aca="true">IF(ISNA(VLOOKUP($D41,Grouped_Sources!$C:$C,1,FALSE())),"", INDIRECT(VLOOKUP($D41,Grouped_Sources!$C:$I,5,FALSE())))</f>
        <v/>
      </c>
      <c r="M41" s="25" t="str">
        <f aca="true">IF(ISNA(VLOOKUP($D41,Grouped_Sources!$C:$C,1,FALSE())),"", INDIRECT(VLOOKUP($D41,Grouped_Sources!$C:$I,6,FALSE())))</f>
        <v/>
      </c>
      <c r="N41" s="25" t="str">
        <f aca="true">IF(ISNA(VLOOKUP($D41,Grouped_Sources!$C:$C,1,FALSE())),"", INDIRECT(VLOOKUP($D41,Grouped_Sources!$C:$I,7,FALSE())))</f>
        <v/>
      </c>
    </row>
    <row r="42" customFormat="false" ht="15" hidden="false" customHeight="false" outlineLevel="0" collapsed="false">
      <c r="A42" s="21" t="n">
        <v>3</v>
      </c>
      <c r="B42" s="21" t="n">
        <v>40</v>
      </c>
      <c r="C42" s="21" t="str">
        <f aca="false">IF(G42 = "",F42,IF(OR(G42="alpha",G42="beta",G42="constant",G42="sd",G42="mean",G42="sample"),F42,F42&amp;" "&amp;G42))</f>
        <v/>
      </c>
      <c r="D42" s="21" t="str">
        <f aca="false">F42&amp;"_"&amp;E42</f>
        <v>_bogota</v>
      </c>
      <c r="E42" s="27" t="str">
        <f aca="true" t="array" ref="E42:E42">INDIRECT(ADDRESS(1,A42,1,1,"all_city_parameter_inputs"))</f>
        <v>bogota</v>
      </c>
      <c r="F42" s="27" t="str">
        <f aca="true" t="array" ref="F42:F42">IF(AND(ISBLANK(INDIRECT(ADDRESS(B42,2,1,1,"all_city_parameter_inputs"))), ISBLANK(INDIRECT(ADDRESS(B42,1,1,1,"all_city_parameter_inputs")))), "", IF(ISBLANK(INDIRECT(ADDRESS(B42,1,1,1,"all_city_parameter_inputs"))), All_city_list!F41,INDIRECT(ADDRESS(B42,1,1,1,"all_city_parameter_inputs"))))</f>
        <v/>
      </c>
      <c r="G42" s="27" t="str">
        <f aca="true" t="array" ref="G42:G42">IF(AND(ISBLANK(INDIRECT(ADDRESS(B42,3,1,1,"all_city_parameter_inputs"))),ISBLANK(INDIRECT(ADDRESS(B42,2,1,1,"all_city_parameter_inputs")))),"",IF(ISBLANK(INDIRECT(ADDRESS(B42,2,1,1,"all_city_parameter_inputs"))),"",INDIRECT(ADDRESS(B42,2,1,1,"all_city_parameter_inputs"))))</f>
        <v/>
      </c>
      <c r="H42" s="28" t="str">
        <f aca="true" t="array" ref="H42:H42">IF(ISBLANK(INDIRECT(ADDRESS(B42,A42,1,1,"all_city_parameter_inputs"))), "--",INDIRECT(ADDRESS(B42,A42,1,1,"all_city_parameter_inputs")))</f>
        <v>--</v>
      </c>
      <c r="I42" s="28" t="e">
        <f aca="false">IF(OR(G42="alpha",G42="beta",G42="sd",G42="mean"),"--",VLOOKUP(C42,Default!$B$5:$H$114,7,FALSE()))</f>
        <v>#N/A</v>
      </c>
      <c r="J42" s="27" t="e">
        <f aca="false">VLOOKUP(F42,Lookup!$C$5:$D$110,2, FALSE())</f>
        <v>#N/A</v>
      </c>
      <c r="K42" s="27" t="e">
        <f aca="false">VLOOKUP(C42,Default!$B$4:$E$114,4, FALSE())</f>
        <v>#N/A</v>
      </c>
      <c r="L42" s="25" t="str">
        <f aca="true">IF(ISNA(VLOOKUP($D42,Grouped_Sources!$C:$C,1,FALSE())),"", INDIRECT(VLOOKUP($D42,Grouped_Sources!$C:$I,5,FALSE())))</f>
        <v/>
      </c>
      <c r="M42" s="25" t="str">
        <f aca="true">IF(ISNA(VLOOKUP($D42,Grouped_Sources!$C:$C,1,FALSE())),"", INDIRECT(VLOOKUP($D42,Grouped_Sources!$C:$I,6,FALSE())))</f>
        <v/>
      </c>
      <c r="N42" s="25" t="str">
        <f aca="true">IF(ISNA(VLOOKUP($D42,Grouped_Sources!$C:$C,1,FALSE())),"", INDIRECT(VLOOKUP($D42,Grouped_Sources!$C:$I,7,FALSE())))</f>
        <v/>
      </c>
    </row>
    <row r="43" customFormat="false" ht="91" hidden="false" customHeight="false" outlineLevel="0" collapsed="false">
      <c r="A43" s="21" t="n">
        <v>3</v>
      </c>
      <c r="B43" s="21" t="n">
        <v>41</v>
      </c>
      <c r="C43" s="21" t="str">
        <f aca="false">IF(G43 = "",F43,IF(OR(G43="alpha",G43="beta",G43="constant",G43="sd",G43="mean",G43="sample"),F43,F43&amp;" "&amp;G43))</f>
        <v/>
      </c>
      <c r="D43" s="21" t="str">
        <f aca="false">F43&amp;"_"&amp;E43</f>
        <v>_bogota</v>
      </c>
      <c r="E43" s="27" t="str">
        <f aca="true" t="array" ref="E43:E43">INDIRECT(ADDRESS(1,A43,1,1,"all_city_parameter_inputs"))</f>
        <v>bogota</v>
      </c>
      <c r="F43" s="27" t="str">
        <f aca="true" t="array" ref="F43:F43">IF(AND(ISBLANK(INDIRECT(ADDRESS(B43,2,1,1,"all_city_parameter_inputs"))), ISBLANK(INDIRECT(ADDRESS(B43,1,1,1,"all_city_parameter_inputs")))), "", IF(ISBLANK(INDIRECT(ADDRESS(B43,1,1,1,"all_city_parameter_inputs"))), All_city_list!F42,INDIRECT(ADDRESS(B43,1,1,1,"all_city_parameter_inputs"))))</f>
        <v/>
      </c>
      <c r="G43" s="27" t="str">
        <f aca="true" t="array" ref="G43:G43">IF(AND(ISBLANK(INDIRECT(ADDRESS(B43,3,1,1,"all_city_parameter_inputs"))),ISBLANK(INDIRECT(ADDRESS(B43,2,1,1,"all_city_parameter_inputs")))),"",IF(ISBLANK(INDIRECT(ADDRESS(B43,2,1,1,"all_city_parameter_inputs"))),"",INDIRECT(ADDRESS(B43,2,1,1,"all_city_parameter_inputs"))))</f>
        <v/>
      </c>
      <c r="H43" s="28" t="str">
        <f aca="true" t="array" ref="H43:H43">IF(ISBLANK(INDIRECT(ADDRESS(B43,A43,1,1,"all_city_parameter_inputs"))), "--",INDIRECT(ADDRESS(B43,A43,1,1,"all_city_parameter_inputs")))</f>
        <v>--</v>
      </c>
      <c r="I43" s="28" t="e">
        <f aca="false">IF(OR(G43="alpha",G43="beta",G43="sd",G43="mean"),"--",VLOOKUP(C43,Default!$B$5:$H$114,7,FALSE()))</f>
        <v>#N/A</v>
      </c>
      <c r="J43" s="27" t="e">
        <f aca="false">VLOOKUP(F43,Lookup!$C$5:$D$110,2, FALSE())</f>
        <v>#N/A</v>
      </c>
      <c r="K43" s="27" t="e">
        <f aca="false">VLOOKUP(C43,Default!$B$4:$E$114,4, FALSE())</f>
        <v>#N/A</v>
      </c>
      <c r="L43" s="37" t="s">
        <v>124</v>
      </c>
      <c r="M43" s="25" t="s">
        <v>125</v>
      </c>
      <c r="N43" s="25"/>
    </row>
    <row r="44" customFormat="false" ht="15" hidden="false" customHeight="false" outlineLevel="0" collapsed="false">
      <c r="A44" s="21" t="n">
        <v>3</v>
      </c>
      <c r="B44" s="21" t="n">
        <v>42</v>
      </c>
      <c r="C44" s="21" t="str">
        <f aca="false">IF(G44 = "",F44,IF(OR(G44="alpha",G44="beta",G44="constant",G44="sd",G44="mean",G44="sample"),F44,F44&amp;" "&amp;G44))</f>
        <v/>
      </c>
      <c r="D44" s="21" t="str">
        <f aca="false">F44&amp;"_"&amp;E44</f>
        <v>_bogota</v>
      </c>
      <c r="E44" s="27" t="str">
        <f aca="true" t="array" ref="E44:E44">INDIRECT(ADDRESS(1,A44,1,1,"all_city_parameter_inputs"))</f>
        <v>bogota</v>
      </c>
      <c r="F44" s="27" t="str">
        <f aca="true" t="array" ref="F44:F44">IF(AND(ISBLANK(INDIRECT(ADDRESS(B44,2,1,1,"all_city_parameter_inputs"))), ISBLANK(INDIRECT(ADDRESS(B44,1,1,1,"all_city_parameter_inputs")))), "", IF(ISBLANK(INDIRECT(ADDRESS(B44,1,1,1,"all_city_parameter_inputs"))), All_city_list!F43,INDIRECT(ADDRESS(B44,1,1,1,"all_city_parameter_inputs"))))</f>
        <v/>
      </c>
      <c r="G44" s="27" t="str">
        <f aca="true" t="array" ref="G44:G44">IF(AND(ISBLANK(INDIRECT(ADDRESS(B44,3,1,1,"all_city_parameter_inputs"))),ISBLANK(INDIRECT(ADDRESS(B44,2,1,1,"all_city_parameter_inputs")))),"",IF(ISBLANK(INDIRECT(ADDRESS(B44,2,1,1,"all_city_parameter_inputs"))),"",INDIRECT(ADDRESS(B44,2,1,1,"all_city_parameter_inputs"))))</f>
        <v/>
      </c>
      <c r="H44" s="28" t="str">
        <f aca="true" t="array" ref="H44:H44">IF(ISBLANK(INDIRECT(ADDRESS(B44,A44,1,1,"all_city_parameter_inputs"))), "--",INDIRECT(ADDRESS(B44,A44,1,1,"all_city_parameter_inputs")))</f>
        <v>--</v>
      </c>
      <c r="I44" s="28" t="e">
        <f aca="false">IF(OR(G44="alpha",G44="beta",G44="sd",G44="mean"),"--",VLOOKUP(C44,Default!$B$5:$H$114,7,FALSE()))</f>
        <v>#N/A</v>
      </c>
      <c r="J44" s="27" t="e">
        <f aca="false">VLOOKUP(F44,Lookup!$C$5:$D$110,2, FALSE())</f>
        <v>#N/A</v>
      </c>
      <c r="K44" s="27" t="e">
        <f aca="false">VLOOKUP(C44,Default!$B$4:$E$114,4, FALSE())</f>
        <v>#N/A</v>
      </c>
      <c r="L44" s="38" t="str">
        <f aca="true">IF(ISNA(VLOOKUP($D44,Grouped_Sources!$C:$C,1,FALSE())),"", INDIRECT(VLOOKUP($D44,Grouped_Sources!$C:$I,5,FALSE())))</f>
        <v/>
      </c>
      <c r="M44" s="25" t="str">
        <f aca="true">IF(ISNA(VLOOKUP($D44,Grouped_Sources!$C:$C,1,FALSE())),"", INDIRECT(VLOOKUP($D44,Grouped_Sources!$C:$I,6,FALSE())))</f>
        <v/>
      </c>
      <c r="N44" s="25" t="str">
        <f aca="true">IF(ISNA(VLOOKUP($D44,Grouped_Sources!$C:$C,1,FALSE())),"", INDIRECT(VLOOKUP($D44,Grouped_Sources!$C:$I,7,FALSE())))</f>
        <v/>
      </c>
    </row>
    <row r="45" customFormat="false" ht="15" hidden="false" customHeight="false" outlineLevel="0" collapsed="false">
      <c r="A45" s="21" t="n">
        <v>3</v>
      </c>
      <c r="B45" s="21" t="n">
        <v>43</v>
      </c>
      <c r="C45" s="21" t="str">
        <f aca="false">IF(G45 = "",F45,IF(OR(G45="alpha",G45="beta",G45="constant",G45="sd",G45="mean",G45="sample"),F45,F45&amp;" "&amp;G45))</f>
        <v/>
      </c>
      <c r="D45" s="21" t="str">
        <f aca="false">F45&amp;"_"&amp;E45</f>
        <v>_bogota</v>
      </c>
      <c r="E45" s="27" t="str">
        <f aca="true" t="array" ref="E45:E45">INDIRECT(ADDRESS(1,A45,1,1,"all_city_parameter_inputs"))</f>
        <v>bogota</v>
      </c>
      <c r="F45" s="27" t="str">
        <f aca="true" t="array" ref="F45:F45">IF(AND(ISBLANK(INDIRECT(ADDRESS(B45,2,1,1,"all_city_parameter_inputs"))), ISBLANK(INDIRECT(ADDRESS(B45,1,1,1,"all_city_parameter_inputs")))), "", IF(ISBLANK(INDIRECT(ADDRESS(B45,1,1,1,"all_city_parameter_inputs"))), All_city_list!F44,INDIRECT(ADDRESS(B45,1,1,1,"all_city_parameter_inputs"))))</f>
        <v/>
      </c>
      <c r="G45" s="27" t="str">
        <f aca="true" t="array" ref="G45:G45">IF(AND(ISBLANK(INDIRECT(ADDRESS(B45,3,1,1,"all_city_parameter_inputs"))),ISBLANK(INDIRECT(ADDRESS(B45,2,1,1,"all_city_parameter_inputs")))),"",IF(ISBLANK(INDIRECT(ADDRESS(B45,2,1,1,"all_city_parameter_inputs"))),"",INDIRECT(ADDRESS(B45,2,1,1,"all_city_parameter_inputs"))))</f>
        <v/>
      </c>
      <c r="H45" s="28" t="str">
        <f aca="true" t="array" ref="H45:H45">IF(ISBLANK(INDIRECT(ADDRESS(B45,A45,1,1,"all_city_parameter_inputs"))), "--",INDIRECT(ADDRESS(B45,A45,1,1,"all_city_parameter_inputs")))</f>
        <v>--</v>
      </c>
      <c r="I45" s="28" t="e">
        <f aca="false">IF(OR(G45="alpha",G45="beta",G45="sd",G45="mean"),"--",VLOOKUP(C45,Default!$B$5:$H$114,7,FALSE()))</f>
        <v>#N/A</v>
      </c>
      <c r="J45" s="27" t="e">
        <f aca="false">VLOOKUP(F45,Lookup!$C$5:$D$110,2, FALSE())</f>
        <v>#N/A</v>
      </c>
      <c r="K45" s="27" t="e">
        <f aca="false">VLOOKUP(C45,Default!$B$4:$E$114,4, FALSE())</f>
        <v>#N/A</v>
      </c>
      <c r="L45" s="25" t="str">
        <f aca="true" t="array" ref="L45:L45">IF(ISNA(VLOOKUP($D45,Grouped_Sources!$C:$C,1,FALSE())),"", INDIRECT(VLOOKUP($D45,Grouped_Sources!$C:$I,5,FALSE())))</f>
        <v/>
      </c>
      <c r="M45" s="25" t="str">
        <f aca="true" t="array" ref="M45:M45">IF(ISNA(VLOOKUP($D45,Grouped_Sources!$C:$C,1,FALSE())),"", INDIRECT(VLOOKUP($D45,Grouped_Sources!$C:$I,6,FALSE())))</f>
        <v/>
      </c>
      <c r="N45" s="25" t="str">
        <f aca="true">IF(ISNA(VLOOKUP($D45,Grouped_Sources!$C:$C,1,FALSE())),"", INDIRECT(VLOOKUP($D45,Grouped_Sources!$C:$I,7,FALSE())))</f>
        <v/>
      </c>
    </row>
    <row r="46" customFormat="false" ht="15" hidden="false" customHeight="false" outlineLevel="0" collapsed="false">
      <c r="A46" s="21" t="n">
        <v>3</v>
      </c>
      <c r="B46" s="21" t="n">
        <v>44</v>
      </c>
      <c r="C46" s="21" t="str">
        <f aca="false">IF(G46 = "",F46,IF(OR(G46="alpha",G46="beta",G46="constant",G46="sd",G46="mean",G46="sample"),F46,F46&amp;" "&amp;G46))</f>
        <v/>
      </c>
      <c r="D46" s="21" t="str">
        <f aca="false">F46&amp;"_"&amp;E46</f>
        <v>_bogota</v>
      </c>
      <c r="E46" s="27" t="str">
        <f aca="true" t="array" ref="E46:E46">INDIRECT(ADDRESS(1,A46,1,1,"all_city_parameter_inputs"))</f>
        <v>bogota</v>
      </c>
      <c r="F46" s="27" t="str">
        <f aca="true" t="array" ref="F46:F46">IF(AND(ISBLANK(INDIRECT(ADDRESS(B46,2,1,1,"all_city_parameter_inputs"))), ISBLANK(INDIRECT(ADDRESS(B46,1,1,1,"all_city_parameter_inputs")))), "", IF(ISBLANK(INDIRECT(ADDRESS(B46,1,1,1,"all_city_parameter_inputs"))), All_city_list!F45,INDIRECT(ADDRESS(B46,1,1,1,"all_city_parameter_inputs"))))</f>
        <v/>
      </c>
      <c r="G46" s="27" t="str">
        <f aca="true" t="array" ref="G46:G46">IF(AND(ISBLANK(INDIRECT(ADDRESS(B46,3,1,1,"all_city_parameter_inputs"))),ISBLANK(INDIRECT(ADDRESS(B46,2,1,1,"all_city_parameter_inputs")))),"",IF(ISBLANK(INDIRECT(ADDRESS(B46,2,1,1,"all_city_parameter_inputs"))),"",INDIRECT(ADDRESS(B46,2,1,1,"all_city_parameter_inputs"))))</f>
        <v/>
      </c>
      <c r="H46" s="28" t="str">
        <f aca="true" t="array" ref="H46:H46">IF(ISBLANK(INDIRECT(ADDRESS(B46,A46,1,1,"all_city_parameter_inputs"))), "--",INDIRECT(ADDRESS(B46,A46,1,1,"all_city_parameter_inputs")))</f>
        <v>--</v>
      </c>
      <c r="I46" s="28" t="e">
        <f aca="false">IF(OR(G46="alpha",G46="beta",G46="sd",G46="mean"),"--",VLOOKUP(C46,Default!$B$5:$H$114,7,FALSE()))</f>
        <v>#N/A</v>
      </c>
      <c r="J46" s="27" t="e">
        <f aca="false">VLOOKUP(F46,Lookup!$C$5:$D$110,2, FALSE())</f>
        <v>#N/A</v>
      </c>
      <c r="K46" s="27" t="e">
        <f aca="false">VLOOKUP(C46,Default!$B$4:$E$114,4, FALSE())</f>
        <v>#N/A</v>
      </c>
      <c r="L46" s="24" t="s">
        <v>126</v>
      </c>
      <c r="M46" s="25"/>
      <c r="N46" s="25"/>
    </row>
    <row r="47" customFormat="false" ht="15" hidden="false" customHeight="false" outlineLevel="0" collapsed="false">
      <c r="A47" s="21" t="n">
        <v>3</v>
      </c>
      <c r="B47" s="21" t="n">
        <v>45</v>
      </c>
      <c r="C47" s="21" t="str">
        <f aca="false">IF(G47 = "",F47,IF(OR(G47="alpha",G47="beta",G47="constant",G47="sd",G47="mean",G47="sample"),F47,F47&amp;" "&amp;G47))</f>
        <v/>
      </c>
      <c r="D47" s="21" t="str">
        <f aca="false">F47&amp;"_"&amp;E47</f>
        <v>_bogota</v>
      </c>
      <c r="E47" s="27" t="str">
        <f aca="true" t="array" ref="E47:E47">INDIRECT(ADDRESS(1,A47,1,1,"all_city_parameter_inputs"))</f>
        <v>bogota</v>
      </c>
      <c r="F47" s="27" t="str">
        <f aca="true" t="array" ref="F47:F47">IF(AND(ISBLANK(INDIRECT(ADDRESS(B47,2,1,1,"all_city_parameter_inputs"))), ISBLANK(INDIRECT(ADDRESS(B47,1,1,1,"all_city_parameter_inputs")))), "", IF(ISBLANK(INDIRECT(ADDRESS(B47,1,1,1,"all_city_parameter_inputs"))), All_city_list!F46,INDIRECT(ADDRESS(B47,1,1,1,"all_city_parameter_inputs"))))</f>
        <v/>
      </c>
      <c r="G47" s="27" t="str">
        <f aca="true" t="array" ref="G47:G47">IF(AND(ISBLANK(INDIRECT(ADDRESS(B47,3,1,1,"all_city_parameter_inputs"))),ISBLANK(INDIRECT(ADDRESS(B47,2,1,1,"all_city_parameter_inputs")))),"",IF(ISBLANK(INDIRECT(ADDRESS(B47,2,1,1,"all_city_parameter_inputs"))),"",INDIRECT(ADDRESS(B47,2,1,1,"all_city_parameter_inputs"))))</f>
        <v/>
      </c>
      <c r="H47" s="28" t="str">
        <f aca="true" t="array" ref="H47:H47">IF(ISBLANK(INDIRECT(ADDRESS(B47,A47,1,1,"all_city_parameter_inputs"))), "--",INDIRECT(ADDRESS(B47,A47,1,1,"all_city_parameter_inputs")))</f>
        <v>--</v>
      </c>
      <c r="I47" s="28" t="e">
        <f aca="false">IF(OR(G47="alpha",G47="beta",G47="sd",G47="mean"),"--",VLOOKUP(C47,Default!$B$5:$H$114,7,FALSE()))</f>
        <v>#N/A</v>
      </c>
      <c r="J47" s="27" t="e">
        <f aca="false">VLOOKUP(F47,Lookup!$C$5:$D$110,2, FALSE())</f>
        <v>#N/A</v>
      </c>
      <c r="K47" s="27" t="e">
        <f aca="false">VLOOKUP(C47,Default!$B$4:$E$114,4, FALSE())</f>
        <v>#N/A</v>
      </c>
      <c r="L47" s="24" t="s">
        <v>126</v>
      </c>
      <c r="M47" s="25"/>
      <c r="N47" s="25"/>
    </row>
    <row r="48" customFormat="false" ht="15" hidden="false" customHeight="false" outlineLevel="0" collapsed="false">
      <c r="A48" s="21" t="n">
        <v>3</v>
      </c>
      <c r="B48" s="21" t="n">
        <v>46</v>
      </c>
      <c r="C48" s="21" t="str">
        <f aca="false">IF(G48 = "",F48,IF(OR(G48="alpha",G48="beta",G48="constant",G48="sd",G48="mean",G48="sample"),F48,F48&amp;" "&amp;G48))</f>
        <v/>
      </c>
      <c r="D48" s="21" t="str">
        <f aca="false">F48&amp;"_"&amp;E48</f>
        <v>_bogota</v>
      </c>
      <c r="E48" s="27" t="str">
        <f aca="true" t="array" ref="E48:E48">INDIRECT(ADDRESS(1,A48,1,1,"all_city_parameter_inputs"))</f>
        <v>bogota</v>
      </c>
      <c r="F48" s="27" t="str">
        <f aca="true" t="array" ref="F48:F48">IF(AND(ISBLANK(INDIRECT(ADDRESS(B48,2,1,1,"all_city_parameter_inputs"))), ISBLANK(INDIRECT(ADDRESS(B48,1,1,1,"all_city_parameter_inputs")))), "", IF(ISBLANK(INDIRECT(ADDRESS(B48,1,1,1,"all_city_parameter_inputs"))), All_city_list!F47,INDIRECT(ADDRESS(B48,1,1,1,"all_city_parameter_inputs"))))</f>
        <v/>
      </c>
      <c r="G48" s="27" t="str">
        <f aca="true" t="array" ref="G48:G48">IF(AND(ISBLANK(INDIRECT(ADDRESS(B48,3,1,1,"all_city_parameter_inputs"))),ISBLANK(INDIRECT(ADDRESS(B48,2,1,1,"all_city_parameter_inputs")))),"",IF(ISBLANK(INDIRECT(ADDRESS(B48,2,1,1,"all_city_parameter_inputs"))),"",INDIRECT(ADDRESS(B48,2,1,1,"all_city_parameter_inputs"))))</f>
        <v/>
      </c>
      <c r="H48" s="28" t="str">
        <f aca="true" t="array" ref="H48:H48">IF(ISBLANK(INDIRECT(ADDRESS(B48,A48,1,1,"all_city_parameter_inputs"))), "--",INDIRECT(ADDRESS(B48,A48,1,1,"all_city_parameter_inputs")))</f>
        <v>--</v>
      </c>
      <c r="I48" s="28" t="e">
        <f aca="false">IF(OR(G48="alpha",G48="beta",G48="sd",G48="mean"),"--",VLOOKUP(C48,Default!$B$5:$H$114,7,FALSE()))</f>
        <v>#N/A</v>
      </c>
      <c r="J48" s="27" t="e">
        <f aca="false">VLOOKUP(F48,Lookup!$C$5:$D$110,2, FALSE())</f>
        <v>#N/A</v>
      </c>
      <c r="K48" s="27" t="e">
        <f aca="false">VLOOKUP(C48,Default!$B$4:$E$114,4, FALSE())</f>
        <v>#N/A</v>
      </c>
      <c r="L48" s="25" t="str">
        <f aca="true">IF(ISNA(VLOOKUP($D48,Grouped_Sources!$C:$C,1,FALSE())),"", INDIRECT(VLOOKUP($D48,Grouped_Sources!$C:$I,5,FALSE())))</f>
        <v/>
      </c>
      <c r="M48" s="25" t="str">
        <f aca="true">IF(ISNA(VLOOKUP($D48,Grouped_Sources!$C:$C,1,FALSE())),"", INDIRECT(VLOOKUP($D48,Grouped_Sources!$C:$I,6,FALSE())))</f>
        <v/>
      </c>
      <c r="N48" s="25" t="str">
        <f aca="true">IF(ISNA(VLOOKUP($D48,Grouped_Sources!$C:$C,1,FALSE())),"", INDIRECT(VLOOKUP($D48,Grouped_Sources!$C:$I,7,FALSE())))</f>
        <v/>
      </c>
    </row>
    <row r="49" customFormat="false" ht="15" hidden="false" customHeight="false" outlineLevel="0" collapsed="false">
      <c r="A49" s="21" t="n">
        <v>3</v>
      </c>
      <c r="B49" s="21" t="n">
        <v>47</v>
      </c>
      <c r="C49" s="21" t="str">
        <f aca="false">IF(G49 = "",F49,IF(OR(G49="alpha",G49="beta",G49="constant",G49="sd",G49="mean",G49="sample"),F49,F49&amp;" "&amp;G49))</f>
        <v/>
      </c>
      <c r="D49" s="21" t="str">
        <f aca="false">F49&amp;"_"&amp;E49</f>
        <v>_bogota</v>
      </c>
      <c r="E49" s="27" t="str">
        <f aca="true" t="array" ref="E49:E49">INDIRECT(ADDRESS(1,A49,1,1,"all_city_parameter_inputs"))</f>
        <v>bogota</v>
      </c>
      <c r="F49" s="27" t="str">
        <f aca="true" t="array" ref="F49:F49">IF(AND(ISBLANK(INDIRECT(ADDRESS(B49,2,1,1,"all_city_parameter_inputs"))), ISBLANK(INDIRECT(ADDRESS(B49,1,1,1,"all_city_parameter_inputs")))), "", IF(ISBLANK(INDIRECT(ADDRESS(B49,1,1,1,"all_city_parameter_inputs"))), All_city_list!F48,INDIRECT(ADDRESS(B49,1,1,1,"all_city_parameter_inputs"))))</f>
        <v/>
      </c>
      <c r="G49" s="27" t="str">
        <f aca="true" t="array" ref="G49:G49">IF(AND(ISBLANK(INDIRECT(ADDRESS(B49,3,1,1,"all_city_parameter_inputs"))),ISBLANK(INDIRECT(ADDRESS(B49,2,1,1,"all_city_parameter_inputs")))),"",IF(ISBLANK(INDIRECT(ADDRESS(B49,2,1,1,"all_city_parameter_inputs"))),"",INDIRECT(ADDRESS(B49,2,1,1,"all_city_parameter_inputs"))))</f>
        <v/>
      </c>
      <c r="H49" s="28" t="str">
        <f aca="true" t="array" ref="H49:H49">IF(ISBLANK(INDIRECT(ADDRESS(B49,A49,1,1,"all_city_parameter_inputs"))), "--",INDIRECT(ADDRESS(B49,A49,1,1,"all_city_parameter_inputs")))</f>
        <v>--</v>
      </c>
      <c r="I49" s="28" t="e">
        <f aca="false">IF(OR(G49="alpha",G49="beta",G49="sd",G49="mean"),"--",VLOOKUP(C49,Default!$B$5:$H$114,7,FALSE()))</f>
        <v>#N/A</v>
      </c>
      <c r="J49" s="27" t="e">
        <f aca="false">VLOOKUP(F49,Lookup!$C$5:$D$110,2, FALSE())</f>
        <v>#N/A</v>
      </c>
      <c r="K49" s="27" t="e">
        <f aca="false">VLOOKUP(C49,Default!$B$4:$E$114,4, FALSE())</f>
        <v>#N/A</v>
      </c>
      <c r="L49" s="25" t="str">
        <f aca="true">IF(ISNA(VLOOKUP($D49,Grouped_Sources!$C:$C,1,FALSE())),"", INDIRECT(VLOOKUP($D49,Grouped_Sources!$C:$I,5,FALSE())))</f>
        <v/>
      </c>
      <c r="M49" s="25" t="str">
        <f aca="true">IF(ISNA(VLOOKUP($D49,Grouped_Sources!$C:$C,1,FALSE())),"", INDIRECT(VLOOKUP($D49,Grouped_Sources!$C:$I,6,FALSE())))</f>
        <v/>
      </c>
      <c r="N49" s="25" t="str">
        <f aca="true">IF(ISNA(VLOOKUP($D49,Grouped_Sources!$C:$C,1,FALSE())),"", INDIRECT(VLOOKUP($D49,Grouped_Sources!$C:$I,7,FALSE())))</f>
        <v/>
      </c>
    </row>
    <row r="50" customFormat="false" ht="15" hidden="false" customHeight="false" outlineLevel="0" collapsed="false">
      <c r="A50" s="21" t="n">
        <v>3</v>
      </c>
      <c r="B50" s="21" t="n">
        <v>48</v>
      </c>
      <c r="C50" s="21" t="str">
        <f aca="false">IF(G50 = "",F50,IF(OR(G50="alpha",G50="beta",G50="constant",G50="sd",G50="mean",G50="sample"),F50,F50&amp;" "&amp;G50))</f>
        <v/>
      </c>
      <c r="D50" s="21" t="str">
        <f aca="false">F50&amp;"_"&amp;E50</f>
        <v>_bogota</v>
      </c>
      <c r="E50" s="27" t="str">
        <f aca="true" t="array" ref="E50:E50">INDIRECT(ADDRESS(1,A50,1,1,"all_city_parameter_inputs"))</f>
        <v>bogota</v>
      </c>
      <c r="F50" s="27" t="str">
        <f aca="true" t="array" ref="F50:F50">IF(AND(ISBLANK(INDIRECT(ADDRESS(B50,2,1,1,"all_city_parameter_inputs"))), ISBLANK(INDIRECT(ADDRESS(B50,1,1,1,"all_city_parameter_inputs")))), "", IF(ISBLANK(INDIRECT(ADDRESS(B50,1,1,1,"all_city_parameter_inputs"))), All_city_list!F49,INDIRECT(ADDRESS(B50,1,1,1,"all_city_parameter_inputs"))))</f>
        <v/>
      </c>
      <c r="G50" s="27" t="str">
        <f aca="true" t="array" ref="G50:G50">IF(AND(ISBLANK(INDIRECT(ADDRESS(B50,3,1,1,"all_city_parameter_inputs"))),ISBLANK(INDIRECT(ADDRESS(B50,2,1,1,"all_city_parameter_inputs")))),"",IF(ISBLANK(INDIRECT(ADDRESS(B50,2,1,1,"all_city_parameter_inputs"))),"",INDIRECT(ADDRESS(B50,2,1,1,"all_city_parameter_inputs"))))</f>
        <v/>
      </c>
      <c r="H50" s="28" t="str">
        <f aca="true" t="array" ref="H50:H50">IF(ISBLANK(INDIRECT(ADDRESS(B50,A50,1,1,"all_city_parameter_inputs"))), "--",INDIRECT(ADDRESS(B50,A50,1,1,"all_city_parameter_inputs")))</f>
        <v>--</v>
      </c>
      <c r="I50" s="28" t="e">
        <f aca="false">IF(OR(G50="alpha",G50="beta",G50="sd",G50="mean"),"--",VLOOKUP(C50,Default!$B$5:$H$114,7,FALSE()))</f>
        <v>#N/A</v>
      </c>
      <c r="J50" s="27" t="e">
        <f aca="false">VLOOKUP(F50,Lookup!$C$5:$D$110,2, FALSE())</f>
        <v>#N/A</v>
      </c>
      <c r="K50" s="27" t="e">
        <f aca="false">VLOOKUP(C50,Default!$B$4:$E$114,4, FALSE())</f>
        <v>#N/A</v>
      </c>
      <c r="L50" s="24" t="s">
        <v>127</v>
      </c>
      <c r="M50" s="25"/>
      <c r="N50" s="25"/>
    </row>
    <row r="51" customFormat="false" ht="15" hidden="false" customHeight="false" outlineLevel="0" collapsed="false">
      <c r="A51" s="21" t="n">
        <v>3</v>
      </c>
      <c r="B51" s="21" t="n">
        <v>49</v>
      </c>
      <c r="C51" s="21" t="str">
        <f aca="false">IF(G51 = "",F51,IF(OR(G51="alpha",G51="beta",G51="constant",G51="sd",G51="mean",G51="sample"),F51,F51&amp;" "&amp;G51))</f>
        <v/>
      </c>
      <c r="D51" s="21" t="str">
        <f aca="false">F51&amp;"_"&amp;E51</f>
        <v>_bogota</v>
      </c>
      <c r="E51" s="27" t="str">
        <f aca="true" t="array" ref="E51:E51">INDIRECT(ADDRESS(1,A51,1,1,"all_city_parameter_inputs"))</f>
        <v>bogota</v>
      </c>
      <c r="F51" s="27" t="str">
        <f aca="true" t="array" ref="F51:F51">IF(AND(ISBLANK(INDIRECT(ADDRESS(B51,2,1,1,"all_city_parameter_inputs"))), ISBLANK(INDIRECT(ADDRESS(B51,1,1,1,"all_city_parameter_inputs")))), "", IF(ISBLANK(INDIRECT(ADDRESS(B51,1,1,1,"all_city_parameter_inputs"))), All_city_list!F50,INDIRECT(ADDRESS(B51,1,1,1,"all_city_parameter_inputs"))))</f>
        <v/>
      </c>
      <c r="G51" s="27" t="str">
        <f aca="true" t="array" ref="G51:G51">IF(AND(ISBLANK(INDIRECT(ADDRESS(B51,3,1,1,"all_city_parameter_inputs"))),ISBLANK(INDIRECT(ADDRESS(B51,2,1,1,"all_city_parameter_inputs")))),"",IF(ISBLANK(INDIRECT(ADDRESS(B51,2,1,1,"all_city_parameter_inputs"))),"",INDIRECT(ADDRESS(B51,2,1,1,"all_city_parameter_inputs"))))</f>
        <v/>
      </c>
      <c r="H51" s="28" t="str">
        <f aca="true" t="array" ref="H51:H51">IF(ISBLANK(INDIRECT(ADDRESS(B51,A51,1,1,"all_city_parameter_inputs"))), "--",INDIRECT(ADDRESS(B51,A51,1,1,"all_city_parameter_inputs")))</f>
        <v>--</v>
      </c>
      <c r="I51" s="28" t="e">
        <f aca="false">IF(OR(G51="alpha",G51="beta",G51="sd",G51="mean"),"--",VLOOKUP(C51,Default!$B$5:$H$114,7,FALSE()))</f>
        <v>#N/A</v>
      </c>
      <c r="J51" s="27" t="e">
        <f aca="false">VLOOKUP(F51,Lookup!$C$5:$D$110,2, FALSE())</f>
        <v>#N/A</v>
      </c>
      <c r="K51" s="27" t="e">
        <f aca="false">VLOOKUP(C51,Default!$B$4:$E$114,4, FALSE())</f>
        <v>#N/A</v>
      </c>
      <c r="L51" s="24" t="s">
        <v>128</v>
      </c>
      <c r="M51" s="25" t="s">
        <v>129</v>
      </c>
      <c r="N51" s="25"/>
    </row>
    <row r="52" customFormat="false" ht="15" hidden="false" customHeight="false" outlineLevel="0" collapsed="false">
      <c r="A52" s="21" t="n">
        <v>3</v>
      </c>
      <c r="B52" s="21" t="n">
        <v>50</v>
      </c>
      <c r="C52" s="21" t="str">
        <f aca="false">IF(G52 = "",F52,IF(OR(G52="alpha",G52="beta",G52="constant",G52="sd",G52="mean",G52="sample"),F52,F52&amp;" "&amp;G52))</f>
        <v/>
      </c>
      <c r="D52" s="21" t="str">
        <f aca="false">F52&amp;"_"&amp;E52</f>
        <v>_bogota</v>
      </c>
      <c r="E52" s="27" t="str">
        <f aca="true" t="array" ref="E52:E52">INDIRECT(ADDRESS(1,A52,1,1,"all_city_parameter_inputs"))</f>
        <v>bogota</v>
      </c>
      <c r="F52" s="27" t="str">
        <f aca="true" t="array" ref="F52:F52">IF(AND(ISBLANK(INDIRECT(ADDRESS(B52,2,1,1,"all_city_parameter_inputs"))), ISBLANK(INDIRECT(ADDRESS(B52,1,1,1,"all_city_parameter_inputs")))), "", IF(ISBLANK(INDIRECT(ADDRESS(B52,1,1,1,"all_city_parameter_inputs"))), All_city_list!F51,INDIRECT(ADDRESS(B52,1,1,1,"all_city_parameter_inputs"))))</f>
        <v/>
      </c>
      <c r="G52" s="27" t="str">
        <f aca="true" t="array" ref="G52:G52">IF(AND(ISBLANK(INDIRECT(ADDRESS(B52,3,1,1,"all_city_parameter_inputs"))),ISBLANK(INDIRECT(ADDRESS(B52,2,1,1,"all_city_parameter_inputs")))),"",IF(ISBLANK(INDIRECT(ADDRESS(B52,2,1,1,"all_city_parameter_inputs"))),"",INDIRECT(ADDRESS(B52,2,1,1,"all_city_parameter_inputs"))))</f>
        <v/>
      </c>
      <c r="H52" s="28" t="str">
        <f aca="true" t="array" ref="H52:H52">IF(ISBLANK(INDIRECT(ADDRESS(B52,A52,1,1,"all_city_parameter_inputs"))), "--",INDIRECT(ADDRESS(B52,A52,1,1,"all_city_parameter_inputs")))</f>
        <v>--</v>
      </c>
      <c r="I52" s="28" t="e">
        <f aca="false">IF(OR(G52="alpha",G52="beta",G52="sd",G52="mean"),"--",VLOOKUP(C52,Default!$B$5:$H$114,7,FALSE()))</f>
        <v>#N/A</v>
      </c>
      <c r="J52" s="27" t="e">
        <f aca="false">VLOOKUP(F52,Lookup!$C$5:$D$110,2, FALSE())</f>
        <v>#N/A</v>
      </c>
      <c r="K52" s="27" t="e">
        <f aca="false">VLOOKUP(C52,Default!$B$4:$E$114,4, FALSE())</f>
        <v>#N/A</v>
      </c>
      <c r="L52" s="25" t="str">
        <f aca="true">IF(ISNA(VLOOKUP($D52,Grouped_Sources!$C:$C,1,FALSE())),"", INDIRECT(VLOOKUP($D52,Grouped_Sources!$C:$I,5,FALSE())))</f>
        <v/>
      </c>
      <c r="M52" s="25" t="str">
        <f aca="true">IF(ISNA(VLOOKUP($D52,Grouped_Sources!$C:$C,1,FALSE())),"", INDIRECT(VLOOKUP($D52,Grouped_Sources!$C:$I,6,FALSE())))</f>
        <v/>
      </c>
      <c r="N52" s="25" t="str">
        <f aca="true">IF(ISNA(VLOOKUP($D52,Grouped_Sources!$C:$C,1,FALSE())),"", INDIRECT(VLOOKUP($D52,Grouped_Sources!$C:$I,7,FALSE())))</f>
        <v/>
      </c>
    </row>
    <row r="53" customFormat="false" ht="15" hidden="false" customHeight="false" outlineLevel="0" collapsed="false">
      <c r="A53" s="21" t="n">
        <v>3</v>
      </c>
      <c r="B53" s="21" t="n">
        <v>51</v>
      </c>
      <c r="C53" s="21" t="str">
        <f aca="false">IF(G53 = "",F53,IF(OR(G53="alpha",G53="beta",G53="constant",G53="sd",G53="mean",G53="sample"),F53,F53&amp;" "&amp;G53))</f>
        <v/>
      </c>
      <c r="D53" s="21" t="str">
        <f aca="false">F53&amp;"_"&amp;E53</f>
        <v>_bogota</v>
      </c>
      <c r="E53" s="27" t="str">
        <f aca="true" t="array" ref="E53:E53">INDIRECT(ADDRESS(1,A53,1,1,"all_city_parameter_inputs"))</f>
        <v>bogota</v>
      </c>
      <c r="F53" s="27" t="str">
        <f aca="true" t="array" ref="F53:F53">IF(AND(ISBLANK(INDIRECT(ADDRESS(B53,2,1,1,"all_city_parameter_inputs"))), ISBLANK(INDIRECT(ADDRESS(B53,1,1,1,"all_city_parameter_inputs")))), "", IF(ISBLANK(INDIRECT(ADDRESS(B53,1,1,1,"all_city_parameter_inputs"))), All_city_list!F52,INDIRECT(ADDRESS(B53,1,1,1,"all_city_parameter_inputs"))))</f>
        <v/>
      </c>
      <c r="G53" s="27" t="str">
        <f aca="true" t="array" ref="G53:G53">IF(AND(ISBLANK(INDIRECT(ADDRESS(B53,3,1,1,"all_city_parameter_inputs"))),ISBLANK(INDIRECT(ADDRESS(B53,2,1,1,"all_city_parameter_inputs")))),"",IF(ISBLANK(INDIRECT(ADDRESS(B53,2,1,1,"all_city_parameter_inputs"))),"",INDIRECT(ADDRESS(B53,2,1,1,"all_city_parameter_inputs"))))</f>
        <v/>
      </c>
      <c r="H53" s="28" t="str">
        <f aca="true" t="array" ref="H53:H53">IF(ISBLANK(INDIRECT(ADDRESS(B53,A53,1,1,"all_city_parameter_inputs"))), "--",INDIRECT(ADDRESS(B53,A53,1,1,"all_city_parameter_inputs")))</f>
        <v>--</v>
      </c>
      <c r="I53" s="28" t="e">
        <f aca="false">IF(OR(G53="alpha",G53="beta",G53="sd",G53="mean"),"--",VLOOKUP(C53,Default!$B$5:$H$114,7,FALSE()))</f>
        <v>#N/A</v>
      </c>
      <c r="J53" s="27" t="e">
        <f aca="false">VLOOKUP(F53,Lookup!$C$5:$D$110,2, FALSE())</f>
        <v>#N/A</v>
      </c>
      <c r="K53" s="27" t="e">
        <f aca="false">VLOOKUP(C53,Default!$B$4:$E$114,4, FALSE())</f>
        <v>#N/A</v>
      </c>
      <c r="L53" s="25" t="str">
        <f aca="true">IF(ISNA(VLOOKUP($D53,Grouped_Sources!$C:$C,1,FALSE())),"", INDIRECT(VLOOKUP($D53,Grouped_Sources!$C:$I,5,FALSE())))</f>
        <v/>
      </c>
      <c r="M53" s="25" t="str">
        <f aca="true">IF(ISNA(VLOOKUP($D53,Grouped_Sources!$C:$C,1,FALSE())),"", INDIRECT(VLOOKUP($D53,Grouped_Sources!$C:$I,6,FALSE())))</f>
        <v/>
      </c>
      <c r="N53" s="25" t="str">
        <f aca="true">IF(ISNA(VLOOKUP($D53,Grouped_Sources!$C:$C,1,FALSE())),"", INDIRECT(VLOOKUP($D53,Grouped_Sources!$C:$I,7,FALSE())))</f>
        <v/>
      </c>
    </row>
    <row r="54" customFormat="false" ht="15" hidden="false" customHeight="false" outlineLevel="0" collapsed="false">
      <c r="A54" s="21" t="n">
        <v>3</v>
      </c>
      <c r="B54" s="21" t="n">
        <v>52</v>
      </c>
      <c r="C54" s="21" t="str">
        <f aca="false">IF(G54 = "",F54,IF(OR(G54="alpha",G54="beta",G54="constant",G54="sd",G54="mean",G54="sample"),F54,F54&amp;" "&amp;G54))</f>
        <v/>
      </c>
      <c r="D54" s="21" t="str">
        <f aca="false">F54&amp;"_"&amp;E54</f>
        <v>_bogota</v>
      </c>
      <c r="E54" s="27" t="str">
        <f aca="true" t="array" ref="E54:E54">INDIRECT(ADDRESS(1,A54,1,1,"all_city_parameter_inputs"))</f>
        <v>bogota</v>
      </c>
      <c r="F54" s="27" t="str">
        <f aca="true" t="array" ref="F54:F54">IF(AND(ISBLANK(INDIRECT(ADDRESS(B54,2,1,1,"all_city_parameter_inputs"))), ISBLANK(INDIRECT(ADDRESS(B54,1,1,1,"all_city_parameter_inputs")))), "", IF(ISBLANK(INDIRECT(ADDRESS(B54,1,1,1,"all_city_parameter_inputs"))), All_city_list!F53,INDIRECT(ADDRESS(B54,1,1,1,"all_city_parameter_inputs"))))</f>
        <v/>
      </c>
      <c r="G54" s="27" t="str">
        <f aca="true" t="array" ref="G54:G54">IF(AND(ISBLANK(INDIRECT(ADDRESS(B54,3,1,1,"all_city_parameter_inputs"))),ISBLANK(INDIRECT(ADDRESS(B54,2,1,1,"all_city_parameter_inputs")))),"",IF(ISBLANK(INDIRECT(ADDRESS(B54,2,1,1,"all_city_parameter_inputs"))),"",INDIRECT(ADDRESS(B54,2,1,1,"all_city_parameter_inputs"))))</f>
        <v/>
      </c>
      <c r="H54" s="28" t="str">
        <f aca="true" t="array" ref="H54:H54">IF(ISBLANK(INDIRECT(ADDRESS(B54,A54,1,1,"all_city_parameter_inputs"))), "--",INDIRECT(ADDRESS(B54,A54,1,1,"all_city_parameter_inputs")))</f>
        <v>--</v>
      </c>
      <c r="I54" s="28" t="e">
        <f aca="false">IF(OR(G54="alpha",G54="beta",G54="sd",G54="mean"),"--",VLOOKUP(C54,Default!$B$5:$H$114,7,FALSE()))</f>
        <v>#N/A</v>
      </c>
      <c r="J54" s="27" t="e">
        <f aca="false">VLOOKUP(F54,Lookup!$C$5:$D$110,2, FALSE())</f>
        <v>#N/A</v>
      </c>
      <c r="K54" s="27" t="e">
        <f aca="false">VLOOKUP(C54,Default!$B$4:$E$114,4, FALSE())</f>
        <v>#N/A</v>
      </c>
      <c r="L54" s="24" t="s">
        <v>130</v>
      </c>
      <c r="M54" s="25"/>
      <c r="N54" s="25"/>
    </row>
    <row r="55" customFormat="false" ht="15" hidden="false" customHeight="false" outlineLevel="0" collapsed="false">
      <c r="A55" s="21" t="n">
        <v>3</v>
      </c>
      <c r="B55" s="21" t="n">
        <v>53</v>
      </c>
      <c r="C55" s="21" t="str">
        <f aca="false">IF(G55 = "",F55,IF(OR(G55="alpha",G55="beta",G55="constant",G55="sd",G55="mean",G55="sample"),F55,F55&amp;" "&amp;G55))</f>
        <v/>
      </c>
      <c r="D55" s="21" t="str">
        <f aca="false">F55&amp;"_"&amp;E55</f>
        <v>_bogota</v>
      </c>
      <c r="E55" s="27" t="str">
        <f aca="true" t="array" ref="E55:E55">INDIRECT(ADDRESS(1,A55,1,1,"all_city_parameter_inputs"))</f>
        <v>bogota</v>
      </c>
      <c r="F55" s="27" t="str">
        <f aca="true" t="array" ref="F55:F55">IF(AND(ISBLANK(INDIRECT(ADDRESS(B55,2,1,1,"all_city_parameter_inputs"))), ISBLANK(INDIRECT(ADDRESS(B55,1,1,1,"all_city_parameter_inputs")))), "", IF(ISBLANK(INDIRECT(ADDRESS(B55,1,1,1,"all_city_parameter_inputs"))), All_city_list!F54,INDIRECT(ADDRESS(B55,1,1,1,"all_city_parameter_inputs"))))</f>
        <v/>
      </c>
      <c r="G55" s="27" t="str">
        <f aca="true" t="array" ref="G55:G55">IF(AND(ISBLANK(INDIRECT(ADDRESS(B55,3,1,1,"all_city_parameter_inputs"))),ISBLANK(INDIRECT(ADDRESS(B55,2,1,1,"all_city_parameter_inputs")))),"",IF(ISBLANK(INDIRECT(ADDRESS(B55,2,1,1,"all_city_parameter_inputs"))),"",INDIRECT(ADDRESS(B55,2,1,1,"all_city_parameter_inputs"))))</f>
        <v/>
      </c>
      <c r="H55" s="28" t="str">
        <f aca="true" t="array" ref="H55:H55">IF(ISBLANK(INDIRECT(ADDRESS(B55,A55,1,1,"all_city_parameter_inputs"))), "--",INDIRECT(ADDRESS(B55,A55,1,1,"all_city_parameter_inputs")))</f>
        <v>--</v>
      </c>
      <c r="I55" s="28" t="e">
        <f aca="false">IF(OR(G55="alpha",G55="beta",G55="sd",G55="mean"),"--",VLOOKUP(C55,Default!$B$5:$H$114,7,FALSE()))</f>
        <v>#N/A</v>
      </c>
      <c r="J55" s="27" t="e">
        <f aca="false">VLOOKUP(F55,Lookup!$C$5:$D$110,2, FALSE())</f>
        <v>#N/A</v>
      </c>
      <c r="K55" s="27" t="e">
        <f aca="false">VLOOKUP(C55,Default!$B$4:$E$114,4, FALSE())</f>
        <v>#N/A</v>
      </c>
      <c r="L55" s="24" t="s">
        <v>131</v>
      </c>
      <c r="M55" s="25"/>
      <c r="N55" s="25"/>
    </row>
    <row r="56" customFormat="false" ht="105.95" hidden="false" customHeight="false" outlineLevel="0" collapsed="false">
      <c r="A56" s="21" t="n">
        <v>3</v>
      </c>
      <c r="B56" s="21" t="n">
        <v>54</v>
      </c>
      <c r="C56" s="21" t="str">
        <f aca="false">IF(G56 = "",F56,IF(OR(G56="alpha",G56="beta",G56="constant",G56="sd",G56="mean",G56="sample"),F56,F56&amp;" "&amp;G56))</f>
        <v/>
      </c>
      <c r="D56" s="21" t="str">
        <f aca="false">F56&amp;"_"&amp;E56</f>
        <v>_bogota</v>
      </c>
      <c r="E56" s="27" t="str">
        <f aca="true" t="array" ref="E56:E56">INDIRECT(ADDRESS(1,A56,1,1,"all_city_parameter_inputs"))</f>
        <v>bogota</v>
      </c>
      <c r="F56" s="27" t="str">
        <f aca="true" t="array" ref="F56:F56">IF(AND(ISBLANK(INDIRECT(ADDRESS(B56,2,1,1,"all_city_parameter_inputs"))), ISBLANK(INDIRECT(ADDRESS(B56,1,1,1,"all_city_parameter_inputs")))), "", IF(ISBLANK(INDIRECT(ADDRESS(B56,1,1,1,"all_city_parameter_inputs"))), All_city_list!F55,INDIRECT(ADDRESS(B56,1,1,1,"all_city_parameter_inputs"))))</f>
        <v/>
      </c>
      <c r="G56" s="27" t="str">
        <f aca="true" t="array" ref="G56:G56">IF(AND(ISBLANK(INDIRECT(ADDRESS(B56,3,1,1,"all_city_parameter_inputs"))),ISBLANK(INDIRECT(ADDRESS(B56,2,1,1,"all_city_parameter_inputs")))),"",IF(ISBLANK(INDIRECT(ADDRESS(B56,2,1,1,"all_city_parameter_inputs"))),"",INDIRECT(ADDRESS(B56,2,1,1,"all_city_parameter_inputs"))))</f>
        <v/>
      </c>
      <c r="H56" s="28" t="str">
        <f aca="true" t="array" ref="H56:H56">IF(ISBLANK(INDIRECT(ADDRESS(B56,A56,1,1,"all_city_parameter_inputs"))), "--",INDIRECT(ADDRESS(B56,A56,1,1,"all_city_parameter_inputs")))</f>
        <v>--</v>
      </c>
      <c r="I56" s="28" t="e">
        <f aca="false">IF(OR(G56="alpha",G56="beta",G56="sd",G56="mean"),"--",VLOOKUP(C56,Default!$B$5:$H$114,7,FALSE()))</f>
        <v>#N/A</v>
      </c>
      <c r="J56" s="27" t="e">
        <f aca="false">VLOOKUP(F56,Lookup!$C$5:$D$110,2, FALSE())</f>
        <v>#N/A</v>
      </c>
      <c r="K56" s="27" t="e">
        <f aca="false">VLOOKUP(C56,Default!$B$4:$E$114,4, FALSE())</f>
        <v>#N/A</v>
      </c>
      <c r="L56" s="37" t="s">
        <v>132</v>
      </c>
      <c r="M56" s="25" t="s">
        <v>133</v>
      </c>
      <c r="N56" s="25"/>
    </row>
    <row r="57" customFormat="false" ht="15" hidden="false" customHeight="false" outlineLevel="0" collapsed="false">
      <c r="A57" s="21" t="n">
        <v>3</v>
      </c>
      <c r="B57" s="21" t="n">
        <v>55</v>
      </c>
      <c r="C57" s="21" t="str">
        <f aca="false">IF(G57 = "",F57,IF(OR(G57="alpha",G57="beta",G57="constant",G57="sd",G57="mean",G57="sample"),F57,F57&amp;" "&amp;G57))</f>
        <v/>
      </c>
      <c r="D57" s="21" t="str">
        <f aca="false">F57&amp;"_"&amp;E57</f>
        <v>_bogota</v>
      </c>
      <c r="E57" s="27" t="str">
        <f aca="true" t="array" ref="E57:E57">INDIRECT(ADDRESS(1,A57,1,1,"all_city_parameter_inputs"))</f>
        <v>bogota</v>
      </c>
      <c r="F57" s="27" t="str">
        <f aca="true" t="array" ref="F57:F57">IF(AND(ISBLANK(INDIRECT(ADDRESS(B57,2,1,1,"all_city_parameter_inputs"))), ISBLANK(INDIRECT(ADDRESS(B57,1,1,1,"all_city_parameter_inputs")))), "", IF(ISBLANK(INDIRECT(ADDRESS(B57,1,1,1,"all_city_parameter_inputs"))), All_city_list!F56,INDIRECT(ADDRESS(B57,1,1,1,"all_city_parameter_inputs"))))</f>
        <v/>
      </c>
      <c r="G57" s="27" t="str">
        <f aca="true" t="array" ref="G57:G57">IF(AND(ISBLANK(INDIRECT(ADDRESS(B57,3,1,1,"all_city_parameter_inputs"))),ISBLANK(INDIRECT(ADDRESS(B57,2,1,1,"all_city_parameter_inputs")))),"",IF(ISBLANK(INDIRECT(ADDRESS(B57,2,1,1,"all_city_parameter_inputs"))),"",INDIRECT(ADDRESS(B57,2,1,1,"all_city_parameter_inputs"))))</f>
        <v/>
      </c>
      <c r="H57" s="28" t="str">
        <f aca="true" t="array" ref="H57:H57">IF(ISBLANK(INDIRECT(ADDRESS(B57,A57,1,1,"all_city_parameter_inputs"))), "--",INDIRECT(ADDRESS(B57,A57,1,1,"all_city_parameter_inputs")))</f>
        <v>--</v>
      </c>
      <c r="I57" s="28" t="e">
        <f aca="false">IF(OR(G57="alpha",G57="beta",G57="sd",G57="mean"),"--",VLOOKUP(C57,Default!$B$5:$H$114,7,FALSE()))</f>
        <v>#N/A</v>
      </c>
      <c r="J57" s="27" t="e">
        <f aca="false">VLOOKUP(F57,Lookup!$C$5:$D$110,2, FALSE())</f>
        <v>#N/A</v>
      </c>
      <c r="K57" s="27" t="e">
        <f aca="false">VLOOKUP(C57,Default!$B$4:$E$114,4, FALSE())</f>
        <v>#N/A</v>
      </c>
      <c r="L57" s="25" t="str">
        <f aca="true">IF(ISNA(VLOOKUP($D57,Grouped_Sources!$C:$C,1,FALSE())),"", INDIRECT(VLOOKUP($D57,Grouped_Sources!$C:$I,5,FALSE())))</f>
        <v/>
      </c>
      <c r="M57" s="25" t="str">
        <f aca="true">IF(ISNA(VLOOKUP($D57,Grouped_Sources!$C:$C,1,FALSE())),"", INDIRECT(VLOOKUP($D57,Grouped_Sources!$C:$I,6,FALSE())))</f>
        <v/>
      </c>
      <c r="N57" s="25" t="str">
        <f aca="true">IF(ISNA(VLOOKUP($D57,Grouped_Sources!$C:$C,1,FALSE())),"", INDIRECT(VLOOKUP($D57,Grouped_Sources!$C:$I,7,FALSE())))</f>
        <v/>
      </c>
    </row>
    <row r="58" customFormat="false" ht="15" hidden="false" customHeight="false" outlineLevel="0" collapsed="false">
      <c r="A58" s="21" t="n">
        <v>3</v>
      </c>
      <c r="B58" s="21" t="n">
        <v>56</v>
      </c>
      <c r="C58" s="21" t="str">
        <f aca="false">IF(G58 = "",F58,IF(OR(G58="alpha",G58="beta",G58="constant",G58="sd",G58="mean",G58="sample"),F58,F58&amp;" "&amp;G58))</f>
        <v/>
      </c>
      <c r="D58" s="21" t="str">
        <f aca="false">F58&amp;"_"&amp;E58</f>
        <v>_bogota</v>
      </c>
      <c r="E58" s="27" t="str">
        <f aca="true" t="array" ref="E58:E58">INDIRECT(ADDRESS(1,A58,1,1,"all_city_parameter_inputs"))</f>
        <v>bogota</v>
      </c>
      <c r="F58" s="27" t="str">
        <f aca="true" t="array" ref="F58:F58">IF(AND(ISBLANK(INDIRECT(ADDRESS(B58,2,1,1,"all_city_parameter_inputs"))), ISBLANK(INDIRECT(ADDRESS(B58,1,1,1,"all_city_parameter_inputs")))), "", IF(ISBLANK(INDIRECT(ADDRESS(B58,1,1,1,"all_city_parameter_inputs"))), All_city_list!F57,INDIRECT(ADDRESS(B58,1,1,1,"all_city_parameter_inputs"))))</f>
        <v/>
      </c>
      <c r="G58" s="27" t="str">
        <f aca="true" t="array" ref="G58:G58">IF(AND(ISBLANK(INDIRECT(ADDRESS(B58,3,1,1,"all_city_parameter_inputs"))),ISBLANK(INDIRECT(ADDRESS(B58,2,1,1,"all_city_parameter_inputs")))),"",IF(ISBLANK(INDIRECT(ADDRESS(B58,2,1,1,"all_city_parameter_inputs"))),"",INDIRECT(ADDRESS(B58,2,1,1,"all_city_parameter_inputs"))))</f>
        <v/>
      </c>
      <c r="H58" s="28" t="str">
        <f aca="true" t="array" ref="H58:H58">IF(ISBLANK(INDIRECT(ADDRESS(B58,A58,1,1,"all_city_parameter_inputs"))), "--",INDIRECT(ADDRESS(B58,A58,1,1,"all_city_parameter_inputs")))</f>
        <v>--</v>
      </c>
      <c r="I58" s="28" t="e">
        <f aca="false">IF(OR(G58="alpha",G58="beta",G58="sd",G58="mean"),"--",VLOOKUP(C58,Default!$B$5:$H$114,7,FALSE()))</f>
        <v>#N/A</v>
      </c>
      <c r="J58" s="27" t="e">
        <f aca="false">VLOOKUP(F58,Lookup!$C$5:$D$110,2, FALSE())</f>
        <v>#N/A</v>
      </c>
      <c r="K58" s="27" t="e">
        <f aca="false">VLOOKUP(C58,Default!$B$4:$E$114,4, FALSE())</f>
        <v>#N/A</v>
      </c>
      <c r="L58" s="25" t="str">
        <f aca="true">IF(ISNA(VLOOKUP($D58,Grouped_Sources!$C:$C,1,FALSE())),"", INDIRECT(VLOOKUP($D58,Grouped_Sources!$C:$I,5,FALSE())))</f>
        <v/>
      </c>
      <c r="M58" s="25" t="str">
        <f aca="true">IF(ISNA(VLOOKUP($D58,Grouped_Sources!$C:$C,1,FALSE())),"", INDIRECT(VLOOKUP($D58,Grouped_Sources!$C:$I,6,FALSE())))</f>
        <v/>
      </c>
      <c r="N58" s="25" t="str">
        <f aca="true">IF(ISNA(VLOOKUP($D58,Grouped_Sources!$C:$C,1,FALSE())),"", INDIRECT(VLOOKUP($D58,Grouped_Sources!$C:$I,7,FALSE())))</f>
        <v/>
      </c>
    </row>
    <row r="59" customFormat="false" ht="165.65" hidden="false" customHeight="false" outlineLevel="0" collapsed="false">
      <c r="A59" s="21" t="n">
        <v>3</v>
      </c>
      <c r="B59" s="21" t="n">
        <v>57</v>
      </c>
      <c r="C59" s="21" t="str">
        <f aca="false">IF(G59 = "",F59,IF(OR(G59="alpha",G59="beta",G59="constant",G59="sd",G59="mean",G59="sample"),F59,F59&amp;" "&amp;G59))</f>
        <v/>
      </c>
      <c r="D59" s="21" t="str">
        <f aca="false">F59&amp;"_"&amp;E59</f>
        <v>_bogota</v>
      </c>
      <c r="E59" s="27" t="str">
        <f aca="true" t="array" ref="E59:E59">INDIRECT(ADDRESS(1,A59,1,1,"all_city_parameter_inputs"))</f>
        <v>bogota</v>
      </c>
      <c r="F59" s="27" t="str">
        <f aca="true" t="array" ref="F59:F59">IF(AND(ISBLANK(INDIRECT(ADDRESS(B59,2,1,1,"all_city_parameter_inputs"))), ISBLANK(INDIRECT(ADDRESS(B59,1,1,1,"all_city_parameter_inputs")))), "", IF(ISBLANK(INDIRECT(ADDRESS(B59,1,1,1,"all_city_parameter_inputs"))), All_city_list!F58,INDIRECT(ADDRESS(B59,1,1,1,"all_city_parameter_inputs"))))</f>
        <v/>
      </c>
      <c r="G59" s="27" t="str">
        <f aca="true" t="array" ref="G59:G59">IF(AND(ISBLANK(INDIRECT(ADDRESS(B59,3,1,1,"all_city_parameter_inputs"))),ISBLANK(INDIRECT(ADDRESS(B59,2,1,1,"all_city_parameter_inputs")))),"",IF(ISBLANK(INDIRECT(ADDRESS(B59,2,1,1,"all_city_parameter_inputs"))),"",INDIRECT(ADDRESS(B59,2,1,1,"all_city_parameter_inputs"))))</f>
        <v/>
      </c>
      <c r="H59" s="28" t="str">
        <f aca="true" t="array" ref="H59:H59">IF(ISBLANK(INDIRECT(ADDRESS(B59,A59,1,1,"all_city_parameter_inputs"))), "--",INDIRECT(ADDRESS(B59,A59,1,1,"all_city_parameter_inputs")))</f>
        <v>--</v>
      </c>
      <c r="I59" s="28" t="e">
        <f aca="false">IF(OR(G59="alpha",G59="beta",G59="sd",G59="mean"),"--",VLOOKUP(C59,Default!$B$5:$H$114,7,FALSE()))</f>
        <v>#N/A</v>
      </c>
      <c r="J59" s="27" t="e">
        <f aca="false">VLOOKUP(F59,Lookup!$C$5:$D$110,2, FALSE())</f>
        <v>#N/A</v>
      </c>
      <c r="K59" s="27" t="e">
        <f aca="false">VLOOKUP(C59,Default!$B$4:$E$114,4, FALSE())</f>
        <v>#N/A</v>
      </c>
      <c r="L59" s="37" t="s">
        <v>134</v>
      </c>
      <c r="M59" s="25" t="s">
        <v>135</v>
      </c>
      <c r="N59" s="25"/>
    </row>
    <row r="60" customFormat="false" ht="15" hidden="false" customHeight="false" outlineLevel="0" collapsed="false">
      <c r="A60" s="21" t="n">
        <v>3</v>
      </c>
      <c r="B60" s="21" t="n">
        <v>58</v>
      </c>
      <c r="C60" s="21" t="str">
        <f aca="false">IF(G60 = "",F60,IF(OR(G60="alpha",G60="beta",G60="constant",G60="sd",G60="mean",G60="sample"),F60,F60&amp;" "&amp;G60))</f>
        <v/>
      </c>
      <c r="D60" s="21" t="str">
        <f aca="false">F60&amp;"_"&amp;E60</f>
        <v>_bogota</v>
      </c>
      <c r="E60" s="27" t="str">
        <f aca="true" t="array" ref="E60:E60">INDIRECT(ADDRESS(1,A60,1,1,"all_city_parameter_inputs"))</f>
        <v>bogota</v>
      </c>
      <c r="F60" s="27" t="str">
        <f aca="true" t="array" ref="F60:F60">IF(AND(ISBLANK(INDIRECT(ADDRESS(B60,2,1,1,"all_city_parameter_inputs"))), ISBLANK(INDIRECT(ADDRESS(B60,1,1,1,"all_city_parameter_inputs")))), "", IF(ISBLANK(INDIRECT(ADDRESS(B60,1,1,1,"all_city_parameter_inputs"))), All_city_list!F59,INDIRECT(ADDRESS(B60,1,1,1,"all_city_parameter_inputs"))))</f>
        <v/>
      </c>
      <c r="G60" s="27" t="str">
        <f aca="true" t="array" ref="G60:G60">IF(AND(ISBLANK(INDIRECT(ADDRESS(B60,3,1,1,"all_city_parameter_inputs"))),ISBLANK(INDIRECT(ADDRESS(B60,2,1,1,"all_city_parameter_inputs")))),"",IF(ISBLANK(INDIRECT(ADDRESS(B60,2,1,1,"all_city_parameter_inputs"))),"",INDIRECT(ADDRESS(B60,2,1,1,"all_city_parameter_inputs"))))</f>
        <v/>
      </c>
      <c r="H60" s="28" t="str">
        <f aca="true" t="array" ref="H60:H60">IF(ISBLANK(INDIRECT(ADDRESS(B60,A60,1,1,"all_city_parameter_inputs"))), "--",INDIRECT(ADDRESS(B60,A60,1,1,"all_city_parameter_inputs")))</f>
        <v>--</v>
      </c>
      <c r="I60" s="28" t="e">
        <f aca="false">IF(OR(G60="alpha",G60="beta",G60="sd",G60="mean"),"--",VLOOKUP(C60,Default!$B$5:$H$114,7,FALSE()))</f>
        <v>#N/A</v>
      </c>
      <c r="J60" s="27" t="e">
        <f aca="false">VLOOKUP(F60,Lookup!$C$5:$D$110,2, FALSE())</f>
        <v>#N/A</v>
      </c>
      <c r="K60" s="27" t="e">
        <f aca="false">VLOOKUP(C60,Default!$B$4:$E$114,4, FALSE())</f>
        <v>#N/A</v>
      </c>
      <c r="L60" s="25" t="str">
        <f aca="true">IF(ISNA(VLOOKUP($D60,Grouped_Sources!$C:$C,1,FALSE())),"", INDIRECT(VLOOKUP($D60,Grouped_Sources!$C:$I,5,FALSE())))</f>
        <v/>
      </c>
      <c r="M60" s="25" t="str">
        <f aca="true">IF(ISNA(VLOOKUP($D60,Grouped_Sources!$C:$C,1,FALSE())),"", INDIRECT(VLOOKUP($D60,Grouped_Sources!$C:$I,6,FALSE())))</f>
        <v/>
      </c>
      <c r="N60" s="25" t="str">
        <f aca="true" t="array" ref="N60:N60">IF(ISNA(VLOOKUP($D60,Grouped_Sources!$C:$C,1,FALSE())),"", INDIRECT(VLOOKUP($D60,Grouped_Sources!$C:$I,7,FALSE())))</f>
        <v/>
      </c>
    </row>
    <row r="61" customFormat="false" ht="15" hidden="false" customHeight="false" outlineLevel="0" collapsed="false">
      <c r="A61" s="21" t="n">
        <v>3</v>
      </c>
      <c r="B61" s="21" t="n">
        <v>59</v>
      </c>
      <c r="C61" s="21" t="str">
        <f aca="false">IF(G61 = "",F61,IF(OR(G61="alpha",G61="beta",G61="constant",G61="sd",G61="mean",G61="sample"),F61,F61&amp;" "&amp;G61))</f>
        <v/>
      </c>
      <c r="D61" s="21" t="str">
        <f aca="false">F61&amp;"_"&amp;E61</f>
        <v>_bogota</v>
      </c>
      <c r="E61" s="27" t="str">
        <f aca="true" t="array" ref="E61:E61">INDIRECT(ADDRESS(1,A61,1,1,"all_city_parameter_inputs"))</f>
        <v>bogota</v>
      </c>
      <c r="F61" s="27" t="str">
        <f aca="true" t="array" ref="F61:F61">IF(AND(ISBLANK(INDIRECT(ADDRESS(B61,2,1,1,"all_city_parameter_inputs"))), ISBLANK(INDIRECT(ADDRESS(B61,1,1,1,"all_city_parameter_inputs")))), "", IF(ISBLANK(INDIRECT(ADDRESS(B61,1,1,1,"all_city_parameter_inputs"))), All_city_list!F60,INDIRECT(ADDRESS(B61,1,1,1,"all_city_parameter_inputs"))))</f>
        <v/>
      </c>
      <c r="G61" s="27" t="str">
        <f aca="true" t="array" ref="G61:G61">IF(AND(ISBLANK(INDIRECT(ADDRESS(B61,3,1,1,"all_city_parameter_inputs"))),ISBLANK(INDIRECT(ADDRESS(B61,2,1,1,"all_city_parameter_inputs")))),"",IF(ISBLANK(INDIRECT(ADDRESS(B61,2,1,1,"all_city_parameter_inputs"))),"",INDIRECT(ADDRESS(B61,2,1,1,"all_city_parameter_inputs"))))</f>
        <v/>
      </c>
      <c r="H61" s="28" t="str">
        <f aca="true" t="array" ref="H61:H61">IF(ISBLANK(INDIRECT(ADDRESS(B61,A61,1,1,"all_city_parameter_inputs"))), "--",INDIRECT(ADDRESS(B61,A61,1,1,"all_city_parameter_inputs")))</f>
        <v>--</v>
      </c>
      <c r="I61" s="28" t="e">
        <f aca="false">IF(OR(G61="alpha",G61="beta",G61="sd",G61="mean"),"--",VLOOKUP(C61,Default!$B$5:$H$114,7,FALSE()))</f>
        <v>#N/A</v>
      </c>
      <c r="J61" s="27" t="e">
        <f aca="false">VLOOKUP(F61,Lookup!$C$5:$D$110,2, FALSE())</f>
        <v>#N/A</v>
      </c>
      <c r="K61" s="27" t="e">
        <f aca="false">VLOOKUP(C61,Default!$B$4:$E$114,4, FALSE())</f>
        <v>#N/A</v>
      </c>
      <c r="L61" s="25" t="str">
        <f aca="true">IF(ISNA(VLOOKUP(D61,Grouped_Sources!$C:$C,1,FALSE())),"", INDIRECT(VLOOKUP(D61,Grouped_Sources!$C:$G,5,FALSE())))</f>
        <v/>
      </c>
      <c r="M61" s="25"/>
      <c r="N61" s="25"/>
    </row>
    <row r="62" customFormat="false" ht="15" hidden="false" customHeight="false" outlineLevel="0" collapsed="false">
      <c r="A62" s="21" t="n">
        <v>3</v>
      </c>
      <c r="B62" s="21" t="n">
        <v>60</v>
      </c>
      <c r="C62" s="21" t="str">
        <f aca="false">IF(G62 = "",F62,IF(OR(G62="alpha",G62="beta",G62="constant",G62="sd",G62="mean",G62="sample"),F62,F62&amp;" "&amp;G62))</f>
        <v/>
      </c>
      <c r="D62" s="21" t="str">
        <f aca="false">F62&amp;"_"&amp;E62</f>
        <v>_bogota</v>
      </c>
      <c r="E62" s="27" t="str">
        <f aca="true" t="array" ref="E62:E62">INDIRECT(ADDRESS(1,A62,1,1,"all_city_parameter_inputs"))</f>
        <v>bogota</v>
      </c>
      <c r="F62" s="27" t="str">
        <f aca="true" t="array" ref="F62:F62">IF(AND(ISBLANK(INDIRECT(ADDRESS(B62,2,1,1,"all_city_parameter_inputs"))), ISBLANK(INDIRECT(ADDRESS(B62,1,1,1,"all_city_parameter_inputs")))), "", IF(ISBLANK(INDIRECT(ADDRESS(B62,1,1,1,"all_city_parameter_inputs"))), All_city_list!F61,INDIRECT(ADDRESS(B62,1,1,1,"all_city_parameter_inputs"))))</f>
        <v/>
      </c>
      <c r="G62" s="27" t="str">
        <f aca="true" t="array" ref="G62:G62">IF(AND(ISBLANK(INDIRECT(ADDRESS(B62,3,1,1,"all_city_parameter_inputs"))),ISBLANK(INDIRECT(ADDRESS(B62,2,1,1,"all_city_parameter_inputs")))),"",IF(ISBLANK(INDIRECT(ADDRESS(B62,2,1,1,"all_city_parameter_inputs"))),"",INDIRECT(ADDRESS(B62,2,1,1,"all_city_parameter_inputs"))))</f>
        <v/>
      </c>
      <c r="H62" s="28" t="str">
        <f aca="true" t="array" ref="H62:H62">IF(ISBLANK(INDIRECT(ADDRESS(B62,A62,1,1,"all_city_parameter_inputs"))), "--",INDIRECT(ADDRESS(B62,A62,1,1,"all_city_parameter_inputs")))</f>
        <v>--</v>
      </c>
      <c r="I62" s="28" t="e">
        <f aca="false">IF(OR(G62="alpha",G62="beta",G62="sd",G62="mean"),"--",VLOOKUP(C62,Default!$B$5:$H$114,7,FALSE()))</f>
        <v>#N/A</v>
      </c>
      <c r="J62" s="27" t="e">
        <f aca="false">VLOOKUP(F62,Lookup!$C$5:$D$110,2, FALSE())</f>
        <v>#N/A</v>
      </c>
      <c r="K62" s="27" t="e">
        <f aca="false">VLOOKUP(C62,Default!$B$4:$E$114,4, FALSE())</f>
        <v>#N/A</v>
      </c>
      <c r="L62" s="24" t="s">
        <v>130</v>
      </c>
      <c r="M62" s="25"/>
      <c r="N62" s="25"/>
    </row>
    <row r="63" customFormat="false" ht="15" hidden="false" customHeight="false" outlineLevel="0" collapsed="false">
      <c r="A63" s="21" t="n">
        <v>3</v>
      </c>
      <c r="B63" s="21" t="n">
        <v>61</v>
      </c>
      <c r="C63" s="21" t="str">
        <f aca="false">IF(G63 = "",F63,IF(OR(G63="alpha",G63="beta",G63="constant",G63="sd",G63="mean",G63="sample"),F63,F63&amp;" "&amp;G63))</f>
        <v/>
      </c>
      <c r="D63" s="21" t="str">
        <f aca="false">F63&amp;"_"&amp;E63</f>
        <v>_bogota</v>
      </c>
      <c r="E63" s="27" t="str">
        <f aca="true" t="array" ref="E63:E63">INDIRECT(ADDRESS(1,A63,1,1,"all_city_parameter_inputs"))</f>
        <v>bogota</v>
      </c>
      <c r="F63" s="27" t="str">
        <f aca="true" t="array" ref="F63:F63">IF(AND(ISBLANK(INDIRECT(ADDRESS(B63,2,1,1,"all_city_parameter_inputs"))), ISBLANK(INDIRECT(ADDRESS(B63,1,1,1,"all_city_parameter_inputs")))), "", IF(ISBLANK(INDIRECT(ADDRESS(B63,1,1,1,"all_city_parameter_inputs"))), All_city_list!F62,INDIRECT(ADDRESS(B63,1,1,1,"all_city_parameter_inputs"))))</f>
        <v/>
      </c>
      <c r="G63" s="27" t="str">
        <f aca="true" t="array" ref="G63:G63">IF(AND(ISBLANK(INDIRECT(ADDRESS(B63,3,1,1,"all_city_parameter_inputs"))),ISBLANK(INDIRECT(ADDRESS(B63,2,1,1,"all_city_parameter_inputs")))),"",IF(ISBLANK(INDIRECT(ADDRESS(B63,2,1,1,"all_city_parameter_inputs"))),"",INDIRECT(ADDRESS(B63,2,1,1,"all_city_parameter_inputs"))))</f>
        <v/>
      </c>
      <c r="H63" s="28" t="str">
        <f aca="true" t="array" ref="H63:H63">IF(ISBLANK(INDIRECT(ADDRESS(B63,A63,1,1,"all_city_parameter_inputs"))), "--",INDIRECT(ADDRESS(B63,A63,1,1,"all_city_parameter_inputs")))</f>
        <v>--</v>
      </c>
      <c r="I63" s="28" t="e">
        <f aca="false">IF(OR(G63="alpha",G63="beta",G63="sd",G63="mean"),"--",VLOOKUP(C63,Default!$B$5:$H$114,7,FALSE()))</f>
        <v>#N/A</v>
      </c>
      <c r="J63" s="27" t="e">
        <f aca="false">VLOOKUP(F63,Lookup!$C$5:$D$110,2, FALSE())</f>
        <v>#N/A</v>
      </c>
      <c r="K63" s="27" t="e">
        <f aca="false">VLOOKUP(C63,Default!$B$4:$E$114,4, FALSE())</f>
        <v>#N/A</v>
      </c>
      <c r="L63" s="24" t="s">
        <v>136</v>
      </c>
      <c r="M63" s="25"/>
      <c r="N63" s="25"/>
    </row>
    <row r="64" customFormat="false" ht="15" hidden="false" customHeight="false" outlineLevel="0" collapsed="false">
      <c r="A64" s="21" t="n">
        <v>3</v>
      </c>
      <c r="B64" s="21" t="n">
        <v>62</v>
      </c>
      <c r="C64" s="21" t="str">
        <f aca="false">IF(G64 = "",F64,IF(OR(G64="alpha",G64="beta",G64="constant",G64="sd",G64="mean",G64="sample"),F64,F64&amp;" "&amp;G64))</f>
        <v/>
      </c>
      <c r="D64" s="21" t="str">
        <f aca="false">F64&amp;"_"&amp;E64</f>
        <v>_bogota</v>
      </c>
      <c r="E64" s="27" t="str">
        <f aca="true" t="array" ref="E64:E64">INDIRECT(ADDRESS(1,A64,1,1,"all_city_parameter_inputs"))</f>
        <v>bogota</v>
      </c>
      <c r="F64" s="27" t="str">
        <f aca="true" t="array" ref="F64:F64">IF(AND(ISBLANK(INDIRECT(ADDRESS(B64,2,1,1,"all_city_parameter_inputs"))), ISBLANK(INDIRECT(ADDRESS(B64,1,1,1,"all_city_parameter_inputs")))), "", IF(ISBLANK(INDIRECT(ADDRESS(B64,1,1,1,"all_city_parameter_inputs"))), All_city_list!F63,INDIRECT(ADDRESS(B64,1,1,1,"all_city_parameter_inputs"))))</f>
        <v/>
      </c>
      <c r="G64" s="27" t="str">
        <f aca="true" t="array" ref="G64:G64">IF(AND(ISBLANK(INDIRECT(ADDRESS(B64,3,1,1,"all_city_parameter_inputs"))),ISBLANK(INDIRECT(ADDRESS(B64,2,1,1,"all_city_parameter_inputs")))),"",IF(ISBLANK(INDIRECT(ADDRESS(B64,2,1,1,"all_city_parameter_inputs"))),"",INDIRECT(ADDRESS(B64,2,1,1,"all_city_parameter_inputs"))))</f>
        <v/>
      </c>
      <c r="H64" s="28" t="str">
        <f aca="true" t="array" ref="H64:H64">IF(ISBLANK(INDIRECT(ADDRESS(B64,A64,1,1,"all_city_parameter_inputs"))), "--",INDIRECT(ADDRESS(B64,A64,1,1,"all_city_parameter_inputs")))</f>
        <v>--</v>
      </c>
      <c r="I64" s="28" t="e">
        <f aca="false">IF(OR(G64="alpha",G64="beta",G64="sd",G64="mean"),"--",VLOOKUP(C64,Default!$B$5:$H$114,7,FALSE()))</f>
        <v>#N/A</v>
      </c>
      <c r="J64" s="27" t="e">
        <f aca="false">VLOOKUP(F64,Lookup!$C$5:$D$110,2, FALSE())</f>
        <v>#N/A</v>
      </c>
      <c r="K64" s="27" t="e">
        <f aca="false">VLOOKUP(C64,Default!$B$4:$E$114,4, FALSE())</f>
        <v>#N/A</v>
      </c>
      <c r="L64" s="25" t="str">
        <f aca="true" t="array" ref="L64:L64">IF(ISNA(VLOOKUP($D64,Grouped_Sources!$C:$C,1,FALSE())),"", INDIRECT(VLOOKUP($D64,Grouped_Sources!$C:$I,5,FALSE())))</f>
        <v/>
      </c>
      <c r="M64" s="25" t="str">
        <f aca="true">IF(ISNA(VLOOKUP($D64,Grouped_Sources!$C:$C,1,FALSE())),"", INDIRECT(VLOOKUP($D64,Grouped_Sources!$C:$I,6,FALSE())))</f>
        <v/>
      </c>
      <c r="N64" s="25" t="str">
        <f aca="true">IF(ISNA(VLOOKUP($D64,Grouped_Sources!$C:$C,1,FALSE())),"", INDIRECT(VLOOKUP($D64,Grouped_Sources!$C:$I,7,FALSE())))</f>
        <v/>
      </c>
    </row>
    <row r="65" customFormat="false" ht="15" hidden="false" customHeight="false" outlineLevel="0" collapsed="false">
      <c r="A65" s="21" t="n">
        <v>3</v>
      </c>
      <c r="B65" s="21" t="n">
        <v>63</v>
      </c>
      <c r="C65" s="21" t="str">
        <f aca="false">IF(G65 = "",F65,IF(OR(G65="alpha",G65="beta",G65="constant",G65="sd",G65="mean",G65="sample"),F65,F65&amp;" "&amp;G65))</f>
        <v/>
      </c>
      <c r="D65" s="21" t="str">
        <f aca="false">F65&amp;"_"&amp;E65</f>
        <v>_bogota</v>
      </c>
      <c r="E65" s="27" t="str">
        <f aca="true" t="array" ref="E65:E65">INDIRECT(ADDRESS(1,A65,1,1,"all_city_parameter_inputs"))</f>
        <v>bogota</v>
      </c>
      <c r="F65" s="27" t="str">
        <f aca="true" t="array" ref="F65:F65">IF(AND(ISBLANK(INDIRECT(ADDRESS(B65,2,1,1,"all_city_parameter_inputs"))), ISBLANK(INDIRECT(ADDRESS(B65,1,1,1,"all_city_parameter_inputs")))), "", IF(ISBLANK(INDIRECT(ADDRESS(B65,1,1,1,"all_city_parameter_inputs"))), All_city_list!F64,INDIRECT(ADDRESS(B65,1,1,1,"all_city_parameter_inputs"))))</f>
        <v/>
      </c>
      <c r="G65" s="27" t="str">
        <f aca="true" t="array" ref="G65:G65">IF(AND(ISBLANK(INDIRECT(ADDRESS(B65,3,1,1,"all_city_parameter_inputs"))),ISBLANK(INDIRECT(ADDRESS(B65,2,1,1,"all_city_parameter_inputs")))),"",IF(ISBLANK(INDIRECT(ADDRESS(B65,2,1,1,"all_city_parameter_inputs"))),"",INDIRECT(ADDRESS(B65,2,1,1,"all_city_parameter_inputs"))))</f>
        <v/>
      </c>
      <c r="H65" s="28" t="str">
        <f aca="true" t="array" ref="H65:H65">IF(ISBLANK(INDIRECT(ADDRESS(B65,A65,1,1,"all_city_parameter_inputs"))), "--",INDIRECT(ADDRESS(B65,A65,1,1,"all_city_parameter_inputs")))</f>
        <v>--</v>
      </c>
      <c r="I65" s="28" t="e">
        <f aca="false">IF(OR(G65="alpha",G65="beta",G65="sd",G65="mean"),"--",VLOOKUP(C65,Default!$B$5:$H$114,7,FALSE()))</f>
        <v>#N/A</v>
      </c>
      <c r="J65" s="27" t="e">
        <f aca="false">VLOOKUP(F65,Lookup!$C$5:$D$110,2, FALSE())</f>
        <v>#N/A</v>
      </c>
      <c r="K65" s="27" t="e">
        <f aca="false">VLOOKUP(C65,Default!$B$4:$E$114,4, FALSE())</f>
        <v>#N/A</v>
      </c>
      <c r="L65" s="25" t="str">
        <f aca="true" t="array" ref="L65:L65">IF(ISNA(VLOOKUP($D65,Grouped_Sources!$C:$C,1,FALSE())),"", INDIRECT(VLOOKUP($D65,Grouped_Sources!$C:$I,5,FALSE())))</f>
        <v/>
      </c>
      <c r="M65" s="25" t="str">
        <f aca="true">IF(ISNA(VLOOKUP($D65,Grouped_Sources!$C:$C,1,FALSE())),"", INDIRECT(VLOOKUP($D65,Grouped_Sources!$C:$I,6,FALSE())))</f>
        <v/>
      </c>
      <c r="N65" s="25" t="str">
        <f aca="true">IF(ISNA(VLOOKUP($D65,Grouped_Sources!$C:$C,1,FALSE())),"", INDIRECT(VLOOKUP($D65,Grouped_Sources!$C:$I,7,FALSE())))</f>
        <v/>
      </c>
    </row>
    <row r="66" customFormat="false" ht="15" hidden="false" customHeight="false" outlineLevel="0" collapsed="false">
      <c r="A66" s="21" t="n">
        <v>3</v>
      </c>
      <c r="B66" s="21" t="n">
        <v>64</v>
      </c>
      <c r="C66" s="21" t="str">
        <f aca="false">IF(G66 = "",F66,IF(OR(G66="alpha",G66="beta",G66="constant",G66="sd",G66="mean",G66="sample"),F66,F66&amp;" "&amp;G66))</f>
        <v/>
      </c>
      <c r="D66" s="21" t="str">
        <f aca="false">F66&amp;"_"&amp;E66</f>
        <v>_bogota</v>
      </c>
      <c r="E66" s="27" t="str">
        <f aca="true" t="array" ref="E66:E66">INDIRECT(ADDRESS(1,A66,1,1,"all_city_parameter_inputs"))</f>
        <v>bogota</v>
      </c>
      <c r="F66" s="27" t="str">
        <f aca="true" t="array" ref="F66:F66">IF(AND(ISBLANK(INDIRECT(ADDRESS(B66,2,1,1,"all_city_parameter_inputs"))), ISBLANK(INDIRECT(ADDRESS(B66,1,1,1,"all_city_parameter_inputs")))), "", IF(ISBLANK(INDIRECT(ADDRESS(B66,1,1,1,"all_city_parameter_inputs"))), All_city_list!F65,INDIRECT(ADDRESS(B66,1,1,1,"all_city_parameter_inputs"))))</f>
        <v/>
      </c>
      <c r="G66" s="27" t="str">
        <f aca="true" t="array" ref="G66:G66">IF(AND(ISBLANK(INDIRECT(ADDRESS(B66,3,1,1,"all_city_parameter_inputs"))),ISBLANK(INDIRECT(ADDRESS(B66,2,1,1,"all_city_parameter_inputs")))),"",IF(ISBLANK(INDIRECT(ADDRESS(B66,2,1,1,"all_city_parameter_inputs"))),"",INDIRECT(ADDRESS(B66,2,1,1,"all_city_parameter_inputs"))))</f>
        <v/>
      </c>
      <c r="H66" s="28" t="str">
        <f aca="true" t="array" ref="H66:H66">IF(ISBLANK(INDIRECT(ADDRESS(B66,A66,1,1,"all_city_parameter_inputs"))), "--",INDIRECT(ADDRESS(B66,A66,1,1,"all_city_parameter_inputs")))</f>
        <v>--</v>
      </c>
      <c r="I66" s="28" t="e">
        <f aca="false">IF(OR(G66="alpha",G66="beta",G66="sd",G66="mean"),"--",VLOOKUP(C66,Default!$B$5:$H$114,7,FALSE()))</f>
        <v>#N/A</v>
      </c>
      <c r="J66" s="27" t="e">
        <f aca="false">VLOOKUP(F66,Lookup!$C$5:$D$110,2, FALSE())</f>
        <v>#N/A</v>
      </c>
      <c r="K66" s="27" t="e">
        <f aca="false">VLOOKUP(C66,Default!$B$4:$E$114,4, FALSE())</f>
        <v>#N/A</v>
      </c>
      <c r="L66" s="24" t="s">
        <v>136</v>
      </c>
      <c r="M66" s="25"/>
      <c r="N66" s="25"/>
    </row>
    <row r="67" customFormat="false" ht="15" hidden="false" customHeight="false" outlineLevel="0" collapsed="false">
      <c r="A67" s="21" t="n">
        <v>3</v>
      </c>
      <c r="B67" s="21" t="n">
        <v>65</v>
      </c>
      <c r="C67" s="21" t="str">
        <f aca="false">IF(G67 = "",F67,IF(OR(G67="alpha",G67="beta",G67="constant",G67="sd",G67="mean",G67="sample"),F67,F67&amp;" "&amp;G67))</f>
        <v/>
      </c>
      <c r="D67" s="21" t="str">
        <f aca="false">F67&amp;"_"&amp;E67</f>
        <v>_bogota</v>
      </c>
      <c r="E67" s="27" t="str">
        <f aca="true" t="array" ref="E67:E67">INDIRECT(ADDRESS(1,A67,1,1,"all_city_parameter_inputs"))</f>
        <v>bogota</v>
      </c>
      <c r="F67" s="27" t="str">
        <f aca="true" t="array" ref="F67:F67">IF(AND(ISBLANK(INDIRECT(ADDRESS(B67,2,1,1,"all_city_parameter_inputs"))), ISBLANK(INDIRECT(ADDRESS(B67,1,1,1,"all_city_parameter_inputs")))), "", IF(ISBLANK(INDIRECT(ADDRESS(B67,1,1,1,"all_city_parameter_inputs"))), All_city_list!F66,INDIRECT(ADDRESS(B67,1,1,1,"all_city_parameter_inputs"))))</f>
        <v/>
      </c>
      <c r="G67" s="27" t="str">
        <f aca="true" t="array" ref="G67:G67">IF(AND(ISBLANK(INDIRECT(ADDRESS(B67,3,1,1,"all_city_parameter_inputs"))),ISBLANK(INDIRECT(ADDRESS(B67,2,1,1,"all_city_parameter_inputs")))),"",IF(ISBLANK(INDIRECT(ADDRESS(B67,2,1,1,"all_city_parameter_inputs"))),"",INDIRECT(ADDRESS(B67,2,1,1,"all_city_parameter_inputs"))))</f>
        <v/>
      </c>
      <c r="H67" s="28" t="str">
        <f aca="true" t="array" ref="H67:H67">IF(ISBLANK(INDIRECT(ADDRESS(B67,A67,1,1,"all_city_parameter_inputs"))), "--",INDIRECT(ADDRESS(B67,A67,1,1,"all_city_parameter_inputs")))</f>
        <v>--</v>
      </c>
      <c r="I67" s="28" t="e">
        <f aca="false">IF(OR(G67="alpha",G67="beta",G67="sd",G67="mean"),"--",VLOOKUP(C67,Default!$B$5:$H$114,7,FALSE()))</f>
        <v>#N/A</v>
      </c>
      <c r="J67" s="27" t="e">
        <f aca="false">VLOOKUP(F67,Lookup!$C$5:$D$110,2, FALSE())</f>
        <v>#N/A</v>
      </c>
      <c r="K67" s="27" t="e">
        <f aca="false">VLOOKUP(C67,Default!$B$4:$E$114,4, FALSE())</f>
        <v>#N/A</v>
      </c>
      <c r="L67" s="25" t="str">
        <f aca="true" t="array" ref="L67:L67">IF(ISNA(VLOOKUP($D67,Grouped_Sources!$C:$C,1,FALSE())),"", INDIRECT(VLOOKUP($D67,Grouped_Sources!$C:$I,5,FALSE())))</f>
        <v/>
      </c>
      <c r="M67" s="25" t="str">
        <f aca="true">IF(ISNA(VLOOKUP($D67,Grouped_Sources!$C:$C,1,FALSE())),"", INDIRECT(VLOOKUP($D67,Grouped_Sources!$C:$I,6,FALSE())))</f>
        <v/>
      </c>
      <c r="N67" s="25" t="str">
        <f aca="true">IF(ISNA(VLOOKUP($D67,Grouped_Sources!$C:$C,1,FALSE())),"", INDIRECT(VLOOKUP($D67,Grouped_Sources!$C:$I,7,FALSE())))</f>
        <v/>
      </c>
    </row>
    <row r="68" customFormat="false" ht="15" hidden="false" customHeight="false" outlineLevel="0" collapsed="false">
      <c r="A68" s="21" t="n">
        <v>3</v>
      </c>
      <c r="B68" s="21" t="n">
        <v>66</v>
      </c>
      <c r="C68" s="21" t="str">
        <f aca="false">IF(G68 = "",F68,IF(OR(G68="alpha",G68="beta",G68="constant",G68="sd",G68="mean",G68="sample"),F68,F68&amp;" "&amp;G68))</f>
        <v/>
      </c>
      <c r="D68" s="21" t="str">
        <f aca="false">F68&amp;"_"&amp;E68</f>
        <v>_bogota</v>
      </c>
      <c r="E68" s="27" t="str">
        <f aca="true" t="array" ref="E68:E68">INDIRECT(ADDRESS(1,A68,1,1,"all_city_parameter_inputs"))</f>
        <v>bogota</v>
      </c>
      <c r="F68" s="27" t="str">
        <f aca="true" t="array" ref="F68:F68">IF(AND(ISBLANK(INDIRECT(ADDRESS(B68,2,1,1,"all_city_parameter_inputs"))), ISBLANK(INDIRECT(ADDRESS(B68,1,1,1,"all_city_parameter_inputs")))), "", IF(ISBLANK(INDIRECT(ADDRESS(B68,1,1,1,"all_city_parameter_inputs"))), All_city_list!F67,INDIRECT(ADDRESS(B68,1,1,1,"all_city_parameter_inputs"))))</f>
        <v/>
      </c>
      <c r="G68" s="27" t="str">
        <f aca="true" t="array" ref="G68:G68">IF(AND(ISBLANK(INDIRECT(ADDRESS(B68,3,1,1,"all_city_parameter_inputs"))),ISBLANK(INDIRECT(ADDRESS(B68,2,1,1,"all_city_parameter_inputs")))),"",IF(ISBLANK(INDIRECT(ADDRESS(B68,2,1,1,"all_city_parameter_inputs"))),"",INDIRECT(ADDRESS(B68,2,1,1,"all_city_parameter_inputs"))))</f>
        <v/>
      </c>
      <c r="H68" s="28" t="str">
        <f aca="true" t="array" ref="H68:H68">IF(ISBLANK(INDIRECT(ADDRESS(B68,A68,1,1,"all_city_parameter_inputs"))), "--",INDIRECT(ADDRESS(B68,A68,1,1,"all_city_parameter_inputs")))</f>
        <v>--</v>
      </c>
      <c r="I68" s="28" t="e">
        <f aca="false">IF(OR(G68="alpha",G68="beta",G68="sd",G68="mean"),"--",VLOOKUP(C68,Default!$B$5:$H$114,7,FALSE()))</f>
        <v>#N/A</v>
      </c>
      <c r="J68" s="27" t="e">
        <f aca="false">VLOOKUP(F68,Lookup!$C$5:$D$110,2, FALSE())</f>
        <v>#N/A</v>
      </c>
      <c r="K68" s="27" t="e">
        <f aca="false">VLOOKUP(C68,Default!$B$4:$E$114,4, FALSE())</f>
        <v>#N/A</v>
      </c>
      <c r="L68" s="25" t="str">
        <f aca="true" t="array" ref="L68:L68">IF(ISNA(VLOOKUP($D68,Grouped_Sources!$C:$C,1,FALSE())),"", INDIRECT(VLOOKUP($D68,Grouped_Sources!$C:$I,5,FALSE())))</f>
        <v/>
      </c>
      <c r="M68" s="25" t="str">
        <f aca="true">IF(ISNA(VLOOKUP($D68,Grouped_Sources!$C:$C,1,FALSE())),"", INDIRECT(VLOOKUP($D68,Grouped_Sources!$C:$I,6,FALSE())))</f>
        <v/>
      </c>
      <c r="N68" s="25" t="str">
        <f aca="true">IF(ISNA(VLOOKUP($D68,Grouped_Sources!$C:$C,1,FALSE())),"", INDIRECT(VLOOKUP($D68,Grouped_Sources!$C:$I,7,FALSE())))</f>
        <v/>
      </c>
    </row>
    <row r="69" customFormat="false" ht="16.4" hidden="false" customHeight="false" outlineLevel="0" collapsed="false">
      <c r="A69" s="21" t="n">
        <v>3</v>
      </c>
      <c r="B69" s="21" t="n">
        <v>67</v>
      </c>
      <c r="C69" s="21" t="str">
        <f aca="false">IF(G69 = "",F69,IF(OR(G69="alpha",G69="beta",G69="constant",G69="sd",G69="mean",G69="sample"),F69,F69&amp;" "&amp;G69))</f>
        <v/>
      </c>
      <c r="D69" s="21" t="str">
        <f aca="false">F69&amp;"_"&amp;E69</f>
        <v>_bogota</v>
      </c>
      <c r="E69" s="27" t="str">
        <f aca="true" t="array" ref="E69:E69">INDIRECT(ADDRESS(1,A69,1,1,"all_city_parameter_inputs"))</f>
        <v>bogota</v>
      </c>
      <c r="F69" s="27" t="str">
        <f aca="true" t="array" ref="F69:F69">IF(AND(ISBLANK(INDIRECT(ADDRESS(B69,2,1,1,"all_city_parameter_inputs"))), ISBLANK(INDIRECT(ADDRESS(B69,1,1,1,"all_city_parameter_inputs")))), "", IF(ISBLANK(INDIRECT(ADDRESS(B69,1,1,1,"all_city_parameter_inputs"))), All_city_list!F68,INDIRECT(ADDRESS(B69,1,1,1,"all_city_parameter_inputs"))))</f>
        <v/>
      </c>
      <c r="G69" s="27" t="str">
        <f aca="true" t="array" ref="G69:G69">IF(AND(ISBLANK(INDIRECT(ADDRESS(B69,3,1,1,"all_city_parameter_inputs"))),ISBLANK(INDIRECT(ADDRESS(B69,2,1,1,"all_city_parameter_inputs")))),"",IF(ISBLANK(INDIRECT(ADDRESS(B69,2,1,1,"all_city_parameter_inputs"))),"",INDIRECT(ADDRESS(B69,2,1,1,"all_city_parameter_inputs"))))</f>
        <v/>
      </c>
      <c r="H69" s="28" t="str">
        <f aca="true" t="array" ref="H69:H69">IF(ISBLANK(INDIRECT(ADDRESS(B69,A69,1,1,"all_city_parameter_inputs"))), "--",INDIRECT(ADDRESS(B69,A69,1,1,"all_city_parameter_inputs")))</f>
        <v>--</v>
      </c>
      <c r="I69" s="28" t="e">
        <f aca="false">IF(OR(G69="alpha",G69="beta",G69="sd",G69="mean"),"--",VLOOKUP(C69,Default!$B$5:$H$114,7,FALSE()))</f>
        <v>#N/A</v>
      </c>
      <c r="J69" s="27" t="e">
        <f aca="false">VLOOKUP(F69,Lookup!$C$5:$D$110,2, FALSE())</f>
        <v>#N/A</v>
      </c>
      <c r="K69" s="30" t="e">
        <f aca="false">VLOOKUP(C69,Default!$B$4:$E$114,4, FALSE())</f>
        <v>#N/A</v>
      </c>
      <c r="L69" s="24" t="s">
        <v>136</v>
      </c>
      <c r="M69" s="25"/>
      <c r="N69" s="25"/>
    </row>
    <row r="70" customFormat="false" ht="15" hidden="false" customHeight="false" outlineLevel="0" collapsed="false">
      <c r="A70" s="21" t="n">
        <v>3</v>
      </c>
      <c r="B70" s="21" t="n">
        <v>68</v>
      </c>
      <c r="C70" s="21" t="str">
        <f aca="false">IF(G70 = "",F70,IF(OR(G70="alpha",G70="beta",G70="constant",G70="sd",G70="mean",G70="sample"),F70,F70&amp;" "&amp;G70))</f>
        <v/>
      </c>
      <c r="D70" s="21" t="str">
        <f aca="false">F70&amp;"_"&amp;E70</f>
        <v>_bogota</v>
      </c>
      <c r="E70" s="27" t="str">
        <f aca="true" t="array" ref="E70:E70">INDIRECT(ADDRESS(1,A70,1,1,"all_city_parameter_inputs"))</f>
        <v>bogota</v>
      </c>
      <c r="F70" s="27" t="str">
        <f aca="true" t="array" ref="F70:F70">IF(AND(ISBLANK(INDIRECT(ADDRESS(B70,2,1,1,"all_city_parameter_inputs"))), ISBLANK(INDIRECT(ADDRESS(B70,1,1,1,"all_city_parameter_inputs")))), "", IF(ISBLANK(INDIRECT(ADDRESS(B70,1,1,1,"all_city_parameter_inputs"))), All_city_list!F69,INDIRECT(ADDRESS(B70,1,1,1,"all_city_parameter_inputs"))))</f>
        <v/>
      </c>
      <c r="G70" s="27" t="str">
        <f aca="true" t="array" ref="G70:G70">IF(AND(ISBLANK(INDIRECT(ADDRESS(B70,3,1,1,"all_city_parameter_inputs"))),ISBLANK(INDIRECT(ADDRESS(B70,2,1,1,"all_city_parameter_inputs")))),"",IF(ISBLANK(INDIRECT(ADDRESS(B70,2,1,1,"all_city_parameter_inputs"))),"",INDIRECT(ADDRESS(B70,2,1,1,"all_city_parameter_inputs"))))</f>
        <v/>
      </c>
      <c r="H70" s="28" t="str">
        <f aca="true" t="array" ref="H70:H70">IF(ISBLANK(INDIRECT(ADDRESS(B70,A70,1,1,"all_city_parameter_inputs"))), "--",INDIRECT(ADDRESS(B70,A70,1,1,"all_city_parameter_inputs")))</f>
        <v>--</v>
      </c>
      <c r="I70" s="28" t="e">
        <f aca="false">IF(OR(G70="alpha",G70="beta",G70="sd",G70="mean"),"--",VLOOKUP(C70,Default!$B$5:$H$114,7,FALSE()))</f>
        <v>#N/A</v>
      </c>
      <c r="J70" s="27" t="e">
        <f aca="false">VLOOKUP(F70,Lookup!$C$5:$D$110,2, FALSE())</f>
        <v>#N/A</v>
      </c>
      <c r="K70" s="27" t="e">
        <f aca="false">VLOOKUP(C70,Default!$B$4:$E$114,4, FALSE())</f>
        <v>#N/A</v>
      </c>
      <c r="L70" s="25" t="str">
        <f aca="true" t="array" ref="L70:L70">IF(ISNA(VLOOKUP($D70,Grouped_Sources!$C:$C,1,FALSE())),"", INDIRECT(VLOOKUP($D70,Grouped_Sources!$C:$I,5,FALSE())))</f>
        <v/>
      </c>
      <c r="M70" s="25" t="str">
        <f aca="true">IF(ISNA(VLOOKUP($D70,Grouped_Sources!$C:$C,1,FALSE())),"", INDIRECT(VLOOKUP($D70,Grouped_Sources!$C:$I,6,FALSE())))</f>
        <v/>
      </c>
      <c r="N70" s="25" t="str">
        <f aca="true">IF(ISNA(VLOOKUP($D70,Grouped_Sources!$C:$C,1,FALSE())),"", INDIRECT(VLOOKUP($D70,Grouped_Sources!$C:$I,7,FALSE())))</f>
        <v/>
      </c>
    </row>
    <row r="71" customFormat="false" ht="15" hidden="false" customHeight="false" outlineLevel="0" collapsed="false">
      <c r="A71" s="21" t="n">
        <v>3</v>
      </c>
      <c r="B71" s="21" t="n">
        <v>69</v>
      </c>
      <c r="C71" s="21" t="str">
        <f aca="false">IF(G71 = "",F71,IF(OR(G71="alpha",G71="beta",G71="constant",G71="sd",G71="mean",G71="sample"),F71,F71&amp;" "&amp;G71))</f>
        <v/>
      </c>
      <c r="D71" s="21" t="str">
        <f aca="false">F71&amp;"_"&amp;E71</f>
        <v>_bogota</v>
      </c>
      <c r="E71" s="27" t="str">
        <f aca="true" t="array" ref="E71:E71">INDIRECT(ADDRESS(1,A71,1,1,"all_city_parameter_inputs"))</f>
        <v>bogota</v>
      </c>
      <c r="F71" s="27" t="str">
        <f aca="true" t="array" ref="F71:F71">IF(AND(ISBLANK(INDIRECT(ADDRESS(B71,2,1,1,"all_city_parameter_inputs"))), ISBLANK(INDIRECT(ADDRESS(B71,1,1,1,"all_city_parameter_inputs")))), "", IF(ISBLANK(INDIRECT(ADDRESS(B71,1,1,1,"all_city_parameter_inputs"))), All_city_list!F70,INDIRECT(ADDRESS(B71,1,1,1,"all_city_parameter_inputs"))))</f>
        <v/>
      </c>
      <c r="G71" s="27" t="str">
        <f aca="true" t="array" ref="G71:G71">IF(AND(ISBLANK(INDIRECT(ADDRESS(B71,3,1,1,"all_city_parameter_inputs"))),ISBLANK(INDIRECT(ADDRESS(B71,2,1,1,"all_city_parameter_inputs")))),"",IF(ISBLANK(INDIRECT(ADDRESS(B71,2,1,1,"all_city_parameter_inputs"))),"",INDIRECT(ADDRESS(B71,2,1,1,"all_city_parameter_inputs"))))</f>
        <v/>
      </c>
      <c r="H71" s="28" t="str">
        <f aca="true" t="array" ref="H71:H71">IF(ISBLANK(INDIRECT(ADDRESS(B71,A71,1,1,"all_city_parameter_inputs"))), "--",INDIRECT(ADDRESS(B71,A71,1,1,"all_city_parameter_inputs")))</f>
        <v>--</v>
      </c>
      <c r="I71" s="28" t="e">
        <f aca="false">IF(OR(G71="alpha",G71="beta",G71="sd",G71="mean"),"--",VLOOKUP(C71,Default!$B$5:$H$114,7,FALSE()))</f>
        <v>#N/A</v>
      </c>
      <c r="J71" s="27" t="e">
        <f aca="false">VLOOKUP(F71,Lookup!$C$5:$D$110,2, FALSE())</f>
        <v>#N/A</v>
      </c>
      <c r="K71" s="27" t="e">
        <f aca="false">VLOOKUP(C71,Default!$B$4:$E$114,4, FALSE())</f>
        <v>#N/A</v>
      </c>
      <c r="L71" s="25" t="str">
        <f aca="true" t="array" ref="L71:L71">IF(ISNA(VLOOKUP($D71,Grouped_Sources!$C:$C,1,FALSE())),"", INDIRECT(VLOOKUP($D71,Grouped_Sources!$C:$I,5,FALSE())))</f>
        <v/>
      </c>
      <c r="M71" s="25" t="str">
        <f aca="true">IF(ISNA(VLOOKUP($D71,Grouped_Sources!$C:$C,1,FALSE())),"", INDIRECT(VLOOKUP($D71,Grouped_Sources!$C:$I,6,FALSE())))</f>
        <v/>
      </c>
      <c r="N71" s="25" t="str">
        <f aca="true">IF(ISNA(VLOOKUP($D71,Grouped_Sources!$C:$C,1,FALSE())),"", INDIRECT(VLOOKUP($D71,Grouped_Sources!$C:$I,7,FALSE())))</f>
        <v/>
      </c>
    </row>
    <row r="72" customFormat="false" ht="15" hidden="false" customHeight="false" outlineLevel="0" collapsed="false">
      <c r="A72" s="21" t="n">
        <v>3</v>
      </c>
      <c r="B72" s="21" t="n">
        <v>70</v>
      </c>
      <c r="C72" s="21" t="str">
        <f aca="false">IF(G72 = "",F72,IF(OR(G72="alpha",G72="beta",G72="constant",G72="sd",G72="mean",G72="sample"),F72,F72&amp;" "&amp;G72))</f>
        <v/>
      </c>
      <c r="D72" s="21" t="str">
        <f aca="false">F72&amp;"_"&amp;E72</f>
        <v>_bogota</v>
      </c>
      <c r="E72" s="27" t="str">
        <f aca="true" t="array" ref="E72:E72">INDIRECT(ADDRESS(1,A72,1,1,"all_city_parameter_inputs"))</f>
        <v>bogota</v>
      </c>
      <c r="F72" s="27" t="str">
        <f aca="true" t="array" ref="F72:F72">IF(AND(ISBLANK(INDIRECT(ADDRESS(B72,2,1,1,"all_city_parameter_inputs"))), ISBLANK(INDIRECT(ADDRESS(B72,1,1,1,"all_city_parameter_inputs")))), "", IF(ISBLANK(INDIRECT(ADDRESS(B72,1,1,1,"all_city_parameter_inputs"))), All_city_list!F71,INDIRECT(ADDRESS(B72,1,1,1,"all_city_parameter_inputs"))))</f>
        <v/>
      </c>
      <c r="G72" s="27" t="str">
        <f aca="true" t="array" ref="G72:G72">IF(AND(ISBLANK(INDIRECT(ADDRESS(B72,3,1,1,"all_city_parameter_inputs"))),ISBLANK(INDIRECT(ADDRESS(B72,2,1,1,"all_city_parameter_inputs")))),"",IF(ISBLANK(INDIRECT(ADDRESS(B72,2,1,1,"all_city_parameter_inputs"))),"",INDIRECT(ADDRESS(B72,2,1,1,"all_city_parameter_inputs"))))</f>
        <v/>
      </c>
      <c r="H72" s="28" t="str">
        <f aca="true" t="array" ref="H72:H72">IF(ISBLANK(INDIRECT(ADDRESS(B72,A72,1,1,"all_city_parameter_inputs"))), "--",INDIRECT(ADDRESS(B72,A72,1,1,"all_city_parameter_inputs")))</f>
        <v>--</v>
      </c>
      <c r="I72" s="28" t="e">
        <f aca="false">IF(OR(G72="alpha",G72="beta",G72="sd",G72="mean"),"--",VLOOKUP(C72,Default!$B$5:$H$114,7,FALSE()))</f>
        <v>#N/A</v>
      </c>
      <c r="J72" s="27" t="e">
        <f aca="false">VLOOKUP(F72,Lookup!$C$5:$D$110,2, FALSE())</f>
        <v>#N/A</v>
      </c>
      <c r="K72" s="27" t="e">
        <f aca="false">VLOOKUP(C72,Default!$B$4:$E$114,4, FALSE())</f>
        <v>#N/A</v>
      </c>
      <c r="L72" s="24" t="s">
        <v>136</v>
      </c>
      <c r="M72" s="25"/>
      <c r="N72" s="25"/>
    </row>
    <row r="73" customFormat="false" ht="15" hidden="false" customHeight="false" outlineLevel="0" collapsed="false">
      <c r="A73" s="21" t="n">
        <v>3</v>
      </c>
      <c r="B73" s="21" t="n">
        <v>71</v>
      </c>
      <c r="C73" s="21" t="str">
        <f aca="false">IF(G73 = "",F73,IF(OR(G73="alpha",G73="beta",G73="constant",G73="sd",G73="mean",G73="sample"),F73,F73&amp;" "&amp;G73))</f>
        <v/>
      </c>
      <c r="D73" s="21" t="str">
        <f aca="false">F73&amp;"_"&amp;E73</f>
        <v>_bogota</v>
      </c>
      <c r="E73" s="27" t="str">
        <f aca="true" t="array" ref="E73:E73">INDIRECT(ADDRESS(1,A73,1,1,"all_city_parameter_inputs"))</f>
        <v>bogota</v>
      </c>
      <c r="F73" s="27" t="str">
        <f aca="true" t="array" ref="F73:F73">IF(AND(ISBLANK(INDIRECT(ADDRESS(B73,2,1,1,"all_city_parameter_inputs"))), ISBLANK(INDIRECT(ADDRESS(B73,1,1,1,"all_city_parameter_inputs")))), "", IF(ISBLANK(INDIRECT(ADDRESS(B73,1,1,1,"all_city_parameter_inputs"))), All_city_list!F72,INDIRECT(ADDRESS(B73,1,1,1,"all_city_parameter_inputs"))))</f>
        <v/>
      </c>
      <c r="G73" s="27" t="str">
        <f aca="true" t="array" ref="G73:G73">IF(AND(ISBLANK(INDIRECT(ADDRESS(B73,3,1,1,"all_city_parameter_inputs"))),ISBLANK(INDIRECT(ADDRESS(B73,2,1,1,"all_city_parameter_inputs")))),"",IF(ISBLANK(INDIRECT(ADDRESS(B73,2,1,1,"all_city_parameter_inputs"))),"",INDIRECT(ADDRESS(B73,2,1,1,"all_city_parameter_inputs"))))</f>
        <v/>
      </c>
      <c r="H73" s="28" t="str">
        <f aca="true" t="array" ref="H73:H73">IF(ISBLANK(INDIRECT(ADDRESS(B73,A73,1,1,"all_city_parameter_inputs"))), "--",INDIRECT(ADDRESS(B73,A73,1,1,"all_city_parameter_inputs")))</f>
        <v>--</v>
      </c>
      <c r="I73" s="28" t="e">
        <f aca="false">IF(OR(G73="alpha",G73="beta",G73="sd",G73="mean"),"--",VLOOKUP(C73,Default!$B$5:$H$114,7,FALSE()))</f>
        <v>#N/A</v>
      </c>
      <c r="J73" s="27" t="e">
        <f aca="false">VLOOKUP(F73,Lookup!$C$5:$D$110,2, FALSE())</f>
        <v>#N/A</v>
      </c>
      <c r="K73" s="27" t="e">
        <f aca="false">VLOOKUP(C73,Default!$B$4:$E$114,4, FALSE())</f>
        <v>#N/A</v>
      </c>
      <c r="L73" s="25" t="str">
        <f aca="true" t="array" ref="L73:L73">IF(ISNA(VLOOKUP($D73,Grouped_Sources!$C:$C,1,FALSE())),"", INDIRECT(VLOOKUP($D73,Grouped_Sources!$C:$I,5,FALSE())))</f>
        <v/>
      </c>
      <c r="M73" s="25" t="str">
        <f aca="true">IF(ISNA(VLOOKUP($D73,Grouped_Sources!$C:$C,1,FALSE())),"", INDIRECT(VLOOKUP($D73,Grouped_Sources!$C:$I,6,FALSE())))</f>
        <v/>
      </c>
      <c r="N73" s="25" t="str">
        <f aca="true">IF(ISNA(VLOOKUP($D73,Grouped_Sources!$C:$C,1,FALSE())),"", INDIRECT(VLOOKUP($D73,Grouped_Sources!$C:$I,7,FALSE())))</f>
        <v/>
      </c>
    </row>
    <row r="74" customFormat="false" ht="15" hidden="false" customHeight="false" outlineLevel="0" collapsed="false">
      <c r="A74" s="21" t="n">
        <v>3</v>
      </c>
      <c r="B74" s="21" t="n">
        <v>72</v>
      </c>
      <c r="C74" s="21" t="str">
        <f aca="false">IF(G74 = "",F74,IF(OR(G74="alpha",G74="beta",G74="constant",G74="sd",G74="mean",G74="sample"),F74,F74&amp;" "&amp;G74))</f>
        <v/>
      </c>
      <c r="D74" s="21" t="str">
        <f aca="false">F74&amp;"_"&amp;E74</f>
        <v>_bogota</v>
      </c>
      <c r="E74" s="27" t="str">
        <f aca="true" t="array" ref="E74:E74">INDIRECT(ADDRESS(1,A74,1,1,"all_city_parameter_inputs"))</f>
        <v>bogota</v>
      </c>
      <c r="F74" s="27" t="str">
        <f aca="true" t="array" ref="F74:F74">IF(AND(ISBLANK(INDIRECT(ADDRESS(B74,2,1,1,"all_city_parameter_inputs"))), ISBLANK(INDIRECT(ADDRESS(B74,1,1,1,"all_city_parameter_inputs")))), "", IF(ISBLANK(INDIRECT(ADDRESS(B74,1,1,1,"all_city_parameter_inputs"))), All_city_list!F73,INDIRECT(ADDRESS(B74,1,1,1,"all_city_parameter_inputs"))))</f>
        <v/>
      </c>
      <c r="G74" s="27" t="str">
        <f aca="true" t="array" ref="G74:G74">IF(AND(ISBLANK(INDIRECT(ADDRESS(B74,3,1,1,"all_city_parameter_inputs"))),ISBLANK(INDIRECT(ADDRESS(B74,2,1,1,"all_city_parameter_inputs")))),"",IF(ISBLANK(INDIRECT(ADDRESS(B74,2,1,1,"all_city_parameter_inputs"))),"",INDIRECT(ADDRESS(B74,2,1,1,"all_city_parameter_inputs"))))</f>
        <v/>
      </c>
      <c r="H74" s="28" t="str">
        <f aca="true" t="array" ref="H74:H74">IF(ISBLANK(INDIRECT(ADDRESS(B74,A74,1,1,"all_city_parameter_inputs"))), "--",INDIRECT(ADDRESS(B74,A74,1,1,"all_city_parameter_inputs")))</f>
        <v>--</v>
      </c>
      <c r="I74" s="28" t="e">
        <f aca="false">IF(OR(G74="alpha",G74="beta",G74="sd",G74="mean"),"--",VLOOKUP(C74,Default!$B$5:$H$114,7,FALSE()))</f>
        <v>#N/A</v>
      </c>
      <c r="J74" s="27" t="e">
        <f aca="false">VLOOKUP(F74,Lookup!$C$5:$D$110,2, FALSE())</f>
        <v>#N/A</v>
      </c>
      <c r="K74" s="27" t="e">
        <f aca="false">VLOOKUP(C74,Default!$B$4:$E$114,4, FALSE())</f>
        <v>#N/A</v>
      </c>
      <c r="L74" s="25" t="str">
        <f aca="true" t="array" ref="L74:L74">IF(ISNA(VLOOKUP($D74,Grouped_Sources!$C:$C,1,FALSE())),"", INDIRECT(VLOOKUP($D74,Grouped_Sources!$C:$I,5,FALSE())))</f>
        <v/>
      </c>
      <c r="M74" s="25" t="str">
        <f aca="true">IF(ISNA(VLOOKUP($D74,Grouped_Sources!$C:$C,1,FALSE())),"", INDIRECT(VLOOKUP($D74,Grouped_Sources!$C:$I,6,FALSE())))</f>
        <v/>
      </c>
      <c r="N74" s="25" t="str">
        <f aca="true">IF(ISNA(VLOOKUP($D74,Grouped_Sources!$C:$C,1,FALSE())),"", INDIRECT(VLOOKUP($D74,Grouped_Sources!$C:$I,7,FALSE())))</f>
        <v/>
      </c>
    </row>
    <row r="75" customFormat="false" ht="15" hidden="false" customHeight="false" outlineLevel="0" collapsed="false">
      <c r="A75" s="21" t="n">
        <v>3</v>
      </c>
      <c r="B75" s="21" t="n">
        <v>73</v>
      </c>
      <c r="C75" s="21" t="str">
        <f aca="false">IF(G75 = "",F75,IF(OR(G75="alpha",G75="beta",G75="constant",G75="sd",G75="mean",G75="sample"),F75,F75&amp;" "&amp;G75))</f>
        <v/>
      </c>
      <c r="D75" s="21" t="str">
        <f aca="false">F75&amp;"_"&amp;E75</f>
        <v>_bogota</v>
      </c>
      <c r="E75" s="27" t="str">
        <f aca="true" t="array" ref="E75:E75">INDIRECT(ADDRESS(1,A75,1,1,"all_city_parameter_inputs"))</f>
        <v>bogota</v>
      </c>
      <c r="F75" s="27" t="str">
        <f aca="true" t="array" ref="F75:F75">IF(AND(ISBLANK(INDIRECT(ADDRESS(B75,2,1,1,"all_city_parameter_inputs"))), ISBLANK(INDIRECT(ADDRESS(B75,1,1,1,"all_city_parameter_inputs")))), "", IF(ISBLANK(INDIRECT(ADDRESS(B75,1,1,1,"all_city_parameter_inputs"))), All_city_list!F74,INDIRECT(ADDRESS(B75,1,1,1,"all_city_parameter_inputs"))))</f>
        <v/>
      </c>
      <c r="G75" s="27" t="str">
        <f aca="true" t="array" ref="G75:G75">IF(AND(ISBLANK(INDIRECT(ADDRESS(B75,3,1,1,"all_city_parameter_inputs"))),ISBLANK(INDIRECT(ADDRESS(B75,2,1,1,"all_city_parameter_inputs")))),"",IF(ISBLANK(INDIRECT(ADDRESS(B75,2,1,1,"all_city_parameter_inputs"))),"",INDIRECT(ADDRESS(B75,2,1,1,"all_city_parameter_inputs"))))</f>
        <v/>
      </c>
      <c r="H75" s="28" t="str">
        <f aca="true" t="array" ref="H75:H75">IF(ISBLANK(INDIRECT(ADDRESS(B75,A75,1,1,"all_city_parameter_inputs"))), "--",INDIRECT(ADDRESS(B75,A75,1,1,"all_city_parameter_inputs")))</f>
        <v>--</v>
      </c>
      <c r="I75" s="28" t="e">
        <f aca="false">IF(OR(G75="alpha",G75="beta",G75="sd",G75="mean"),"--",VLOOKUP(C75,Default!$B$5:$H$114,7,FALSE()))</f>
        <v>#N/A</v>
      </c>
      <c r="J75" s="27" t="e">
        <f aca="false">VLOOKUP(F75,Lookup!$C$5:$D$110,2, FALSE())</f>
        <v>#N/A</v>
      </c>
      <c r="K75" s="27" t="e">
        <f aca="false">VLOOKUP(C75,Default!$B$4:$E$114,4, FALSE())</f>
        <v>#N/A</v>
      </c>
      <c r="L75" s="24" t="s">
        <v>136</v>
      </c>
      <c r="M75" s="25"/>
      <c r="N75" s="25"/>
    </row>
    <row r="76" customFormat="false" ht="15" hidden="false" customHeight="false" outlineLevel="0" collapsed="false">
      <c r="A76" s="21" t="n">
        <v>3</v>
      </c>
      <c r="B76" s="21" t="n">
        <v>74</v>
      </c>
      <c r="C76" s="21" t="str">
        <f aca="false">IF(G76 = "",F76,IF(OR(G76="alpha",G76="beta",G76="constant",G76="sd",G76="mean",G76="sample"),F76,F76&amp;" "&amp;G76))</f>
        <v/>
      </c>
      <c r="D76" s="21" t="str">
        <f aca="false">F76&amp;"_"&amp;E76</f>
        <v>_bogota</v>
      </c>
      <c r="E76" s="27" t="str">
        <f aca="true" t="array" ref="E76:E76">INDIRECT(ADDRESS(1,A76,1,1,"all_city_parameter_inputs"))</f>
        <v>bogota</v>
      </c>
      <c r="F76" s="27" t="str">
        <f aca="true" t="array" ref="F76:F76">IF(AND(ISBLANK(INDIRECT(ADDRESS(B76,2,1,1,"all_city_parameter_inputs"))), ISBLANK(INDIRECT(ADDRESS(B76,1,1,1,"all_city_parameter_inputs")))), "", IF(ISBLANK(INDIRECT(ADDRESS(B76,1,1,1,"all_city_parameter_inputs"))), All_city_list!F75,INDIRECT(ADDRESS(B76,1,1,1,"all_city_parameter_inputs"))))</f>
        <v/>
      </c>
      <c r="G76" s="27" t="str">
        <f aca="true" t="array" ref="G76:G76">IF(AND(ISBLANK(INDIRECT(ADDRESS(B76,3,1,1,"all_city_parameter_inputs"))),ISBLANK(INDIRECT(ADDRESS(B76,2,1,1,"all_city_parameter_inputs")))),"",IF(ISBLANK(INDIRECT(ADDRESS(B76,2,1,1,"all_city_parameter_inputs"))),"",INDIRECT(ADDRESS(B76,2,1,1,"all_city_parameter_inputs"))))</f>
        <v/>
      </c>
      <c r="H76" s="28" t="str">
        <f aca="true" t="array" ref="H76:H76">IF(ISBLANK(INDIRECT(ADDRESS(B76,A76,1,1,"all_city_parameter_inputs"))), "--",INDIRECT(ADDRESS(B76,A76,1,1,"all_city_parameter_inputs")))</f>
        <v>--</v>
      </c>
      <c r="I76" s="28" t="e">
        <f aca="false">IF(OR(G76="alpha",G76="beta",G76="sd",G76="mean"),"--",VLOOKUP(C76,Default!$B$5:$H$114,7,FALSE()))</f>
        <v>#N/A</v>
      </c>
      <c r="J76" s="27" t="e">
        <f aca="false">VLOOKUP(F76,Lookup!$C$5:$D$110,2, FALSE())</f>
        <v>#N/A</v>
      </c>
      <c r="K76" s="27" t="e">
        <f aca="false">VLOOKUP(C76,Default!$B$4:$E$114,4, FALSE())</f>
        <v>#N/A</v>
      </c>
      <c r="L76" s="25" t="str">
        <f aca="true" t="array" ref="L76:L76">IF(ISNA(VLOOKUP($D76,Grouped_Sources!$C:$C,1,FALSE())),"", INDIRECT(VLOOKUP($D76,Grouped_Sources!$C:$I,5,FALSE())))</f>
        <v/>
      </c>
      <c r="M76" s="25" t="str">
        <f aca="true">IF(ISNA(VLOOKUP($D76,Grouped_Sources!$C:$C,1,FALSE())),"", INDIRECT(VLOOKUP($D76,Grouped_Sources!$C:$I,6,FALSE())))</f>
        <v/>
      </c>
      <c r="N76" s="25" t="str">
        <f aca="true">IF(ISNA(VLOOKUP($D76,Grouped_Sources!$C:$C,1,FALSE())),"", INDIRECT(VLOOKUP($D76,Grouped_Sources!$C:$I,7,FALSE())))</f>
        <v/>
      </c>
    </row>
    <row r="77" customFormat="false" ht="15" hidden="false" customHeight="false" outlineLevel="0" collapsed="false">
      <c r="A77" s="21" t="n">
        <v>3</v>
      </c>
      <c r="B77" s="21" t="n">
        <v>75</v>
      </c>
      <c r="C77" s="21" t="str">
        <f aca="false">IF(G77 = "",F77,IF(OR(G77="alpha",G77="beta",G77="constant",G77="sd",G77="mean",G77="sample"),F77,F77&amp;" "&amp;G77))</f>
        <v/>
      </c>
      <c r="D77" s="21" t="str">
        <f aca="false">F77&amp;"_"&amp;E77</f>
        <v>_bogota</v>
      </c>
      <c r="E77" s="27" t="str">
        <f aca="true" t="array" ref="E77:E77">INDIRECT(ADDRESS(1,A77,1,1,"all_city_parameter_inputs"))</f>
        <v>bogota</v>
      </c>
      <c r="F77" s="27" t="str">
        <f aca="true" t="array" ref="F77:F77">IF(AND(ISBLANK(INDIRECT(ADDRESS(B77,2,1,1,"all_city_parameter_inputs"))), ISBLANK(INDIRECT(ADDRESS(B77,1,1,1,"all_city_parameter_inputs")))), "", IF(ISBLANK(INDIRECT(ADDRESS(B77,1,1,1,"all_city_parameter_inputs"))), All_city_list!F76,INDIRECT(ADDRESS(B77,1,1,1,"all_city_parameter_inputs"))))</f>
        <v/>
      </c>
      <c r="G77" s="27" t="str">
        <f aca="true" t="array" ref="G77:G77">IF(AND(ISBLANK(INDIRECT(ADDRESS(B77,3,1,1,"all_city_parameter_inputs"))),ISBLANK(INDIRECT(ADDRESS(B77,2,1,1,"all_city_parameter_inputs")))),"",IF(ISBLANK(INDIRECT(ADDRESS(B77,2,1,1,"all_city_parameter_inputs"))),"",INDIRECT(ADDRESS(B77,2,1,1,"all_city_parameter_inputs"))))</f>
        <v/>
      </c>
      <c r="H77" s="28" t="str">
        <f aca="true" t="array" ref="H77:H77">IF(ISBLANK(INDIRECT(ADDRESS(B77,A77,1,1,"all_city_parameter_inputs"))), "--",INDIRECT(ADDRESS(B77,A77,1,1,"all_city_parameter_inputs")))</f>
        <v>--</v>
      </c>
      <c r="I77" s="28" t="e">
        <f aca="false">IF(OR(G77="alpha",G77="beta",G77="sd",G77="mean"),"--",VLOOKUP(C77,Default!$B$5:$H$114,7,FALSE()))</f>
        <v>#N/A</v>
      </c>
      <c r="J77" s="27" t="e">
        <f aca="false">VLOOKUP(F77,Lookup!$C$5:$D$110,2, FALSE())</f>
        <v>#N/A</v>
      </c>
      <c r="K77" s="27" t="e">
        <f aca="false">VLOOKUP(C77,Default!$B$4:$E$114,4, FALSE())</f>
        <v>#N/A</v>
      </c>
      <c r="L77" s="25" t="str">
        <f aca="true" t="array" ref="L77:L77">IF(ISNA(VLOOKUP($D77,Grouped_Sources!$C:$C,1,FALSE())),"", INDIRECT(VLOOKUP($D77,Grouped_Sources!$C:$I,5,FALSE())))</f>
        <v/>
      </c>
      <c r="M77" s="25" t="str">
        <f aca="true">IF(ISNA(VLOOKUP($D77,Grouped_Sources!$C:$C,1,FALSE())),"", INDIRECT(VLOOKUP($D77,Grouped_Sources!$C:$I,6,FALSE())))</f>
        <v/>
      </c>
      <c r="N77" s="25" t="str">
        <f aca="true">IF(ISNA(VLOOKUP($D77,Grouped_Sources!$C:$C,1,FALSE())),"", INDIRECT(VLOOKUP($D77,Grouped_Sources!$C:$I,7,FALSE())))</f>
        <v/>
      </c>
    </row>
    <row r="78" customFormat="false" ht="16.4" hidden="false" customHeight="false" outlineLevel="0" collapsed="false">
      <c r="A78" s="21" t="n">
        <v>3</v>
      </c>
      <c r="B78" s="21" t="n">
        <v>76</v>
      </c>
      <c r="C78" s="21" t="str">
        <f aca="false">IF(G78 = "",F78,IF(OR(G78="alpha",G78="beta",G78="constant",G78="sd",G78="mean",G78="sample"),F78,F78&amp;" "&amp;G78))</f>
        <v/>
      </c>
      <c r="D78" s="21" t="str">
        <f aca="false">F78&amp;"_"&amp;E78</f>
        <v>_bogota</v>
      </c>
      <c r="E78" s="27" t="str">
        <f aca="true" t="array" ref="E78:E78">INDIRECT(ADDRESS(1,A78,1,1,"all_city_parameter_inputs"))</f>
        <v>bogota</v>
      </c>
      <c r="F78" s="27" t="str">
        <f aca="true" t="array" ref="F78:F78">IF(AND(ISBLANK(INDIRECT(ADDRESS(B78,2,1,1,"all_city_parameter_inputs"))), ISBLANK(INDIRECT(ADDRESS(B78,1,1,1,"all_city_parameter_inputs")))), "", IF(ISBLANK(INDIRECT(ADDRESS(B78,1,1,1,"all_city_parameter_inputs"))), All_city_list!F77,INDIRECT(ADDRESS(B78,1,1,1,"all_city_parameter_inputs"))))</f>
        <v/>
      </c>
      <c r="G78" s="27" t="str">
        <f aca="true" t="array" ref="G78:G78">IF(AND(ISBLANK(INDIRECT(ADDRESS(B78,3,1,1,"all_city_parameter_inputs"))),ISBLANK(INDIRECT(ADDRESS(B78,2,1,1,"all_city_parameter_inputs")))),"",IF(ISBLANK(INDIRECT(ADDRESS(B78,2,1,1,"all_city_parameter_inputs"))),"",INDIRECT(ADDRESS(B78,2,1,1,"all_city_parameter_inputs"))))</f>
        <v/>
      </c>
      <c r="H78" s="28" t="str">
        <f aca="true" t="array" ref="H78:H78">IF(ISBLANK(INDIRECT(ADDRESS(B78,A78,1,1,"all_city_parameter_inputs"))), "--",INDIRECT(ADDRESS(B78,A78,1,1,"all_city_parameter_inputs")))</f>
        <v>--</v>
      </c>
      <c r="I78" s="28" t="e">
        <f aca="false">IF(OR(G78="alpha",G78="beta",G78="sd",G78="mean"),"--",VLOOKUP(C78,Default!$B$5:$H$114,7,FALSE()))</f>
        <v>#N/A</v>
      </c>
      <c r="J78" s="27" t="e">
        <f aca="false">VLOOKUP(F78,Lookup!$C$5:$D$110,2, FALSE())</f>
        <v>#N/A</v>
      </c>
      <c r="K78" s="27" t="e">
        <f aca="false">VLOOKUP(C78,Default!$B$4:$E$114,4, FALSE())</f>
        <v>#N/A</v>
      </c>
      <c r="L78" s="31" t="s">
        <v>111</v>
      </c>
      <c r="M78" s="24" t="s">
        <v>112</v>
      </c>
      <c r="N78" s="25"/>
    </row>
    <row r="79" customFormat="false" ht="15" hidden="false" customHeight="false" outlineLevel="0" collapsed="false">
      <c r="A79" s="21" t="n">
        <v>3</v>
      </c>
      <c r="B79" s="21" t="n">
        <v>77</v>
      </c>
      <c r="C79" s="21" t="str">
        <f aca="false">IF(G79 = "",F79,IF(OR(G79="alpha",G79="beta",G79="constant",G79="sd",G79="mean",G79="sample"),F79,F79&amp;" "&amp;G79))</f>
        <v/>
      </c>
      <c r="D79" s="21" t="str">
        <f aca="false">F79&amp;"_"&amp;E79</f>
        <v>_bogota</v>
      </c>
      <c r="E79" s="27" t="str">
        <f aca="true" t="array" ref="E79:E79">INDIRECT(ADDRESS(1,A79,1,1,"all_city_parameter_inputs"))</f>
        <v>bogota</v>
      </c>
      <c r="F79" s="27" t="str">
        <f aca="true" t="array" ref="F79:F79">IF(AND(ISBLANK(INDIRECT(ADDRESS(B79,2,1,1,"all_city_parameter_inputs"))), ISBLANK(INDIRECT(ADDRESS(B79,1,1,1,"all_city_parameter_inputs")))), "", IF(ISBLANK(INDIRECT(ADDRESS(B79,1,1,1,"all_city_parameter_inputs"))), All_city_list!F78,INDIRECT(ADDRESS(B79,1,1,1,"all_city_parameter_inputs"))))</f>
        <v/>
      </c>
      <c r="G79" s="27" t="str">
        <f aca="true" t="array" ref="G79:G79">IF(AND(ISBLANK(INDIRECT(ADDRESS(B79,3,1,1,"all_city_parameter_inputs"))),ISBLANK(INDIRECT(ADDRESS(B79,2,1,1,"all_city_parameter_inputs")))),"",IF(ISBLANK(INDIRECT(ADDRESS(B79,2,1,1,"all_city_parameter_inputs"))),"",INDIRECT(ADDRESS(B79,2,1,1,"all_city_parameter_inputs"))))</f>
        <v/>
      </c>
      <c r="H79" s="28" t="str">
        <f aca="true" t="array" ref="H79:H79">IF(ISBLANK(INDIRECT(ADDRESS(B79,A79,1,1,"all_city_parameter_inputs"))), "--",INDIRECT(ADDRESS(B79,A79,1,1,"all_city_parameter_inputs")))</f>
        <v>--</v>
      </c>
      <c r="I79" s="28" t="e">
        <f aca="false">IF(OR(G79="alpha",G79="beta",G79="sd",G79="mean"),"--",VLOOKUP(C79,Default!$B$5:$H$114,7,FALSE()))</f>
        <v>#N/A</v>
      </c>
      <c r="J79" s="27" t="e">
        <f aca="false">VLOOKUP(F79,Lookup!$C$5:$D$110,2, FALSE())</f>
        <v>#N/A</v>
      </c>
      <c r="K79" s="27" t="e">
        <f aca="false">VLOOKUP(C79,Default!$B$4:$E$114,4, FALSE())</f>
        <v>#N/A</v>
      </c>
      <c r="L79" s="25" t="str">
        <f aca="true" t="array" ref="L79:L79">IF(ISNA(VLOOKUP($D79,Grouped_Sources!$C:$C,1,FALSE())),"", INDIRECT(VLOOKUP($D79,Grouped_Sources!$C:$I,5,FALSE())))</f>
        <v/>
      </c>
      <c r="M79" s="25" t="str">
        <f aca="true" t="array" ref="M79:M79">IF(ISNA(VLOOKUP($D79,Grouped_Sources!$C:$C,1,FALSE())),"", INDIRECT(VLOOKUP($D79,Grouped_Sources!$C:$I,6,FALSE())))</f>
        <v/>
      </c>
      <c r="N79" s="25" t="str">
        <f aca="true" t="array" ref="N79:N79">IF(ISNA(VLOOKUP($D79,Grouped_Sources!$C:$C,1,FALSE())),"", INDIRECT(VLOOKUP($D79,Grouped_Sources!$C:$I,7,FALSE())))</f>
        <v/>
      </c>
    </row>
    <row r="80" customFormat="false" ht="15" hidden="false" customHeight="false" outlineLevel="0" collapsed="false">
      <c r="A80" s="21" t="n">
        <v>3</v>
      </c>
      <c r="B80" s="21" t="n">
        <v>78</v>
      </c>
      <c r="C80" s="21" t="str">
        <f aca="false">IF(G80 = "",F80,IF(OR(G80="alpha",G80="beta",G80="constant",G80="sd",G80="mean",G80="sample"),F80,F80&amp;" "&amp;G80))</f>
        <v/>
      </c>
      <c r="D80" s="21" t="str">
        <f aca="false">F80&amp;"_"&amp;E80</f>
        <v>_bogota</v>
      </c>
      <c r="E80" s="27" t="str">
        <f aca="true" t="array" ref="E80:E80">INDIRECT(ADDRESS(1,A80,1,1,"all_city_parameter_inputs"))</f>
        <v>bogota</v>
      </c>
      <c r="F80" s="27" t="str">
        <f aca="true" t="array" ref="F80:F80">IF(AND(ISBLANK(INDIRECT(ADDRESS(B80,2,1,1,"all_city_parameter_inputs"))), ISBLANK(INDIRECT(ADDRESS(B80,1,1,1,"all_city_parameter_inputs")))), "", IF(ISBLANK(INDIRECT(ADDRESS(B80,1,1,1,"all_city_parameter_inputs"))), All_city_list!F79,INDIRECT(ADDRESS(B80,1,1,1,"all_city_parameter_inputs"))))</f>
        <v/>
      </c>
      <c r="G80" s="27" t="str">
        <f aca="true" t="array" ref="G80:G80">IF(AND(ISBLANK(INDIRECT(ADDRESS(B80,3,1,1,"all_city_parameter_inputs"))),ISBLANK(INDIRECT(ADDRESS(B80,2,1,1,"all_city_parameter_inputs")))),"",IF(ISBLANK(INDIRECT(ADDRESS(B80,2,1,1,"all_city_parameter_inputs"))),"",INDIRECT(ADDRESS(B80,2,1,1,"all_city_parameter_inputs"))))</f>
        <v/>
      </c>
      <c r="H80" s="28" t="str">
        <f aca="true" t="array" ref="H80:H80">IF(ISBLANK(INDIRECT(ADDRESS(B80,A80,1,1,"all_city_parameter_inputs"))), "--",INDIRECT(ADDRESS(B80,A80,1,1,"all_city_parameter_inputs")))</f>
        <v>--</v>
      </c>
      <c r="I80" s="28" t="e">
        <f aca="false">IF(OR(G80="alpha",G80="beta",G80="sd",G80="mean"),"--",VLOOKUP(C80,Default!$B$5:$H$114,7,FALSE()))</f>
        <v>#N/A</v>
      </c>
      <c r="J80" s="27" t="e">
        <f aca="false">VLOOKUP(F80,Lookup!$C$5:$D$110,2, FALSE())</f>
        <v>#N/A</v>
      </c>
      <c r="K80" s="27" t="e">
        <f aca="false">VLOOKUP(C80,Default!$B$4:$E$114,4, FALSE())</f>
        <v>#N/A</v>
      </c>
      <c r="L80" s="25" t="str">
        <f aca="true" t="array" ref="L80:L80">IF(ISNA(VLOOKUP($D80,Grouped_Sources!$C:$C,1,FALSE())),"", INDIRECT(VLOOKUP($D80,Grouped_Sources!$C:$I,5,FALSE())))</f>
        <v/>
      </c>
      <c r="M80" s="25" t="str">
        <f aca="true" t="array" ref="M80:M80">IF(ISNA(VLOOKUP($D80,Grouped_Sources!$C:$C,1,FALSE())),"", INDIRECT(VLOOKUP($D80,Grouped_Sources!$C:$I,6,FALSE())))</f>
        <v/>
      </c>
      <c r="N80" s="25" t="str">
        <f aca="true" t="array" ref="N80:N80">IF(ISNA(VLOOKUP($D80,Grouped_Sources!$C:$C,1,FALSE())),"", INDIRECT(VLOOKUP($D80,Grouped_Sources!$C:$I,7,FALSE())))</f>
        <v/>
      </c>
    </row>
    <row r="81" customFormat="false" ht="15" hidden="false" customHeight="false" outlineLevel="0" collapsed="false">
      <c r="A81" s="21" t="n">
        <v>3</v>
      </c>
      <c r="B81" s="21" t="n">
        <v>79</v>
      </c>
      <c r="C81" s="21" t="str">
        <f aca="false">IF(G81 = "",F81,IF(OR(G81="alpha",G81="beta",G81="constant",G81="sd",G81="mean",G81="sample"),F81,F81&amp;" "&amp;G81))</f>
        <v/>
      </c>
      <c r="D81" s="21" t="str">
        <f aca="false">F81&amp;"_"&amp;E81</f>
        <v>_bogota</v>
      </c>
      <c r="E81" s="27" t="str">
        <f aca="true" t="array" ref="E81:E81">INDIRECT(ADDRESS(1,A81,1,1,"all_city_parameter_inputs"))</f>
        <v>bogota</v>
      </c>
      <c r="F81" s="27" t="str">
        <f aca="true" t="array" ref="F81:F81">IF(AND(ISBLANK(INDIRECT(ADDRESS(B81,2,1,1,"all_city_parameter_inputs"))), ISBLANK(INDIRECT(ADDRESS(B81,1,1,1,"all_city_parameter_inputs")))), "", IF(ISBLANK(INDIRECT(ADDRESS(B81,1,1,1,"all_city_parameter_inputs"))), All_city_list!F80,INDIRECT(ADDRESS(B81,1,1,1,"all_city_parameter_inputs"))))</f>
        <v/>
      </c>
      <c r="G81" s="27" t="str">
        <f aca="true" t="array" ref="G81:G81">IF(AND(ISBLANK(INDIRECT(ADDRESS(B81,3,1,1,"all_city_parameter_inputs"))),ISBLANK(INDIRECT(ADDRESS(B81,2,1,1,"all_city_parameter_inputs")))),"",IF(ISBLANK(INDIRECT(ADDRESS(B81,2,1,1,"all_city_parameter_inputs"))),"",INDIRECT(ADDRESS(B81,2,1,1,"all_city_parameter_inputs"))))</f>
        <v/>
      </c>
      <c r="H81" s="28" t="str">
        <f aca="true" t="array" ref="H81:H81">IF(ISBLANK(INDIRECT(ADDRESS(B81,A81,1,1,"all_city_parameter_inputs"))), "--",INDIRECT(ADDRESS(B81,A81,1,1,"all_city_parameter_inputs")))</f>
        <v>--</v>
      </c>
      <c r="I81" s="28" t="e">
        <f aca="false">IF(OR(G81="alpha",G81="beta",G81="sd",G81="mean"),"--",VLOOKUP(C81,Default!$B$5:$H$114,7,FALSE()))</f>
        <v>#N/A</v>
      </c>
      <c r="J81" s="27" t="e">
        <f aca="false">VLOOKUP(F81,Lookup!$C$5:$D$110,2, FALSE())</f>
        <v>#N/A</v>
      </c>
      <c r="K81" s="27" t="e">
        <f aca="false">VLOOKUP(C81,Default!$B$4:$E$114,4, FALSE())</f>
        <v>#N/A</v>
      </c>
      <c r="L81" s="25" t="str">
        <f aca="true" t="array" ref="L81:L81">IF(ISNA(VLOOKUP($D81,Grouped_Sources!$C:$C,1,FALSE())),"", INDIRECT(VLOOKUP($D81,Grouped_Sources!$C:$I,5,FALSE())))</f>
        <v/>
      </c>
      <c r="M81" s="25" t="str">
        <f aca="true" t="array" ref="M81:M81">IF(ISNA(VLOOKUP($D81,Grouped_Sources!$C:$C,1,FALSE())),"", INDIRECT(VLOOKUP($D81,Grouped_Sources!$C:$I,6,FALSE())))</f>
        <v/>
      </c>
      <c r="N81" s="25" t="str">
        <f aca="true" t="array" ref="N81:N81">IF(ISNA(VLOOKUP($D81,Grouped_Sources!$C:$C,1,FALSE())),"", INDIRECT(VLOOKUP($D81,Grouped_Sources!$C:$I,7,FALSE())))</f>
        <v/>
      </c>
    </row>
    <row r="82" customFormat="false" ht="15" hidden="false" customHeight="false" outlineLevel="0" collapsed="false">
      <c r="A82" s="21" t="n">
        <v>3</v>
      </c>
      <c r="B82" s="21" t="n">
        <v>80</v>
      </c>
      <c r="C82" s="21" t="str">
        <f aca="false">IF(G82 = "",F82,IF(OR(G82="alpha",G82="beta",G82="constant",G82="sd",G82="mean",G82="sample"),F82,F82&amp;" "&amp;G82))</f>
        <v/>
      </c>
      <c r="D82" s="21" t="str">
        <f aca="false">F82&amp;"_"&amp;E82</f>
        <v>_bogota</v>
      </c>
      <c r="E82" s="27" t="str">
        <f aca="true" t="array" ref="E82:E82">INDIRECT(ADDRESS(1,A82,1,1,"all_city_parameter_inputs"))</f>
        <v>bogota</v>
      </c>
      <c r="F82" s="27" t="str">
        <f aca="true" t="array" ref="F82:F82">IF(AND(ISBLANK(INDIRECT(ADDRESS(B82,2,1,1,"all_city_parameter_inputs"))), ISBLANK(INDIRECT(ADDRESS(B82,1,1,1,"all_city_parameter_inputs")))), "", IF(ISBLANK(INDIRECT(ADDRESS(B82,1,1,1,"all_city_parameter_inputs"))), All_city_list!F81,INDIRECT(ADDRESS(B82,1,1,1,"all_city_parameter_inputs"))))</f>
        <v/>
      </c>
      <c r="G82" s="27" t="str">
        <f aca="true" t="array" ref="G82:G82">IF(AND(ISBLANK(INDIRECT(ADDRESS(B82,3,1,1,"all_city_parameter_inputs"))),ISBLANK(INDIRECT(ADDRESS(B82,2,1,1,"all_city_parameter_inputs")))),"",IF(ISBLANK(INDIRECT(ADDRESS(B82,2,1,1,"all_city_parameter_inputs"))),"",INDIRECT(ADDRESS(B82,2,1,1,"all_city_parameter_inputs"))))</f>
        <v/>
      </c>
      <c r="H82" s="28" t="str">
        <f aca="true" t="array" ref="H82:H82">IF(ISBLANK(INDIRECT(ADDRESS(B82,A82,1,1,"all_city_parameter_inputs"))), "--",INDIRECT(ADDRESS(B82,A82,1,1,"all_city_parameter_inputs")))</f>
        <v>--</v>
      </c>
      <c r="I82" s="28" t="e">
        <f aca="false">IF(OR(G82="alpha",G82="beta",G82="sd",G82="mean"),"--",VLOOKUP(C82,Default!$B$5:$H$114,7,FALSE()))</f>
        <v>#N/A</v>
      </c>
      <c r="J82" s="27" t="e">
        <f aca="false">VLOOKUP(F82,Lookup!$C$5:$D$110,2, FALSE())</f>
        <v>#N/A</v>
      </c>
      <c r="K82" s="27" t="e">
        <f aca="false">VLOOKUP(C82,Default!$B$4:$E$114,4, FALSE())</f>
        <v>#N/A</v>
      </c>
      <c r="L82" s="25" t="str">
        <f aca="true" t="array" ref="L82:L82">IF(ISNA(VLOOKUP($D82,Grouped_Sources!$C:$C,1,FALSE())),"", INDIRECT(VLOOKUP($D82,Grouped_Sources!$C:$I,5,FALSE())))</f>
        <v/>
      </c>
      <c r="M82" s="25" t="str">
        <f aca="true" t="array" ref="M82:M82">IF(ISNA(VLOOKUP($D82,Grouped_Sources!$C:$C,1,FALSE())),"", INDIRECT(VLOOKUP($D82,Grouped_Sources!$C:$I,6,FALSE())))</f>
        <v/>
      </c>
      <c r="N82" s="25" t="str">
        <f aca="true" t="array" ref="N82:N82">IF(ISNA(VLOOKUP($D82,Grouped_Sources!$C:$C,1,FALSE())),"", INDIRECT(VLOOKUP($D82,Grouped_Sources!$C:$I,7,FALSE())))</f>
        <v/>
      </c>
    </row>
    <row r="83" customFormat="false" ht="15" hidden="false" customHeight="false" outlineLevel="0" collapsed="false">
      <c r="A83" s="21" t="n">
        <v>3</v>
      </c>
      <c r="B83" s="21" t="n">
        <v>81</v>
      </c>
      <c r="C83" s="21" t="str">
        <f aca="false">IF(G83 = "",F83,IF(OR(G83="alpha",G83="beta",G83="constant",G83="sd",G83="mean",G83="sample"),F83,F83&amp;" "&amp;G83))</f>
        <v/>
      </c>
      <c r="D83" s="21" t="str">
        <f aca="false">F83&amp;"_"&amp;E83</f>
        <v>_bogota</v>
      </c>
      <c r="E83" s="27" t="str">
        <f aca="true" t="array" ref="E83:E83">INDIRECT(ADDRESS(1,A83,1,1,"all_city_parameter_inputs"))</f>
        <v>bogota</v>
      </c>
      <c r="F83" s="27" t="str">
        <f aca="true" t="array" ref="F83:F83">IF(AND(ISBLANK(INDIRECT(ADDRESS(B83,2,1,1,"all_city_parameter_inputs"))), ISBLANK(INDIRECT(ADDRESS(B83,1,1,1,"all_city_parameter_inputs")))), "", IF(ISBLANK(INDIRECT(ADDRESS(B83,1,1,1,"all_city_parameter_inputs"))), All_city_list!F82,INDIRECT(ADDRESS(B83,1,1,1,"all_city_parameter_inputs"))))</f>
        <v/>
      </c>
      <c r="G83" s="27" t="str">
        <f aca="true" t="array" ref="G83:G83">IF(AND(ISBLANK(INDIRECT(ADDRESS(B83,3,1,1,"all_city_parameter_inputs"))),ISBLANK(INDIRECT(ADDRESS(B83,2,1,1,"all_city_parameter_inputs")))),"",IF(ISBLANK(INDIRECT(ADDRESS(B83,2,1,1,"all_city_parameter_inputs"))),"",INDIRECT(ADDRESS(B83,2,1,1,"all_city_parameter_inputs"))))</f>
        <v/>
      </c>
      <c r="H83" s="28" t="str">
        <f aca="true" t="array" ref="H83:H83">IF(ISBLANK(INDIRECT(ADDRESS(B83,A83,1,1,"all_city_parameter_inputs"))), "--",INDIRECT(ADDRESS(B83,A83,1,1,"all_city_parameter_inputs")))</f>
        <v>--</v>
      </c>
      <c r="I83" s="28" t="e">
        <f aca="false">IF(OR(G83="alpha",G83="beta",G83="sd",G83="mean"),"--",VLOOKUP(C83,Default!$B$5:$H$114,7,FALSE()))</f>
        <v>#N/A</v>
      </c>
      <c r="J83" s="27" t="e">
        <f aca="false">VLOOKUP(F83,Lookup!$C$5:$D$110,2, FALSE())</f>
        <v>#N/A</v>
      </c>
      <c r="K83" s="27" t="e">
        <f aca="false">VLOOKUP(C83,Default!$B$4:$E$114,4, FALSE())</f>
        <v>#N/A</v>
      </c>
      <c r="L83" s="25" t="str">
        <f aca="true" t="array" ref="L83:L83">IF(ISNA(VLOOKUP($D83,Grouped_Sources!$C:$C,1,FALSE())),"", INDIRECT(VLOOKUP($D83,Grouped_Sources!$C:$I,5,FALSE())))</f>
        <v/>
      </c>
      <c r="M83" s="25" t="str">
        <f aca="true" t="array" ref="M83:M83">IF(ISNA(VLOOKUP($D83,Grouped_Sources!$C:$C,1,FALSE())),"", INDIRECT(VLOOKUP($D83,Grouped_Sources!$C:$I,6,FALSE())))</f>
        <v/>
      </c>
      <c r="N83" s="25" t="str">
        <f aca="true" t="array" ref="N83:N83">IF(ISNA(VLOOKUP($D83,Grouped_Sources!$C:$C,1,FALSE())),"", INDIRECT(VLOOKUP($D83,Grouped_Sources!$C:$I,7,FALSE())))</f>
        <v/>
      </c>
    </row>
    <row r="84" customFormat="false" ht="15" hidden="false" customHeight="false" outlineLevel="0" collapsed="false">
      <c r="A84" s="21" t="n">
        <v>3</v>
      </c>
      <c r="B84" s="21" t="n">
        <v>82</v>
      </c>
      <c r="C84" s="21" t="str">
        <f aca="false">IF(G84 = "",F84,IF(OR(G84="alpha",G84="beta",G84="constant",G84="sd",G84="mean",G84="sample"),F84,F84&amp;" "&amp;G84))</f>
        <v/>
      </c>
      <c r="D84" s="21" t="str">
        <f aca="false">F84&amp;"_"&amp;E84</f>
        <v>_bogota</v>
      </c>
      <c r="E84" s="27" t="str">
        <f aca="true" t="array" ref="E84:E84">INDIRECT(ADDRESS(1,A84,1,1,"all_city_parameter_inputs"))</f>
        <v>bogota</v>
      </c>
      <c r="F84" s="27" t="str">
        <f aca="true" t="array" ref="F84:F84">IF(AND(ISBLANK(INDIRECT(ADDRESS(B84,2,1,1,"all_city_parameter_inputs"))), ISBLANK(INDIRECT(ADDRESS(B84,1,1,1,"all_city_parameter_inputs")))), "", IF(ISBLANK(INDIRECT(ADDRESS(B84,1,1,1,"all_city_parameter_inputs"))), All_city_list!F83,INDIRECT(ADDRESS(B84,1,1,1,"all_city_parameter_inputs"))))</f>
        <v/>
      </c>
      <c r="G84" s="27" t="str">
        <f aca="true" t="array" ref="G84:G84">IF(AND(ISBLANK(INDIRECT(ADDRESS(B84,3,1,1,"all_city_parameter_inputs"))),ISBLANK(INDIRECT(ADDRESS(B84,2,1,1,"all_city_parameter_inputs")))),"",IF(ISBLANK(INDIRECT(ADDRESS(B84,2,1,1,"all_city_parameter_inputs"))),"",INDIRECT(ADDRESS(B84,2,1,1,"all_city_parameter_inputs"))))</f>
        <v/>
      </c>
      <c r="H84" s="28" t="str">
        <f aca="true" t="array" ref="H84:H84">IF(ISBLANK(INDIRECT(ADDRESS(B84,A84,1,1,"all_city_parameter_inputs"))), "--",INDIRECT(ADDRESS(B84,A84,1,1,"all_city_parameter_inputs")))</f>
        <v>--</v>
      </c>
      <c r="I84" s="28" t="e">
        <f aca="false">IF(OR(G84="alpha",G84="beta",G84="sd",G84="mean"),"--",VLOOKUP(C84,Default!$B$5:$H$114,7,FALSE()))</f>
        <v>#N/A</v>
      </c>
      <c r="J84" s="27" t="e">
        <f aca="false">VLOOKUP(F84,Lookup!$C$5:$D$110,2, FALSE())</f>
        <v>#N/A</v>
      </c>
      <c r="K84" s="27" t="e">
        <f aca="false">VLOOKUP(C84,Default!$B$4:$E$114,4, FALSE())</f>
        <v>#N/A</v>
      </c>
      <c r="L84" s="25" t="str">
        <f aca="true">IF(ISNA(VLOOKUP($D84,Grouped_Sources!$C:$C,1,FALSE())),"", INDIRECT(VLOOKUP($D84,Grouped_Sources!$C:$I,5,FALSE())))</f>
        <v/>
      </c>
      <c r="M84" s="25" t="str">
        <f aca="true">IF(ISNA(VLOOKUP($D84,Grouped_Sources!$C:$C,1,FALSE())),"", INDIRECT(VLOOKUP($D84,Grouped_Sources!$C:$I,6,FALSE())))</f>
        <v/>
      </c>
      <c r="N84" s="25" t="str">
        <f aca="true" t="array" ref="N84:N84">IF(ISNA(VLOOKUP($D84,Grouped_Sources!$C:$C,1,FALSE())),"", INDIRECT(VLOOKUP($D84,Grouped_Sources!$C:$I,7,FALSE())))</f>
        <v/>
      </c>
    </row>
    <row r="85" customFormat="false" ht="15" hidden="false" customHeight="false" outlineLevel="0" collapsed="false">
      <c r="A85" s="21" t="n">
        <v>3</v>
      </c>
      <c r="B85" s="21" t="n">
        <v>83</v>
      </c>
      <c r="C85" s="21" t="str">
        <f aca="false">IF(G85 = "",F85,IF(OR(G85="alpha",G85="beta",G85="constant",G85="sd",G85="mean",G85="sample"),F85,F85&amp;" "&amp;G85))</f>
        <v/>
      </c>
      <c r="D85" s="21" t="str">
        <f aca="false">F85&amp;"_"&amp;E85</f>
        <v>_bogota</v>
      </c>
      <c r="E85" s="27" t="str">
        <f aca="true" t="array" ref="E85:E85">INDIRECT(ADDRESS(1,A85,1,1,"all_city_parameter_inputs"))</f>
        <v>bogota</v>
      </c>
      <c r="F85" s="27" t="str">
        <f aca="true" t="array" ref="F85:F85">IF(AND(ISBLANK(INDIRECT(ADDRESS(B85,2,1,1,"all_city_parameter_inputs"))), ISBLANK(INDIRECT(ADDRESS(B85,1,1,1,"all_city_parameter_inputs")))), "", IF(ISBLANK(INDIRECT(ADDRESS(B85,1,1,1,"all_city_parameter_inputs"))), All_city_list!F84,INDIRECT(ADDRESS(B85,1,1,1,"all_city_parameter_inputs"))))</f>
        <v/>
      </c>
      <c r="G85" s="27" t="str">
        <f aca="true" t="array" ref="G85:G85">IF(AND(ISBLANK(INDIRECT(ADDRESS(B85,3,1,1,"all_city_parameter_inputs"))),ISBLANK(INDIRECT(ADDRESS(B85,2,1,1,"all_city_parameter_inputs")))),"",IF(ISBLANK(INDIRECT(ADDRESS(B85,2,1,1,"all_city_parameter_inputs"))),"",INDIRECT(ADDRESS(B85,2,1,1,"all_city_parameter_inputs"))))</f>
        <v/>
      </c>
      <c r="H85" s="28" t="str">
        <f aca="true" t="array" ref="H85:H85">IF(ISBLANK(INDIRECT(ADDRESS(B85,A85,1,1,"all_city_parameter_inputs"))), "--",INDIRECT(ADDRESS(B85,A85,1,1,"all_city_parameter_inputs")))</f>
        <v>--</v>
      </c>
      <c r="I85" s="28" t="e">
        <f aca="false">IF(OR(G85="alpha",G85="beta",G85="sd",G85="mean"),"--",VLOOKUP(C85,Default!$B$5:$H$114,7,FALSE()))</f>
        <v>#N/A</v>
      </c>
      <c r="J85" s="27" t="e">
        <f aca="false">VLOOKUP(F85,Lookup!$C$5:$D$110,2, FALSE())</f>
        <v>#N/A</v>
      </c>
      <c r="K85" s="27" t="e">
        <f aca="false">VLOOKUP(C85,Default!$B$4:$E$114,4, FALSE())</f>
        <v>#N/A</v>
      </c>
      <c r="L85" s="25" t="str">
        <f aca="true" t="array" ref="L85:L85">IF(ISNA(VLOOKUP($D85,Grouped_Sources!$C:$C,1,FALSE())),"", INDIRECT(VLOOKUP($D85,Grouped_Sources!$C:$I,5,FALSE())))</f>
        <v/>
      </c>
      <c r="M85" s="25" t="str">
        <f aca="true" t="array" ref="M85:M85">IF(ISNA(VLOOKUP($D85,Grouped_Sources!$C:$C,1,FALSE())),"", INDIRECT(VLOOKUP($D85,Grouped_Sources!$C:$I,6,FALSE())))</f>
        <v/>
      </c>
      <c r="N85" s="25" t="str">
        <f aca="true" t="array" ref="N85:N85">IF(ISNA(VLOOKUP($D85,Grouped_Sources!$C:$C,1,FALSE())),"", INDIRECT(VLOOKUP($D85,Grouped_Sources!$C:$I,7,FALSE())))</f>
        <v/>
      </c>
    </row>
    <row r="86" customFormat="false" ht="15" hidden="false" customHeight="false" outlineLevel="0" collapsed="false">
      <c r="A86" s="21" t="n">
        <v>3</v>
      </c>
      <c r="B86" s="21" t="n">
        <v>84</v>
      </c>
      <c r="C86" s="21" t="str">
        <f aca="false">IF(G86 = "",F86,IF(OR(G86="alpha",G86="beta",G86="constant",G86="sd",G86="mean",G86="sample"),F86,F86&amp;" "&amp;G86))</f>
        <v/>
      </c>
      <c r="D86" s="21" t="str">
        <f aca="false">F86&amp;"_"&amp;E86</f>
        <v>_bogota</v>
      </c>
      <c r="E86" s="27" t="str">
        <f aca="true" t="array" ref="E86:E86">INDIRECT(ADDRESS(1,A86,1,1,"all_city_parameter_inputs"))</f>
        <v>bogota</v>
      </c>
      <c r="F86" s="27" t="str">
        <f aca="true" t="array" ref="F86:F86">IF(AND(ISBLANK(INDIRECT(ADDRESS(B86,2,1,1,"all_city_parameter_inputs"))), ISBLANK(INDIRECT(ADDRESS(B86,1,1,1,"all_city_parameter_inputs")))), "", IF(ISBLANK(INDIRECT(ADDRESS(B86,1,1,1,"all_city_parameter_inputs"))), All_city_list!F85,INDIRECT(ADDRESS(B86,1,1,1,"all_city_parameter_inputs"))))</f>
        <v/>
      </c>
      <c r="G86" s="27" t="str">
        <f aca="true" t="array" ref="G86:G86">IF(AND(ISBLANK(INDIRECT(ADDRESS(B86,3,1,1,"all_city_parameter_inputs"))),ISBLANK(INDIRECT(ADDRESS(B86,2,1,1,"all_city_parameter_inputs")))),"",IF(ISBLANK(INDIRECT(ADDRESS(B86,2,1,1,"all_city_parameter_inputs"))),"",INDIRECT(ADDRESS(B86,2,1,1,"all_city_parameter_inputs"))))</f>
        <v/>
      </c>
      <c r="H86" s="28" t="str">
        <f aca="true" t="array" ref="H86:H86">IF(ISBLANK(INDIRECT(ADDRESS(B86,A86,1,1,"all_city_parameter_inputs"))), "--",INDIRECT(ADDRESS(B86,A86,1,1,"all_city_parameter_inputs")))</f>
        <v>--</v>
      </c>
      <c r="I86" s="28" t="e">
        <f aca="false">IF(OR(G86="alpha",G86="beta",G86="sd",G86="mean"),"--",VLOOKUP(C86,Default!$B$5:$H$114,7,FALSE()))</f>
        <v>#N/A</v>
      </c>
      <c r="J86" s="27" t="e">
        <f aca="false">VLOOKUP(F86,Lookup!$C$5:$D$110,2, FALSE())</f>
        <v>#N/A</v>
      </c>
      <c r="K86" s="27" t="e">
        <f aca="false">VLOOKUP(C86,Default!$B$4:$E$114,4, FALSE())</f>
        <v>#N/A</v>
      </c>
      <c r="L86" s="25" t="str">
        <f aca="true" t="array" ref="L86:L86">IF(ISNA(VLOOKUP($D86,Grouped_Sources!$C:$C,1,FALSE())),"", INDIRECT(VLOOKUP($D86,Grouped_Sources!$C:$I,5,FALSE())))</f>
        <v/>
      </c>
      <c r="M86" s="25" t="str">
        <f aca="true" t="array" ref="M86:M86">IF(ISNA(VLOOKUP($D86,Grouped_Sources!$C:$C,1,FALSE())),"", INDIRECT(VLOOKUP($D86,Grouped_Sources!$C:$I,6,FALSE())))</f>
        <v/>
      </c>
      <c r="N86" s="25" t="str">
        <f aca="true" t="array" ref="N86:N86">IF(ISNA(VLOOKUP($D86,Grouped_Sources!$C:$C,1,FALSE())),"", INDIRECT(VLOOKUP($D86,Grouped_Sources!$C:$I,7,FALSE())))</f>
        <v/>
      </c>
    </row>
    <row r="87" customFormat="false" ht="15" hidden="false" customHeight="false" outlineLevel="0" collapsed="false">
      <c r="A87" s="21" t="n">
        <v>3</v>
      </c>
      <c r="B87" s="21" t="n">
        <v>85</v>
      </c>
      <c r="C87" s="21" t="str">
        <f aca="false">IF(G87 = "",F87,IF(OR(G87="alpha",G87="beta",G87="constant",G87="sd",G87="mean",G87="sample"),F87,F87&amp;" "&amp;G87))</f>
        <v/>
      </c>
      <c r="D87" s="21" t="str">
        <f aca="false">F87&amp;"_"&amp;E87</f>
        <v>_bogota</v>
      </c>
      <c r="E87" s="27" t="str">
        <f aca="true" t="array" ref="E87:E87">INDIRECT(ADDRESS(1,A87,1,1,"all_city_parameter_inputs"))</f>
        <v>bogota</v>
      </c>
      <c r="F87" s="27" t="str">
        <f aca="true" t="array" ref="F87:F87">IF(AND(ISBLANK(INDIRECT(ADDRESS(B87,2,1,1,"all_city_parameter_inputs"))), ISBLANK(INDIRECT(ADDRESS(B87,1,1,1,"all_city_parameter_inputs")))), "", IF(ISBLANK(INDIRECT(ADDRESS(B87,1,1,1,"all_city_parameter_inputs"))), All_city_list!F86,INDIRECT(ADDRESS(B87,1,1,1,"all_city_parameter_inputs"))))</f>
        <v/>
      </c>
      <c r="G87" s="27" t="str">
        <f aca="true" t="array" ref="G87:G87">IF(AND(ISBLANK(INDIRECT(ADDRESS(B87,3,1,1,"all_city_parameter_inputs"))),ISBLANK(INDIRECT(ADDRESS(B87,2,1,1,"all_city_parameter_inputs")))),"",IF(ISBLANK(INDIRECT(ADDRESS(B87,2,1,1,"all_city_parameter_inputs"))),"",INDIRECT(ADDRESS(B87,2,1,1,"all_city_parameter_inputs"))))</f>
        <v/>
      </c>
      <c r="H87" s="28" t="str">
        <f aca="true" t="array" ref="H87:H87">IF(ISBLANK(INDIRECT(ADDRESS(B87,A87,1,1,"all_city_parameter_inputs"))), "--",INDIRECT(ADDRESS(B87,A87,1,1,"all_city_parameter_inputs")))</f>
        <v>--</v>
      </c>
      <c r="I87" s="28" t="e">
        <f aca="false">IF(OR(G87="alpha",G87="beta",G87="sd",G87="mean"),"--",VLOOKUP(C87,Default!$B$5:$H$114,7,FALSE()))</f>
        <v>#N/A</v>
      </c>
      <c r="J87" s="27" t="e">
        <f aca="false">VLOOKUP(F87,Lookup!$C$5:$D$110,2, FALSE())</f>
        <v>#N/A</v>
      </c>
      <c r="K87" s="27" t="e">
        <f aca="false">VLOOKUP(C87,Default!$B$4:$E$114,4, FALSE())</f>
        <v>#N/A</v>
      </c>
      <c r="L87" s="24" t="s">
        <v>130</v>
      </c>
      <c r="M87" s="25"/>
      <c r="N87" s="25"/>
    </row>
    <row r="88" customFormat="false" ht="15" hidden="false" customHeight="false" outlineLevel="0" collapsed="false">
      <c r="A88" s="21" t="n">
        <v>3</v>
      </c>
      <c r="B88" s="21" t="n">
        <v>86</v>
      </c>
      <c r="C88" s="21" t="str">
        <f aca="false">IF(G88 = "",F88,IF(OR(G88="alpha",G88="beta",G88="constant",G88="sd",G88="mean",G88="sample"),F88,F88&amp;" "&amp;G88))</f>
        <v/>
      </c>
      <c r="D88" s="21" t="str">
        <f aca="false">F88&amp;"_"&amp;E88</f>
        <v>_bogota</v>
      </c>
      <c r="E88" s="27" t="str">
        <f aca="true" t="array" ref="E88:E88">INDIRECT(ADDRESS(1,A88,1,1,"all_city_parameter_inputs"))</f>
        <v>bogota</v>
      </c>
      <c r="F88" s="27" t="str">
        <f aca="true" t="array" ref="F88:F88">IF(AND(ISBLANK(INDIRECT(ADDRESS(B88,2,1,1,"all_city_parameter_inputs"))), ISBLANK(INDIRECT(ADDRESS(B88,1,1,1,"all_city_parameter_inputs")))), "", IF(ISBLANK(INDIRECT(ADDRESS(B88,1,1,1,"all_city_parameter_inputs"))), All_city_list!F87,INDIRECT(ADDRESS(B88,1,1,1,"all_city_parameter_inputs"))))</f>
        <v/>
      </c>
      <c r="G88" s="27" t="str">
        <f aca="true" t="array" ref="G88:G88">IF(AND(ISBLANK(INDIRECT(ADDRESS(B88,3,1,1,"all_city_parameter_inputs"))),ISBLANK(INDIRECT(ADDRESS(B88,2,1,1,"all_city_parameter_inputs")))),"",IF(ISBLANK(INDIRECT(ADDRESS(B88,2,1,1,"all_city_parameter_inputs"))),"",INDIRECT(ADDRESS(B88,2,1,1,"all_city_parameter_inputs"))))</f>
        <v/>
      </c>
      <c r="H88" s="28" t="str">
        <f aca="true" t="array" ref="H88:H88">IF(ISBLANK(INDIRECT(ADDRESS(B88,A88,1,1,"all_city_parameter_inputs"))), "--",INDIRECT(ADDRESS(B88,A88,1,1,"all_city_parameter_inputs")))</f>
        <v>--</v>
      </c>
      <c r="I88" s="28" t="e">
        <f aca="false">IF(OR(G88="alpha",G88="beta",G88="sd",G88="mean"),"--",VLOOKUP(C88,Default!$B$5:$H$114,7,FALSE()))</f>
        <v>#N/A</v>
      </c>
      <c r="J88" s="27" t="e">
        <f aca="false">VLOOKUP(F88,Lookup!$C$5:$D$110,2, FALSE())</f>
        <v>#N/A</v>
      </c>
      <c r="K88" s="27" t="e">
        <f aca="false">VLOOKUP(C88,Default!$B$4:$E$114,4, FALSE())</f>
        <v>#N/A</v>
      </c>
      <c r="L88" s="24" t="s">
        <v>137</v>
      </c>
      <c r="M88" s="25" t="s">
        <v>138</v>
      </c>
      <c r="N88" s="25"/>
    </row>
    <row r="89" customFormat="false" ht="15" hidden="false" customHeight="false" outlineLevel="0" collapsed="false">
      <c r="A89" s="21" t="n">
        <v>3</v>
      </c>
      <c r="B89" s="21" t="n">
        <v>87</v>
      </c>
      <c r="C89" s="21" t="str">
        <f aca="false">IF(G89 = "",F89,IF(OR(G89="alpha",G89="beta",G89="constant",G89="sd",G89="mean",G89="sample"),F89,F89&amp;" "&amp;G89))</f>
        <v/>
      </c>
      <c r="D89" s="21" t="str">
        <f aca="false">F89&amp;"_"&amp;E89</f>
        <v>_bogota</v>
      </c>
      <c r="E89" s="27" t="str">
        <f aca="true" t="array" ref="E89:E89">INDIRECT(ADDRESS(1,A89,1,1,"all_city_parameter_inputs"))</f>
        <v>bogota</v>
      </c>
      <c r="F89" s="27" t="str">
        <f aca="true" t="array" ref="F89:F89">IF(AND(ISBLANK(INDIRECT(ADDRESS(B89,2,1,1,"all_city_parameter_inputs"))), ISBLANK(INDIRECT(ADDRESS(B89,1,1,1,"all_city_parameter_inputs")))), "", IF(ISBLANK(INDIRECT(ADDRESS(B89,1,1,1,"all_city_parameter_inputs"))), All_city_list!F88,INDIRECT(ADDRESS(B89,1,1,1,"all_city_parameter_inputs"))))</f>
        <v/>
      </c>
      <c r="G89" s="27" t="str">
        <f aca="true" t="array" ref="G89:G89">IF(AND(ISBLANK(INDIRECT(ADDRESS(B89,3,1,1,"all_city_parameter_inputs"))),ISBLANK(INDIRECT(ADDRESS(B89,2,1,1,"all_city_parameter_inputs")))),"",IF(ISBLANK(INDIRECT(ADDRESS(B89,2,1,1,"all_city_parameter_inputs"))),"",INDIRECT(ADDRESS(B89,2,1,1,"all_city_parameter_inputs"))))</f>
        <v/>
      </c>
      <c r="H89" s="28" t="str">
        <f aca="true" t="array" ref="H89:H89">IF(ISBLANK(INDIRECT(ADDRESS(B89,A89,1,1,"all_city_parameter_inputs"))), "--",INDIRECT(ADDRESS(B89,A89,1,1,"all_city_parameter_inputs")))</f>
        <v>--</v>
      </c>
      <c r="I89" s="28" t="e">
        <f aca="false">IF(OR(G89="alpha",G89="beta",G89="sd",G89="mean"),"--",VLOOKUP(C89,Default!$B$5:$H$114,7,FALSE()))</f>
        <v>#N/A</v>
      </c>
      <c r="J89" s="27" t="e">
        <f aca="false">VLOOKUP(F89,Lookup!$C$5:$D$110,2, FALSE())</f>
        <v>#N/A</v>
      </c>
      <c r="K89" s="27" t="e">
        <f aca="false">VLOOKUP(C89,Default!$B$4:$E$114,4, FALSE())</f>
        <v>#N/A</v>
      </c>
      <c r="L89" s="25" t="str">
        <f aca="true">IF(ISNA(VLOOKUP($D89,Grouped_Sources!$C:$C,1,FALSE())),"", INDIRECT(VLOOKUP($D89,Grouped_Sources!$C:$I,5,FALSE())))</f>
        <v/>
      </c>
      <c r="M89" s="25" t="str">
        <f aca="true">IF(ISNA(VLOOKUP($D89,Grouped_Sources!$C:$C,1,FALSE())),"", INDIRECT(VLOOKUP($D89,Grouped_Sources!$C:$I,6,FALSE())))</f>
        <v/>
      </c>
      <c r="N89" s="25" t="str">
        <f aca="true" t="array" ref="N89:N89">IF(ISNA(VLOOKUP($D89,Grouped_Sources!$C:$C,1,FALSE())),"", INDIRECT(VLOOKUP($D89,Grouped_Sources!$C:$I,7,FALSE())))</f>
        <v/>
      </c>
    </row>
    <row r="90" customFormat="false" ht="15" hidden="false" customHeight="false" outlineLevel="0" collapsed="false">
      <c r="A90" s="21" t="n">
        <v>3</v>
      </c>
      <c r="B90" s="21" t="n">
        <v>88</v>
      </c>
      <c r="C90" s="21" t="str">
        <f aca="false">IF(G90 = "",F90,IF(OR(G90="alpha",G90="beta",G90="constant",G90="sd",G90="mean",G90="sample"),F90,F90&amp;" "&amp;G90))</f>
        <v/>
      </c>
      <c r="D90" s="21" t="str">
        <f aca="false">F90&amp;"_"&amp;E90</f>
        <v>_bogota</v>
      </c>
      <c r="E90" s="27" t="str">
        <f aca="true" t="array" ref="E90:E90">INDIRECT(ADDRESS(1,A90,1,1,"all_city_parameter_inputs"))</f>
        <v>bogota</v>
      </c>
      <c r="F90" s="27" t="str">
        <f aca="true" t="array" ref="F90:F90">IF(AND(ISBLANK(INDIRECT(ADDRESS(B90,2,1,1,"all_city_parameter_inputs"))), ISBLANK(INDIRECT(ADDRESS(B90,1,1,1,"all_city_parameter_inputs")))), "", IF(ISBLANK(INDIRECT(ADDRESS(B90,1,1,1,"all_city_parameter_inputs"))), All_city_list!F89,INDIRECT(ADDRESS(B90,1,1,1,"all_city_parameter_inputs"))))</f>
        <v/>
      </c>
      <c r="G90" s="27" t="str">
        <f aca="true" t="array" ref="G90:G90">IF(AND(ISBLANK(INDIRECT(ADDRESS(B90,3,1,1,"all_city_parameter_inputs"))),ISBLANK(INDIRECT(ADDRESS(B90,2,1,1,"all_city_parameter_inputs")))),"",IF(ISBLANK(INDIRECT(ADDRESS(B90,2,1,1,"all_city_parameter_inputs"))),"",INDIRECT(ADDRESS(B90,2,1,1,"all_city_parameter_inputs"))))</f>
        <v/>
      </c>
      <c r="H90" s="28" t="str">
        <f aca="true" t="array" ref="H90:H90">IF(ISBLANK(INDIRECT(ADDRESS(B90,A90,1,1,"all_city_parameter_inputs"))), "--",INDIRECT(ADDRESS(B90,A90,1,1,"all_city_parameter_inputs")))</f>
        <v>--</v>
      </c>
      <c r="I90" s="28" t="e">
        <f aca="false">IF(OR(G90="alpha",G90="beta",G90="sd",G90="mean"),"--",VLOOKUP(C90,Default!$B$5:$H$114,7,FALSE()))</f>
        <v>#N/A</v>
      </c>
      <c r="J90" s="27" t="e">
        <f aca="false">VLOOKUP(F90,Lookup!$C$5:$D$110,2, FALSE())</f>
        <v>#N/A</v>
      </c>
      <c r="K90" s="27" t="e">
        <f aca="false">VLOOKUP(C90,Default!$B$4:$E$114,4, FALSE())</f>
        <v>#N/A</v>
      </c>
      <c r="L90" s="25" t="str">
        <f aca="true">IF(ISNA(VLOOKUP($D90,Grouped_Sources!$C:$C,1,FALSE())),"", INDIRECT(VLOOKUP($D90,Grouped_Sources!$C:$I,5,FALSE())))</f>
        <v/>
      </c>
      <c r="M90" s="25" t="str">
        <f aca="true">IF(ISNA(VLOOKUP($D90,Grouped_Sources!$C:$C,1,FALSE())),"", INDIRECT(VLOOKUP($D90,Grouped_Sources!$C:$I,6,FALSE())))</f>
        <v/>
      </c>
      <c r="N90" s="25" t="str">
        <f aca="true" t="array" ref="N90:N90">IF(ISNA(VLOOKUP($D90,Grouped_Sources!$C:$C,1,FALSE())),"", INDIRECT(VLOOKUP($D90,Grouped_Sources!$C:$I,7,FALSE())))</f>
        <v/>
      </c>
    </row>
    <row r="91" customFormat="false" ht="15" hidden="false" customHeight="false" outlineLevel="0" collapsed="false">
      <c r="A91" s="21" t="n">
        <v>3</v>
      </c>
      <c r="B91" s="21" t="n">
        <v>89</v>
      </c>
      <c r="C91" s="21" t="str">
        <f aca="false">IF(G91 = "",F91,IF(OR(G91="alpha",G91="beta",G91="constant",G91="sd",G91="mean",G91="sample"),F91,F91&amp;" "&amp;G91))</f>
        <v/>
      </c>
      <c r="D91" s="21" t="str">
        <f aca="false">F91&amp;"_"&amp;E91</f>
        <v>_bogota</v>
      </c>
      <c r="E91" s="27" t="str">
        <f aca="true" t="array" ref="E91:E91">INDIRECT(ADDRESS(1,A91,1,1,"all_city_parameter_inputs"))</f>
        <v>bogota</v>
      </c>
      <c r="F91" s="27" t="str">
        <f aca="true" t="array" ref="F91:F91">IF(AND(ISBLANK(INDIRECT(ADDRESS(B91,2,1,1,"all_city_parameter_inputs"))), ISBLANK(INDIRECT(ADDRESS(B91,1,1,1,"all_city_parameter_inputs")))), "", IF(ISBLANK(INDIRECT(ADDRESS(B91,1,1,1,"all_city_parameter_inputs"))), All_city_list!F90,INDIRECT(ADDRESS(B91,1,1,1,"all_city_parameter_inputs"))))</f>
        <v/>
      </c>
      <c r="G91" s="27" t="str">
        <f aca="true" t="array" ref="G91:G91">IF(AND(ISBLANK(INDIRECT(ADDRESS(B91,3,1,1,"all_city_parameter_inputs"))),ISBLANK(INDIRECT(ADDRESS(B91,2,1,1,"all_city_parameter_inputs")))),"",IF(ISBLANK(INDIRECT(ADDRESS(B91,2,1,1,"all_city_parameter_inputs"))),"",INDIRECT(ADDRESS(B91,2,1,1,"all_city_parameter_inputs"))))</f>
        <v/>
      </c>
      <c r="H91" s="28" t="str">
        <f aca="true" t="array" ref="H91:H91">IF(ISBLANK(INDIRECT(ADDRESS(B91,A91,1,1,"all_city_parameter_inputs"))), "--",INDIRECT(ADDRESS(B91,A91,1,1,"all_city_parameter_inputs")))</f>
        <v>--</v>
      </c>
      <c r="I91" s="28" t="e">
        <f aca="false">IF(OR(G91="alpha",G91="beta",G91="sd",G91="mean"),"--",VLOOKUP(C91,Default!$B$5:$H$114,7,FALSE()))</f>
        <v>#N/A</v>
      </c>
      <c r="J91" s="27" t="e">
        <f aca="false">VLOOKUP(F91,Lookup!$C$5:$D$110,2, FALSE())</f>
        <v>#N/A</v>
      </c>
      <c r="K91" s="27" t="e">
        <f aca="false">VLOOKUP(C91,Default!$B$4:$E$114,4, FALSE())</f>
        <v>#N/A</v>
      </c>
      <c r="L91" s="25" t="str">
        <f aca="true">IF(ISNA(VLOOKUP(D91,Grouped_Sources!$C:$C,1,FALSE())),"", INDIRECT(VLOOKUP(D91,Grouped_Sources!$C:$G,5,FALSE())))</f>
        <v/>
      </c>
      <c r="M91" s="25"/>
      <c r="N91" s="25"/>
    </row>
    <row r="92" customFormat="false" ht="15" hidden="false" customHeight="false" outlineLevel="0" collapsed="false">
      <c r="A92" s="21" t="n">
        <v>3</v>
      </c>
      <c r="B92" s="21" t="n">
        <v>90</v>
      </c>
      <c r="C92" s="21" t="str">
        <f aca="false">IF(G92 = "",F92,IF(OR(G92="alpha",G92="beta",G92="constant",G92="sd",G92="mean",G92="sample"),F92,F92&amp;" "&amp;G92))</f>
        <v/>
      </c>
      <c r="D92" s="21" t="str">
        <f aca="false">F92&amp;"_"&amp;E92</f>
        <v>_bogota</v>
      </c>
      <c r="E92" s="27" t="str">
        <f aca="true" t="array" ref="E92:E92">INDIRECT(ADDRESS(1,A92,1,1,"all_city_parameter_inputs"))</f>
        <v>bogota</v>
      </c>
      <c r="F92" s="27" t="str">
        <f aca="true" t="array" ref="F92:F92">IF(AND(ISBLANK(INDIRECT(ADDRESS(B92,2,1,1,"all_city_parameter_inputs"))), ISBLANK(INDIRECT(ADDRESS(B92,1,1,1,"all_city_parameter_inputs")))), "", IF(ISBLANK(INDIRECT(ADDRESS(B92,1,1,1,"all_city_parameter_inputs"))), All_city_list!F91,INDIRECT(ADDRESS(B92,1,1,1,"all_city_parameter_inputs"))))</f>
        <v/>
      </c>
      <c r="G92" s="27" t="str">
        <f aca="true" t="array" ref="G92:G92">IF(AND(ISBLANK(INDIRECT(ADDRESS(B92,3,1,1,"all_city_parameter_inputs"))),ISBLANK(INDIRECT(ADDRESS(B92,2,1,1,"all_city_parameter_inputs")))),"",IF(ISBLANK(INDIRECT(ADDRESS(B92,2,1,1,"all_city_parameter_inputs"))),"",INDIRECT(ADDRESS(B92,2,1,1,"all_city_parameter_inputs"))))</f>
        <v/>
      </c>
      <c r="H92" s="28" t="str">
        <f aca="true" t="array" ref="H92:H92">IF(ISBLANK(INDIRECT(ADDRESS(B92,A92,1,1,"all_city_parameter_inputs"))), "--",INDIRECT(ADDRESS(B92,A92,1,1,"all_city_parameter_inputs")))</f>
        <v>--</v>
      </c>
      <c r="I92" s="28" t="e">
        <f aca="false">IF(OR(G92="alpha",G92="beta",G92="sd",G92="mean"),"--",VLOOKUP(C92,Default!$B$5:$H$114,7,FALSE()))</f>
        <v>#N/A</v>
      </c>
      <c r="J92" s="27" t="e">
        <f aca="false">VLOOKUP(F92,Lookup!$C$5:$D$110,2, FALSE())</f>
        <v>#N/A</v>
      </c>
      <c r="K92" s="27" t="e">
        <f aca="false">VLOOKUP(C92,Default!$B$4:$E$114,4, FALSE())</f>
        <v>#N/A</v>
      </c>
      <c r="L92" s="25" t="str">
        <f aca="true">IF(ISNA(VLOOKUP(D92,Grouped_Sources!$C:$C,1,FALSE())),"", INDIRECT(VLOOKUP(D92,Grouped_Sources!$C:$G,5,FALSE())))</f>
        <v/>
      </c>
      <c r="M92" s="25"/>
      <c r="N92" s="25"/>
    </row>
    <row r="93" customFormat="false" ht="16.4" hidden="false" customHeight="false" outlineLevel="0" collapsed="false">
      <c r="A93" s="21" t="n">
        <v>3</v>
      </c>
      <c r="B93" s="21" t="n">
        <v>91</v>
      </c>
      <c r="C93" s="21" t="str">
        <f aca="false">IF(G93 = "",F93,IF(OR(G93="alpha",G93="beta",G93="constant",G93="sd",G93="mean",G93="sample"),F93,F93&amp;" "&amp;G93))</f>
        <v/>
      </c>
      <c r="D93" s="21" t="str">
        <f aca="false">F93&amp;"_"&amp;E93</f>
        <v>_bogota</v>
      </c>
      <c r="E93" s="27" t="str">
        <f aca="true" t="array" ref="E93:E93">INDIRECT(ADDRESS(1,A93,1,1,"all_city_parameter_inputs"))</f>
        <v>bogota</v>
      </c>
      <c r="F93" s="27" t="str">
        <f aca="true" t="array" ref="F93:F93">IF(AND(ISBLANK(INDIRECT(ADDRESS(B93,2,1,1,"all_city_parameter_inputs"))), ISBLANK(INDIRECT(ADDRESS(B93,1,1,1,"all_city_parameter_inputs")))), "", IF(ISBLANK(INDIRECT(ADDRESS(B93,1,1,1,"all_city_parameter_inputs"))), All_city_list!F92,INDIRECT(ADDRESS(B93,1,1,1,"all_city_parameter_inputs"))))</f>
        <v/>
      </c>
      <c r="G93" s="27" t="str">
        <f aca="true" t="array" ref="G93:G93">IF(AND(ISBLANK(INDIRECT(ADDRESS(B93,3,1,1,"all_city_parameter_inputs"))),ISBLANK(INDIRECT(ADDRESS(B93,2,1,1,"all_city_parameter_inputs")))),"",IF(ISBLANK(INDIRECT(ADDRESS(B93,2,1,1,"all_city_parameter_inputs"))),"",INDIRECT(ADDRESS(B93,2,1,1,"all_city_parameter_inputs"))))</f>
        <v/>
      </c>
      <c r="H93" s="28" t="str">
        <f aca="true" t="array" ref="H93:H93">IF(ISBLANK(INDIRECT(ADDRESS(B93,A93,1,1,"all_city_parameter_inputs"))), "--",INDIRECT(ADDRESS(B93,A93,1,1,"all_city_parameter_inputs")))</f>
        <v>--</v>
      </c>
      <c r="I93" s="28" t="e">
        <f aca="false">IF(OR(G93="alpha",G93="beta",G93="sd",G93="mean"),"--",VLOOKUP(C93,Default!$B$5:$H$114,7,FALSE()))</f>
        <v>#N/A</v>
      </c>
      <c r="J93" s="27" t="e">
        <f aca="false">VLOOKUP(F93,Lookup!$C$5:$D$110,2, FALSE())</f>
        <v>#N/A</v>
      </c>
      <c r="K93" s="27" t="e">
        <f aca="false">VLOOKUP(C93,Default!$B$4:$E$114,4, FALSE())</f>
        <v>#N/A</v>
      </c>
      <c r="L93" s="34" t="s">
        <v>139</v>
      </c>
      <c r="M93" s="25" t="s">
        <v>140</v>
      </c>
      <c r="N93" s="25"/>
    </row>
    <row r="94" customFormat="false" ht="16.4" hidden="false" customHeight="false" outlineLevel="0" collapsed="false">
      <c r="A94" s="21" t="n">
        <v>3</v>
      </c>
      <c r="B94" s="21" t="n">
        <v>92</v>
      </c>
      <c r="C94" s="21" t="str">
        <f aca="false">IF(G94 = "",F94,IF(OR(G94="alpha",G94="beta",G94="constant",G94="sd",G94="mean",G94="sample"),F94,F94&amp;" "&amp;G94))</f>
        <v/>
      </c>
      <c r="D94" s="21" t="str">
        <f aca="false">F94&amp;"_"&amp;E94</f>
        <v>_bogota</v>
      </c>
      <c r="E94" s="27" t="str">
        <f aca="true" t="array" ref="E94:E94">INDIRECT(ADDRESS(1,A94,1,1,"all_city_parameter_inputs"))</f>
        <v>bogota</v>
      </c>
      <c r="F94" s="27" t="str">
        <f aca="true" t="array" ref="F94:F94">IF(AND(ISBLANK(INDIRECT(ADDRESS(B94,2,1,1,"all_city_parameter_inputs"))), ISBLANK(INDIRECT(ADDRESS(B94,1,1,1,"all_city_parameter_inputs")))), "", IF(ISBLANK(INDIRECT(ADDRESS(B94,1,1,1,"all_city_parameter_inputs"))), All_city_list!F93,INDIRECT(ADDRESS(B94,1,1,1,"all_city_parameter_inputs"))))</f>
        <v/>
      </c>
      <c r="G94" s="27" t="str">
        <f aca="true" t="array" ref="G94:G94">IF(AND(ISBLANK(INDIRECT(ADDRESS(B94,3,1,1,"all_city_parameter_inputs"))),ISBLANK(INDIRECT(ADDRESS(B94,2,1,1,"all_city_parameter_inputs")))),"",IF(ISBLANK(INDIRECT(ADDRESS(B94,2,1,1,"all_city_parameter_inputs"))),"",INDIRECT(ADDRESS(B94,2,1,1,"all_city_parameter_inputs"))))</f>
        <v/>
      </c>
      <c r="H94" s="28" t="str">
        <f aca="true" t="array" ref="H94:H94">IF(ISBLANK(INDIRECT(ADDRESS(B94,A94,1,1,"all_city_parameter_inputs"))), "--",INDIRECT(ADDRESS(B94,A94,1,1,"all_city_parameter_inputs")))</f>
        <v>--</v>
      </c>
      <c r="I94" s="28" t="e">
        <f aca="false">IF(OR(G94="alpha",G94="beta",G94="sd",G94="mean"),"--",VLOOKUP(C94,Default!$B$5:$H$114,7,FALSE()))</f>
        <v>#N/A</v>
      </c>
      <c r="J94" s="27" t="e">
        <f aca="false">VLOOKUP(F94,Lookup!$C$5:$D$110,2, FALSE())</f>
        <v>#N/A</v>
      </c>
      <c r="K94" s="27" t="e">
        <f aca="false">VLOOKUP(C94,Default!$B$4:$E$114,4, FALSE())</f>
        <v>#N/A</v>
      </c>
      <c r="L94" s="34" t="s">
        <v>141</v>
      </c>
      <c r="M94" s="25" t="s">
        <v>142</v>
      </c>
      <c r="N94" s="25"/>
    </row>
    <row r="95" customFormat="false" ht="16.4" hidden="false" customHeight="false" outlineLevel="0" collapsed="false">
      <c r="A95" s="21" t="n">
        <v>3</v>
      </c>
      <c r="B95" s="21" t="n">
        <v>93</v>
      </c>
      <c r="C95" s="21" t="str">
        <f aca="false">IF(G95 = "",F95,IF(OR(G95="alpha",G95="beta",G95="constant",G95="sd",G95="mean",G95="sample"),F95,F95&amp;" "&amp;G95))</f>
        <v/>
      </c>
      <c r="D95" s="21" t="str">
        <f aca="false">F95&amp;"_"&amp;E95</f>
        <v>_bogota</v>
      </c>
      <c r="E95" s="27" t="str">
        <f aca="true" t="array" ref="E95:E95">INDIRECT(ADDRESS(1,A95,1,1,"all_city_parameter_inputs"))</f>
        <v>bogota</v>
      </c>
      <c r="F95" s="27" t="str">
        <f aca="true" t="array" ref="F95:F95">IF(AND(ISBLANK(INDIRECT(ADDRESS(B95,2,1,1,"all_city_parameter_inputs"))), ISBLANK(INDIRECT(ADDRESS(B95,1,1,1,"all_city_parameter_inputs")))), "", IF(ISBLANK(INDIRECT(ADDRESS(B95,1,1,1,"all_city_parameter_inputs"))), All_city_list!F94,INDIRECT(ADDRESS(B95,1,1,1,"all_city_parameter_inputs"))))</f>
        <v/>
      </c>
      <c r="G95" s="27" t="str">
        <f aca="true" t="array" ref="G95:G95">IF(AND(ISBLANK(INDIRECT(ADDRESS(B95,3,1,1,"all_city_parameter_inputs"))),ISBLANK(INDIRECT(ADDRESS(B95,2,1,1,"all_city_parameter_inputs")))),"",IF(ISBLANK(INDIRECT(ADDRESS(B95,2,1,1,"all_city_parameter_inputs"))),"",INDIRECT(ADDRESS(B95,2,1,1,"all_city_parameter_inputs"))))</f>
        <v/>
      </c>
      <c r="H95" s="28" t="str">
        <f aca="true" t="array" ref="H95:H95">IF(ISBLANK(INDIRECT(ADDRESS(B95,A95,1,1,"all_city_parameter_inputs"))), "--",INDIRECT(ADDRESS(B95,A95,1,1,"all_city_parameter_inputs")))</f>
        <v>--</v>
      </c>
      <c r="I95" s="28" t="e">
        <f aca="false">IF(OR(G95="alpha",G95="beta",G95="sd",G95="mean"),"--",VLOOKUP(C95,Default!$B$5:$H$114,7,FALSE()))</f>
        <v>#N/A</v>
      </c>
      <c r="J95" s="27" t="e">
        <f aca="false">VLOOKUP(F95,Lookup!$C$5:$D$110,2, FALSE())</f>
        <v>#N/A</v>
      </c>
      <c r="K95" s="27" t="e">
        <f aca="false">VLOOKUP(C95,Default!$B$4:$E$114,4, FALSE())</f>
        <v>#N/A</v>
      </c>
      <c r="L95" s="34" t="s">
        <v>143</v>
      </c>
      <c r="M95" s="25" t="s">
        <v>142</v>
      </c>
      <c r="N95" s="25"/>
    </row>
    <row r="96" customFormat="false" ht="15" hidden="false" customHeight="false" outlineLevel="0" collapsed="false">
      <c r="A96" s="21" t="n">
        <v>3</v>
      </c>
      <c r="B96" s="21" t="n">
        <v>94</v>
      </c>
      <c r="C96" s="21" t="str">
        <f aca="false">IF(G96 = "",F96,IF(OR(G96="alpha",G96="beta",G96="constant",G96="sd",G96="mean",G96="sample"),F96,F96&amp;" "&amp;G96))</f>
        <v/>
      </c>
      <c r="D96" s="21" t="str">
        <f aca="false">F96&amp;"_"&amp;E96</f>
        <v>_bogota</v>
      </c>
      <c r="E96" s="27" t="str">
        <f aca="true" t="array" ref="E96:E96">INDIRECT(ADDRESS(1,A96,1,1,"all_city_parameter_inputs"))</f>
        <v>bogota</v>
      </c>
      <c r="F96" s="27" t="str">
        <f aca="true" t="array" ref="F96:F96">IF(AND(ISBLANK(INDIRECT(ADDRESS(B96,2,1,1,"all_city_parameter_inputs"))), ISBLANK(INDIRECT(ADDRESS(B96,1,1,1,"all_city_parameter_inputs")))), "", IF(ISBLANK(INDIRECT(ADDRESS(B96,1,1,1,"all_city_parameter_inputs"))), All_city_list!F95,INDIRECT(ADDRESS(B96,1,1,1,"all_city_parameter_inputs"))))</f>
        <v/>
      </c>
      <c r="G96" s="27" t="str">
        <f aca="true" t="array" ref="G96:G96">IF(AND(ISBLANK(INDIRECT(ADDRESS(B96,3,1,1,"all_city_parameter_inputs"))),ISBLANK(INDIRECT(ADDRESS(B96,2,1,1,"all_city_parameter_inputs")))),"",IF(ISBLANK(INDIRECT(ADDRESS(B96,2,1,1,"all_city_parameter_inputs"))),"",INDIRECT(ADDRESS(B96,2,1,1,"all_city_parameter_inputs"))))</f>
        <v/>
      </c>
      <c r="H96" s="28" t="str">
        <f aca="true" t="array" ref="H96:H96">IF(ISBLANK(INDIRECT(ADDRESS(B96,A96,1,1,"all_city_parameter_inputs"))), "--",INDIRECT(ADDRESS(B96,A96,1,1,"all_city_parameter_inputs")))</f>
        <v>--</v>
      </c>
      <c r="I96" s="28" t="e">
        <f aca="false">IF(OR(G96="alpha",G96="beta",G96="sd",G96="mean"),"--",VLOOKUP(C96,Default!$B$5:$H$114,7,FALSE()))</f>
        <v>#N/A</v>
      </c>
      <c r="J96" s="27" t="e">
        <f aca="false">VLOOKUP(F96,Lookup!$C$5:$D$110,2, FALSE())</f>
        <v>#N/A</v>
      </c>
      <c r="K96" s="27" t="e">
        <f aca="false">VLOOKUP(C96,Default!$B$4:$E$114,4, FALSE())</f>
        <v>#N/A</v>
      </c>
      <c r="L96" s="24" t="s">
        <v>144</v>
      </c>
      <c r="M96" s="25"/>
      <c r="N96" s="25"/>
    </row>
    <row r="97" customFormat="false" ht="16.4" hidden="false" customHeight="false" outlineLevel="0" collapsed="false">
      <c r="A97" s="21" t="n">
        <v>3</v>
      </c>
      <c r="B97" s="21" t="n">
        <v>95</v>
      </c>
      <c r="C97" s="21" t="str">
        <f aca="false">IF(G97 = "",F97,IF(OR(G97="alpha",G97="beta",G97="constant",G97="sd",G97="mean",G97="sample"),F97,F97&amp;" "&amp;G97))</f>
        <v/>
      </c>
      <c r="D97" s="21" t="str">
        <f aca="false">F97&amp;"_"&amp;E97</f>
        <v>_bogota</v>
      </c>
      <c r="E97" s="27" t="str">
        <f aca="true" t="array" ref="E97:E97">INDIRECT(ADDRESS(1,A97,1,1,"all_city_parameter_inputs"))</f>
        <v>bogota</v>
      </c>
      <c r="F97" s="27" t="str">
        <f aca="true" t="array" ref="F97:F97">IF(AND(ISBLANK(INDIRECT(ADDRESS(B97,2,1,1,"all_city_parameter_inputs"))), ISBLANK(INDIRECT(ADDRESS(B97,1,1,1,"all_city_parameter_inputs")))), "", IF(ISBLANK(INDIRECT(ADDRESS(B97,1,1,1,"all_city_parameter_inputs"))), All_city_list!F96,INDIRECT(ADDRESS(B97,1,1,1,"all_city_parameter_inputs"))))</f>
        <v/>
      </c>
      <c r="G97" s="27" t="str">
        <f aca="true" t="array" ref="G97:G97">IF(AND(ISBLANK(INDIRECT(ADDRESS(B97,3,1,1,"all_city_parameter_inputs"))),ISBLANK(INDIRECT(ADDRESS(B97,2,1,1,"all_city_parameter_inputs")))),"",IF(ISBLANK(INDIRECT(ADDRESS(B97,2,1,1,"all_city_parameter_inputs"))),"",INDIRECT(ADDRESS(B97,2,1,1,"all_city_parameter_inputs"))))</f>
        <v/>
      </c>
      <c r="H97" s="28" t="str">
        <f aca="true" t="array" ref="H97:H97">IF(ISBLANK(INDIRECT(ADDRESS(B97,A97,1,1,"all_city_parameter_inputs"))), "--",INDIRECT(ADDRESS(B97,A97,1,1,"all_city_parameter_inputs")))</f>
        <v>--</v>
      </c>
      <c r="I97" s="28" t="e">
        <f aca="false">IF(OR(G97="alpha",G97="beta",G97="sd",G97="mean"),"--",VLOOKUP(C97,Default!$B$5:$H$114,7,FALSE()))</f>
        <v>#N/A</v>
      </c>
      <c r="J97" s="27" t="e">
        <f aca="false">VLOOKUP(F97,Lookup!$C$5:$D$110,2, FALSE())</f>
        <v>#N/A</v>
      </c>
      <c r="K97" s="27" t="e">
        <f aca="false">VLOOKUP(C97,Default!$B$4:$E$114,4, FALSE())</f>
        <v>#N/A</v>
      </c>
      <c r="L97" s="34" t="s">
        <v>145</v>
      </c>
      <c r="M97" s="25" t="s">
        <v>146</v>
      </c>
      <c r="N97" s="25"/>
    </row>
    <row r="98" customFormat="false" ht="16.4" hidden="false" customHeight="false" outlineLevel="0" collapsed="false">
      <c r="A98" s="21" t="n">
        <v>3</v>
      </c>
      <c r="B98" s="21" t="n">
        <v>96</v>
      </c>
      <c r="C98" s="21" t="str">
        <f aca="false">IF(G98 = "",F98,IF(OR(G98="alpha",G98="beta",G98="constant",G98="sd",G98="mean",G98="sample"),F98,F98&amp;" "&amp;G98))</f>
        <v/>
      </c>
      <c r="D98" s="21" t="str">
        <f aca="false">F98&amp;"_"&amp;E98</f>
        <v>_bogota</v>
      </c>
      <c r="E98" s="27" t="str">
        <f aca="true" t="array" ref="E98:E98">INDIRECT(ADDRESS(1,A98,1,1,"all_city_parameter_inputs"))</f>
        <v>bogota</v>
      </c>
      <c r="F98" s="27" t="str">
        <f aca="true" t="array" ref="F98:F98">IF(AND(ISBLANK(INDIRECT(ADDRESS(B98,2,1,1,"all_city_parameter_inputs"))), ISBLANK(INDIRECT(ADDRESS(B98,1,1,1,"all_city_parameter_inputs")))), "", IF(ISBLANK(INDIRECT(ADDRESS(B98,1,1,1,"all_city_parameter_inputs"))), All_city_list!F97,INDIRECT(ADDRESS(B98,1,1,1,"all_city_parameter_inputs"))))</f>
        <v/>
      </c>
      <c r="G98" s="27" t="str">
        <f aca="true" t="array" ref="G98:G98">IF(AND(ISBLANK(INDIRECT(ADDRESS(B98,3,1,1,"all_city_parameter_inputs"))),ISBLANK(INDIRECT(ADDRESS(B98,2,1,1,"all_city_parameter_inputs")))),"",IF(ISBLANK(INDIRECT(ADDRESS(B98,2,1,1,"all_city_parameter_inputs"))),"",INDIRECT(ADDRESS(B98,2,1,1,"all_city_parameter_inputs"))))</f>
        <v/>
      </c>
      <c r="H98" s="28" t="str">
        <f aca="true" t="array" ref="H98:H98">IF(ISBLANK(INDIRECT(ADDRESS(B98,A98,1,1,"all_city_parameter_inputs"))), "--",INDIRECT(ADDRESS(B98,A98,1,1,"all_city_parameter_inputs")))</f>
        <v>--</v>
      </c>
      <c r="I98" s="28" t="e">
        <f aca="false">IF(OR(G98="alpha",G98="beta",G98="sd",G98="mean"),"--",VLOOKUP(C98,Default!$B$5:$H$114,7,FALSE()))</f>
        <v>#N/A</v>
      </c>
      <c r="J98" s="27" t="e">
        <f aca="false">VLOOKUP(F98,Lookup!$C$5:$D$110,2, FALSE())</f>
        <v>#N/A</v>
      </c>
      <c r="K98" s="27" t="e">
        <f aca="false">VLOOKUP(C98,Default!$B$4:$E$114,4, FALSE())</f>
        <v>#N/A</v>
      </c>
      <c r="L98" s="34" t="s">
        <v>147</v>
      </c>
      <c r="M98" s="25" t="s">
        <v>146</v>
      </c>
      <c r="N98" s="25"/>
    </row>
    <row r="99" customFormat="false" ht="15" hidden="false" customHeight="false" outlineLevel="0" collapsed="false">
      <c r="A99" s="21" t="n">
        <v>3</v>
      </c>
      <c r="B99" s="21" t="n">
        <v>97</v>
      </c>
      <c r="C99" s="21" t="str">
        <f aca="false">IF(G99 = "",F99,IF(OR(G99="alpha",G99="beta",G99="constant",G99="sd",G99="mean",G99="sample"),F99,F99&amp;" "&amp;G99))</f>
        <v/>
      </c>
      <c r="D99" s="21" t="str">
        <f aca="false">F99&amp;"_"&amp;E99</f>
        <v>_bogota</v>
      </c>
      <c r="E99" s="27" t="str">
        <f aca="true" t="array" ref="E99:E99">INDIRECT(ADDRESS(1,A99,1,1,"all_city_parameter_inputs"))</f>
        <v>bogota</v>
      </c>
      <c r="F99" s="27" t="str">
        <f aca="true" t="array" ref="F99:F99">IF(AND(ISBLANK(INDIRECT(ADDRESS(B99,2,1,1,"all_city_parameter_inputs"))), ISBLANK(INDIRECT(ADDRESS(B99,1,1,1,"all_city_parameter_inputs")))), "", IF(ISBLANK(INDIRECT(ADDRESS(B99,1,1,1,"all_city_parameter_inputs"))), All_city_list!F98,INDIRECT(ADDRESS(B99,1,1,1,"all_city_parameter_inputs"))))</f>
        <v/>
      </c>
      <c r="G99" s="27" t="str">
        <f aca="true" t="array" ref="G99:G99">IF(AND(ISBLANK(INDIRECT(ADDRESS(B99,3,1,1,"all_city_parameter_inputs"))),ISBLANK(INDIRECT(ADDRESS(B99,2,1,1,"all_city_parameter_inputs")))),"",IF(ISBLANK(INDIRECT(ADDRESS(B99,2,1,1,"all_city_parameter_inputs"))),"",INDIRECT(ADDRESS(B99,2,1,1,"all_city_parameter_inputs"))))</f>
        <v/>
      </c>
      <c r="H99" s="28" t="str">
        <f aca="true" t="array" ref="H99:H99">IF(ISBLANK(INDIRECT(ADDRESS(B99,A99,1,1,"all_city_parameter_inputs"))), "--",INDIRECT(ADDRESS(B99,A99,1,1,"all_city_parameter_inputs")))</f>
        <v>--</v>
      </c>
      <c r="I99" s="28" t="e">
        <f aca="false">IF(OR(G99="alpha",G99="beta",G99="sd",G99="mean"),"--",VLOOKUP(C99,Default!$B$5:$H$114,7,FALSE()))</f>
        <v>#N/A</v>
      </c>
      <c r="J99" s="27" t="e">
        <f aca="false">VLOOKUP(F99,Lookup!$C$5:$D$110,2, FALSE())</f>
        <v>#N/A</v>
      </c>
      <c r="K99" s="27" t="e">
        <f aca="false">VLOOKUP(C99,Default!$B$4:$E$114,4, FALSE())</f>
        <v>#N/A</v>
      </c>
      <c r="L99" s="39" t="s">
        <v>148</v>
      </c>
      <c r="M99" s="25" t="s">
        <v>129</v>
      </c>
      <c r="N99" s="25"/>
    </row>
    <row r="100" customFormat="false" ht="15" hidden="false" customHeight="false" outlineLevel="0" collapsed="false">
      <c r="A100" s="21" t="n">
        <v>3</v>
      </c>
      <c r="B100" s="21" t="n">
        <v>98</v>
      </c>
      <c r="C100" s="21" t="str">
        <f aca="false">IF(G100 = "",F100,IF(OR(G100="alpha",G100="beta",G100="constant",G100="sd",G100="mean",G100="sample"),F100,F100&amp;" "&amp;G100))</f>
        <v/>
      </c>
      <c r="D100" s="21" t="str">
        <f aca="false">F100&amp;"_"&amp;E100</f>
        <v>_bogota</v>
      </c>
      <c r="E100" s="27" t="str">
        <f aca="true" t="array" ref="E100:E100">INDIRECT(ADDRESS(1,A100,1,1,"all_city_parameter_inputs"))</f>
        <v>bogota</v>
      </c>
      <c r="F100" s="27" t="str">
        <f aca="true" t="array" ref="F100:F100">IF(AND(ISBLANK(INDIRECT(ADDRESS(B100,2,1,1,"all_city_parameter_inputs"))), ISBLANK(INDIRECT(ADDRESS(B100,1,1,1,"all_city_parameter_inputs")))), "", IF(ISBLANK(INDIRECT(ADDRESS(B100,1,1,1,"all_city_parameter_inputs"))), All_city_list!F99,INDIRECT(ADDRESS(B100,1,1,1,"all_city_parameter_inputs"))))</f>
        <v/>
      </c>
      <c r="G100" s="27" t="str">
        <f aca="true" t="array" ref="G100:G100">IF(AND(ISBLANK(INDIRECT(ADDRESS(B100,3,1,1,"all_city_parameter_inputs"))),ISBLANK(INDIRECT(ADDRESS(B100,2,1,1,"all_city_parameter_inputs")))),"",IF(ISBLANK(INDIRECT(ADDRESS(B100,2,1,1,"all_city_parameter_inputs"))),"",INDIRECT(ADDRESS(B100,2,1,1,"all_city_parameter_inputs"))))</f>
        <v/>
      </c>
      <c r="H100" s="28" t="str">
        <f aca="true" t="array" ref="H100:H100">IF(ISBLANK(INDIRECT(ADDRESS(B100,A100,1,1,"all_city_parameter_inputs"))), "--",INDIRECT(ADDRESS(B100,A100,1,1,"all_city_parameter_inputs")))</f>
        <v>--</v>
      </c>
      <c r="I100" s="28" t="e">
        <f aca="false">IF(OR(G100="alpha",G100="beta",G100="sd",G100="mean"),"--",VLOOKUP(C100,Default!$B$5:$H$114,7,FALSE()))</f>
        <v>#N/A</v>
      </c>
      <c r="J100" s="27" t="e">
        <f aca="false">VLOOKUP(F100,Lookup!$C$5:$D$110,2, FALSE())</f>
        <v>#N/A</v>
      </c>
      <c r="K100" s="27" t="e">
        <f aca="false">VLOOKUP(C100,Default!$B$4:$E$114,4, FALSE())</f>
        <v>#N/A</v>
      </c>
      <c r="L100" s="39" t="s">
        <v>149</v>
      </c>
      <c r="M100" s="25" t="s">
        <v>150</v>
      </c>
      <c r="N100" s="25"/>
    </row>
    <row r="101" customFormat="false" ht="15" hidden="false" customHeight="false" outlineLevel="0" collapsed="false">
      <c r="A101" s="21" t="n">
        <v>3</v>
      </c>
      <c r="B101" s="21" t="n">
        <v>99</v>
      </c>
      <c r="C101" s="21" t="str">
        <f aca="false">IF(G101 = "",F101,IF(OR(G101="alpha",G101="beta",G101="constant",G101="sd",G101="mean",G101="sample"),F101,F101&amp;" "&amp;G101))</f>
        <v/>
      </c>
      <c r="D101" s="21" t="str">
        <f aca="false">F101&amp;"_"&amp;E101</f>
        <v>_bogota</v>
      </c>
      <c r="E101" s="27" t="str">
        <f aca="true" t="array" ref="E101:E101">INDIRECT(ADDRESS(1,A101,1,1,"all_city_parameter_inputs"))</f>
        <v>bogota</v>
      </c>
      <c r="F101" s="27" t="str">
        <f aca="true" t="array" ref="F101:F101">IF(AND(ISBLANK(INDIRECT(ADDRESS(B101,2,1,1,"all_city_parameter_inputs"))), ISBLANK(INDIRECT(ADDRESS(B101,1,1,1,"all_city_parameter_inputs")))), "", IF(ISBLANK(INDIRECT(ADDRESS(B101,1,1,1,"all_city_parameter_inputs"))), All_city_list!F100,INDIRECT(ADDRESS(B101,1,1,1,"all_city_parameter_inputs"))))</f>
        <v/>
      </c>
      <c r="G101" s="27" t="str">
        <f aca="true" t="array" ref="G101:G101">IF(AND(ISBLANK(INDIRECT(ADDRESS(B101,3,1,1,"all_city_parameter_inputs"))),ISBLANK(INDIRECT(ADDRESS(B101,2,1,1,"all_city_parameter_inputs")))),"",IF(ISBLANK(INDIRECT(ADDRESS(B101,2,1,1,"all_city_parameter_inputs"))),"",INDIRECT(ADDRESS(B101,2,1,1,"all_city_parameter_inputs"))))</f>
        <v/>
      </c>
      <c r="H101" s="28" t="str">
        <f aca="true" t="array" ref="H101:H101">IF(ISBLANK(INDIRECT(ADDRESS(B101,A101,1,1,"all_city_parameter_inputs"))), "--",INDIRECT(ADDRESS(B101,A101,1,1,"all_city_parameter_inputs")))</f>
        <v>--</v>
      </c>
      <c r="I101" s="28" t="e">
        <f aca="false">IF(OR(G101="alpha",G101="beta",G101="sd",G101="mean"),"--",VLOOKUP(C101,Default!$B$5:$H$114,7,FALSE()))</f>
        <v>#N/A</v>
      </c>
      <c r="J101" s="27" t="e">
        <f aca="false">VLOOKUP(F101,Lookup!$C$5:$D$110,2, FALSE())</f>
        <v>#N/A</v>
      </c>
      <c r="K101" s="27" t="e">
        <f aca="false">VLOOKUP(C101,Default!$B$4:$E$114,4, FALSE())</f>
        <v>#N/A</v>
      </c>
      <c r="L101" s="39" t="s">
        <v>151</v>
      </c>
      <c r="M101" s="25" t="s">
        <v>150</v>
      </c>
      <c r="N101" s="25"/>
    </row>
    <row r="102" customFormat="false" ht="15" hidden="false" customHeight="false" outlineLevel="0" collapsed="false">
      <c r="A102" s="21" t="n">
        <v>3</v>
      </c>
      <c r="B102" s="21" t="n">
        <v>100</v>
      </c>
      <c r="C102" s="21" t="str">
        <f aca="false">IF(G102 = "",F102,IF(OR(G102="alpha",G102="beta",G102="constant",G102="sd",G102="mean",G102="sample"),F102,F102&amp;" "&amp;G102))</f>
        <v/>
      </c>
      <c r="D102" s="21" t="str">
        <f aca="false">F102&amp;"_"&amp;E102</f>
        <v>_bogota</v>
      </c>
      <c r="E102" s="27" t="str">
        <f aca="true" t="array" ref="E102:E102">INDIRECT(ADDRESS(1,A102,1,1,"all_city_parameter_inputs"))</f>
        <v>bogota</v>
      </c>
      <c r="F102" s="27" t="str">
        <f aca="true" t="array" ref="F102:F102">IF(AND(ISBLANK(INDIRECT(ADDRESS(B102,2,1,1,"all_city_parameter_inputs"))), ISBLANK(INDIRECT(ADDRESS(B102,1,1,1,"all_city_parameter_inputs")))), "", IF(ISBLANK(INDIRECT(ADDRESS(B102,1,1,1,"all_city_parameter_inputs"))), All_city_list!F101,INDIRECT(ADDRESS(B102,1,1,1,"all_city_parameter_inputs"))))</f>
        <v/>
      </c>
      <c r="G102" s="27" t="str">
        <f aca="true" t="array" ref="G102:G102">IF(AND(ISBLANK(INDIRECT(ADDRESS(B102,3,1,1,"all_city_parameter_inputs"))),ISBLANK(INDIRECT(ADDRESS(B102,2,1,1,"all_city_parameter_inputs")))),"",IF(ISBLANK(INDIRECT(ADDRESS(B102,2,1,1,"all_city_parameter_inputs"))),"",INDIRECT(ADDRESS(B102,2,1,1,"all_city_parameter_inputs"))))</f>
        <v/>
      </c>
      <c r="H102" s="28" t="str">
        <f aca="true" t="array" ref="H102:H102">IF(ISBLANK(INDIRECT(ADDRESS(B102,A102,1,1,"all_city_parameter_inputs"))), "--",INDIRECT(ADDRESS(B102,A102,1,1,"all_city_parameter_inputs")))</f>
        <v>--</v>
      </c>
      <c r="I102" s="28" t="e">
        <f aca="false">IF(OR(G102="alpha",G102="beta",G102="sd",G102="mean"),"--",VLOOKUP(C102,Default!$B$5:$H$114,7,FALSE()))</f>
        <v>#N/A</v>
      </c>
      <c r="J102" s="27" t="e">
        <f aca="false">VLOOKUP(F102,Lookup!$C$5:$D$110,2, FALSE())</f>
        <v>#N/A</v>
      </c>
      <c r="K102" s="27" t="e">
        <f aca="false">VLOOKUP(C102,Default!$B$4:$E$114,4, FALSE())</f>
        <v>#N/A</v>
      </c>
      <c r="L102" s="24" t="s">
        <v>152</v>
      </c>
      <c r="M102" s="25"/>
      <c r="N102" s="25"/>
    </row>
    <row r="103" customFormat="false" ht="15" hidden="false" customHeight="false" outlineLevel="0" collapsed="false">
      <c r="A103" s="21" t="n">
        <v>3</v>
      </c>
      <c r="B103" s="21" t="n">
        <v>101</v>
      </c>
      <c r="C103" s="21" t="str">
        <f aca="false">IF(G103 = "",F103,IF(OR(G103="alpha",G103="beta",G103="constant",G103="sd",G103="mean",G103="sample"),F103,F103&amp;" "&amp;G103))</f>
        <v/>
      </c>
      <c r="D103" s="21" t="str">
        <f aca="false">F103&amp;"_"&amp;E103</f>
        <v>_bogota</v>
      </c>
      <c r="E103" s="27" t="str">
        <f aca="true" t="array" ref="E103:E103">INDIRECT(ADDRESS(1,A103,1,1,"all_city_parameter_inputs"))</f>
        <v>bogota</v>
      </c>
      <c r="F103" s="27" t="str">
        <f aca="true" t="array" ref="F103:F103">IF(AND(ISBLANK(INDIRECT(ADDRESS(B103,2,1,1,"all_city_parameter_inputs"))), ISBLANK(INDIRECT(ADDRESS(B103,1,1,1,"all_city_parameter_inputs")))), "", IF(ISBLANK(INDIRECT(ADDRESS(B103,1,1,1,"all_city_parameter_inputs"))), All_city_list!F102,INDIRECT(ADDRESS(B103,1,1,1,"all_city_parameter_inputs"))))</f>
        <v/>
      </c>
      <c r="G103" s="27" t="str">
        <f aca="true" t="array" ref="G103:G103">IF(AND(ISBLANK(INDIRECT(ADDRESS(B103,3,1,1,"all_city_parameter_inputs"))),ISBLANK(INDIRECT(ADDRESS(B103,2,1,1,"all_city_parameter_inputs")))),"",IF(ISBLANK(INDIRECT(ADDRESS(B103,2,1,1,"all_city_parameter_inputs"))),"",INDIRECT(ADDRESS(B103,2,1,1,"all_city_parameter_inputs"))))</f>
        <v/>
      </c>
      <c r="H103" s="28" t="str">
        <f aca="true" t="array" ref="H103:H103">IF(ISBLANK(INDIRECT(ADDRESS(B103,A103,1,1,"all_city_parameter_inputs"))), "--",INDIRECT(ADDRESS(B103,A103,1,1,"all_city_parameter_inputs")))</f>
        <v>--</v>
      </c>
      <c r="I103" s="28" t="e">
        <f aca="false">IF(OR(G103="alpha",G103="beta",G103="sd",G103="mean"),"--",VLOOKUP(C103,Default!$B$5:$H$114,7,FALSE()))</f>
        <v>#N/A</v>
      </c>
      <c r="J103" s="27" t="e">
        <f aca="false">VLOOKUP(F103,Lookup!$C$5:$D$110,2, FALSE())</f>
        <v>#N/A</v>
      </c>
      <c r="K103" s="27" t="e">
        <f aca="false">VLOOKUP(C103,Default!$B$4:$E$114,4, FALSE())</f>
        <v>#N/A</v>
      </c>
      <c r="L103" s="24" t="s">
        <v>153</v>
      </c>
      <c r="M103" s="25"/>
      <c r="N103" s="25"/>
    </row>
  </sheetData>
  <autoFilter ref="A3:R2775"/>
  <hyperlinks>
    <hyperlink ref="L16" r:id="rId1" display="https://edgar.jrc.ec.europa.eu/, obtained values based on private correspondence"/>
    <hyperlink ref="L25" r:id="rId2" display="https://www.who.int/publications/i/item/9789241565684 "/>
    <hyperlink ref="L78" r:id="rId3" display="https://edgar.jrc.ec.europa.eu/, obtained values based on private correspondence"/>
    <hyperlink ref="L93" r:id="rId4" display="https://www.despacio.org/wp-content/uploads/2020/03/mujeresbogotalascuentas20200303web.pdf, p.90"/>
    <hyperlink ref="L94" r:id="rId5" display="Sí hay empleo para ser operadores de TransMilenio, https://www.oecd.org/els/public-pensions/OECD-Pension-Policy-Notes-Colombia.pdf, One year of driving experience is required and you can get your licence with 18, retirement age for men is 62"/>
    <hyperlink ref="L95" r:id="rId6" display="Sí hay empleo para ser operadores de  https://www.oecd.org/els/public-pensions/OECD-Pension-Policy-Notes-Colombia.pdf, One year of driving experience is required and you can get your licence with 18, retirement age for women is 57"/>
    <hyperlink ref="L97" r:id="rId7" display="https://www.autofact.com.co/blog/mi-carro/licencias/licencia-c3#:~:text=La%20licencia%20C3%20pertenece%20a,identifican%20por%20llevar%20placa%20blanca.,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men is 62"/>
    <hyperlink ref="L98" r:id="rId8" display="https://www.autofact.com.co/blog/mi-carro/licencias/licencia-c3#:~:text=La%20licencia%20C3%20pertenece%20a,identifican%20por%20llevar%20placa%20blanca.,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women is 57"/>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29" activeCellId="0" sqref="A29"/>
    </sheetView>
  </sheetViews>
  <sheetFormatPr defaultColWidth="10.16015625" defaultRowHeight="15" zeroHeight="false" outlineLevelRow="0" outlineLevelCol="0"/>
  <cols>
    <col collapsed="false" customWidth="true" hidden="false" outlineLevel="0" max="1" min="1" style="40" width="29.43"/>
    <col collapsed="false" customWidth="true" hidden="false" outlineLevel="0" max="2" min="2" style="0" width="8.59"/>
    <col collapsed="false" customWidth="true" hidden="false" outlineLevel="0" max="3" min="3" style="0" width="19"/>
    <col collapsed="false" customWidth="true" hidden="false" outlineLevel="0" max="10" min="4" style="0" width="8.59"/>
  </cols>
  <sheetData>
    <row r="1" customFormat="false" ht="15" hidden="false" customHeight="false" outlineLevel="0" collapsed="false">
      <c r="A1" s="40" t="s">
        <v>63</v>
      </c>
      <c r="B1" s="40" t="s">
        <v>64</v>
      </c>
      <c r="C1" s="40" t="s">
        <v>154</v>
      </c>
    </row>
    <row r="2" customFormat="false" ht="15" hidden="false" customHeight="false" outlineLevel="0" collapsed="false">
      <c r="A2" s="40" t="s">
        <v>155</v>
      </c>
      <c r="B2" s="0" t="s">
        <v>83</v>
      </c>
      <c r="C2" s="0" t="n">
        <v>5.8</v>
      </c>
    </row>
    <row r="3" customFormat="false" ht="15" hidden="false" customHeight="false" outlineLevel="0" collapsed="false">
      <c r="B3" s="0" t="s">
        <v>84</v>
      </c>
    </row>
    <row r="4" customFormat="false" ht="15" hidden="false" customHeight="false" outlineLevel="0" collapsed="false">
      <c r="B4" s="0" t="s">
        <v>85</v>
      </c>
    </row>
    <row r="5" customFormat="false" ht="15" hidden="false" customHeight="false" outlineLevel="0" collapsed="false">
      <c r="A5" s="40" t="s">
        <v>156</v>
      </c>
      <c r="B5" s="0" t="s">
        <v>83</v>
      </c>
      <c r="C5" s="0" t="n">
        <v>2.5</v>
      </c>
    </row>
    <row r="6" customFormat="false" ht="15" hidden="false" customHeight="false" outlineLevel="0" collapsed="false">
      <c r="B6" s="0" t="s">
        <v>84</v>
      </c>
      <c r="C6" s="41"/>
      <c r="J6" s="41"/>
    </row>
    <row r="7" customFormat="false" ht="15" hidden="false" customHeight="false" outlineLevel="0" collapsed="false">
      <c r="B7" s="0" t="s">
        <v>85</v>
      </c>
      <c r="C7" s="41"/>
      <c r="J7" s="41"/>
    </row>
    <row r="8" customFormat="false" ht="15" hidden="false" customHeight="false" outlineLevel="0" collapsed="false">
      <c r="A8" s="40" t="s">
        <v>157</v>
      </c>
      <c r="B8" s="0" t="s">
        <v>83</v>
      </c>
      <c r="C8" s="41" t="n">
        <v>0.3</v>
      </c>
      <c r="J8" s="41"/>
    </row>
    <row r="9" customFormat="false" ht="15" hidden="false" customHeight="false" outlineLevel="0" collapsed="false">
      <c r="B9" s="0" t="s">
        <v>84</v>
      </c>
      <c r="C9" s="41"/>
      <c r="J9" s="41"/>
    </row>
    <row r="10" customFormat="false" ht="15" hidden="false" customHeight="false" outlineLevel="0" collapsed="false">
      <c r="B10" s="0" t="s">
        <v>85</v>
      </c>
      <c r="C10" s="41"/>
      <c r="J10" s="41"/>
    </row>
    <row r="11" customFormat="false" ht="15" hidden="false" customHeight="false" outlineLevel="0" collapsed="false">
      <c r="A11" s="40" t="s">
        <v>158</v>
      </c>
      <c r="B11" s="0" t="s">
        <v>83</v>
      </c>
      <c r="C11" s="41" t="n">
        <v>1.5</v>
      </c>
      <c r="J11" s="41"/>
    </row>
    <row r="12" customFormat="false" ht="15" hidden="false" customHeight="false" outlineLevel="0" collapsed="false">
      <c r="B12" s="0" t="s">
        <v>84</v>
      </c>
      <c r="C12" s="41"/>
    </row>
    <row r="13" customFormat="false" ht="15" hidden="false" customHeight="false" outlineLevel="0" collapsed="false">
      <c r="B13" s="0" t="s">
        <v>85</v>
      </c>
      <c r="C13" s="41"/>
    </row>
    <row r="14" customFormat="false" ht="15" hidden="false" customHeight="false" outlineLevel="0" collapsed="false">
      <c r="A14" s="40" t="s">
        <v>159</v>
      </c>
      <c r="B14" s="0" t="s">
        <v>83</v>
      </c>
      <c r="C14" s="41" t="n">
        <v>1.8</v>
      </c>
    </row>
    <row r="15" customFormat="false" ht="15" hidden="false" customHeight="false" outlineLevel="0" collapsed="false">
      <c r="B15" s="0" t="s">
        <v>84</v>
      </c>
      <c r="C15" s="41"/>
    </row>
    <row r="16" customFormat="false" ht="15" hidden="false" customHeight="false" outlineLevel="0" collapsed="false">
      <c r="B16" s="0" t="s">
        <v>85</v>
      </c>
      <c r="C16" s="41"/>
    </row>
    <row r="17" customFormat="false" ht="15" hidden="false" customHeight="false" outlineLevel="0" collapsed="false">
      <c r="A17" s="40" t="s">
        <v>160</v>
      </c>
      <c r="B17" s="0" t="s">
        <v>83</v>
      </c>
      <c r="C17" s="41" t="n">
        <v>0.3</v>
      </c>
    </row>
    <row r="18" customFormat="false" ht="15" hidden="false" customHeight="false" outlineLevel="0" collapsed="false">
      <c r="B18" s="0" t="s">
        <v>84</v>
      </c>
      <c r="C18" s="41"/>
    </row>
    <row r="19" customFormat="false" ht="15" hidden="false" customHeight="false" outlineLevel="0" collapsed="false">
      <c r="B19" s="0" t="s">
        <v>85</v>
      </c>
      <c r="C19" s="41"/>
    </row>
    <row r="20" customFormat="false" ht="15" hidden="false" customHeight="false" outlineLevel="0" collapsed="false">
      <c r="A20" s="40" t="s">
        <v>161</v>
      </c>
      <c r="B20" s="0" t="s">
        <v>83</v>
      </c>
      <c r="C20" s="41" t="n">
        <v>1</v>
      </c>
    </row>
    <row r="21" customFormat="false" ht="15" hidden="false" customHeight="false" outlineLevel="0" collapsed="false">
      <c r="B21" s="0" t="s">
        <v>84</v>
      </c>
      <c r="C21" s="41"/>
    </row>
    <row r="22" customFormat="false" ht="15" hidden="false" customHeight="false" outlineLevel="0" collapsed="false">
      <c r="B22" s="0" t="s">
        <v>85</v>
      </c>
      <c r="C22" s="41"/>
    </row>
    <row r="23" customFormat="false" ht="15" hidden="false" customHeight="false" outlineLevel="0" collapsed="false">
      <c r="A23" s="40" t="s">
        <v>162</v>
      </c>
      <c r="B23" s="0" t="s">
        <v>83</v>
      </c>
      <c r="C23" s="41" t="n">
        <v>3</v>
      </c>
    </row>
    <row r="24" customFormat="false" ht="15" hidden="false" customHeight="false" outlineLevel="0" collapsed="false">
      <c r="B24" s="0" t="s">
        <v>84</v>
      </c>
      <c r="C24" s="41"/>
    </row>
    <row r="25" customFormat="false" ht="15" hidden="false" customHeight="false" outlineLevel="0" collapsed="false">
      <c r="B25" s="0" t="s">
        <v>85</v>
      </c>
      <c r="C25" s="41"/>
    </row>
    <row r="26" customFormat="false" ht="15" hidden="false" customHeight="false" outlineLevel="0" collapsed="false">
      <c r="A26" s="40" t="s">
        <v>163</v>
      </c>
      <c r="B26" s="0" t="s">
        <v>83</v>
      </c>
      <c r="C26" s="41" t="n">
        <v>7</v>
      </c>
    </row>
    <row r="27" customFormat="false" ht="15" hidden="false" customHeight="false" outlineLevel="0" collapsed="false">
      <c r="B27" s="0" t="s">
        <v>84</v>
      </c>
      <c r="C27" s="41"/>
    </row>
    <row r="28" customFormat="false" ht="15" hidden="false" customHeight="false" outlineLevel="0" collapsed="false">
      <c r="B28" s="0" t="s">
        <v>85</v>
      </c>
      <c r="C28" s="41"/>
    </row>
    <row r="29" customFormat="false" ht="15" hidden="false" customHeight="false" outlineLevel="0" collapsed="false">
      <c r="A29" s="42" t="s">
        <v>164</v>
      </c>
      <c r="C29" s="0" t="s">
        <v>165</v>
      </c>
    </row>
    <row r="30" customFormat="false" ht="15" hidden="false" customHeight="false" outlineLevel="0" collapsed="false">
      <c r="A30" s="42" t="s">
        <v>166</v>
      </c>
      <c r="C30" s="0" t="s">
        <v>165</v>
      </c>
    </row>
    <row r="31" customFormat="false" ht="15" hidden="false" customHeight="false" outlineLevel="0" collapsed="false">
      <c r="A31" s="43" t="s">
        <v>167</v>
      </c>
      <c r="B31" s="44"/>
      <c r="C31" s="44" t="n">
        <v>15</v>
      </c>
    </row>
    <row r="32" customFormat="false" ht="15" hidden="false" customHeight="false" outlineLevel="0" collapsed="false">
      <c r="A32" s="43" t="s">
        <v>168</v>
      </c>
      <c r="B32" s="44"/>
      <c r="C32" s="44" t="n">
        <v>69</v>
      </c>
    </row>
    <row r="33" customFormat="false" ht="15" hidden="false" customHeight="false" outlineLevel="0" collapsed="false">
      <c r="A33" s="43" t="s">
        <v>169</v>
      </c>
      <c r="B33" s="44"/>
      <c r="C33" s="44" t="s">
        <v>170</v>
      </c>
    </row>
    <row r="34" customFormat="false" ht="15" hidden="false" customHeight="false" outlineLevel="0" collapsed="false">
      <c r="A34" s="40" t="s">
        <v>171</v>
      </c>
      <c r="C34" s="0" t="n">
        <v>5</v>
      </c>
    </row>
    <row r="35" customFormat="false" ht="15" hidden="false" customHeight="false" outlineLevel="0" collapsed="false">
      <c r="A35" s="40" t="s">
        <v>172</v>
      </c>
      <c r="C35" s="0" t="n">
        <v>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K72"/>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5" activeCellId="0" sqref="C5"/>
    </sheetView>
  </sheetViews>
  <sheetFormatPr defaultColWidth="8.59765625" defaultRowHeight="15" zeroHeight="false" outlineLevelRow="0" outlineLevelCol="0"/>
  <cols>
    <col collapsed="false" customWidth="true" hidden="false" outlineLevel="0" max="1" min="1" style="2" width="3.86"/>
    <col collapsed="false" customWidth="true" hidden="false" outlineLevel="0" max="2" min="2" style="2" width="29.43"/>
    <col collapsed="false" customWidth="true" hidden="false" outlineLevel="0" max="3" min="3" style="45" width="35"/>
    <col collapsed="false" customWidth="true" hidden="false" outlineLevel="0" max="4" min="4" style="45" width="8.86"/>
    <col collapsed="false" customWidth="true" hidden="false" outlineLevel="0" max="5" min="5" style="45" width="19"/>
    <col collapsed="false" customWidth="true" hidden="false" outlineLevel="0" max="6" min="6" style="45" width="26.86"/>
    <col collapsed="false" customWidth="true" hidden="false" outlineLevel="0" max="7" min="7" style="45" width="12.57"/>
    <col collapsed="false" customWidth="true" hidden="false" outlineLevel="0" max="8" min="8" style="45" width="34.57"/>
    <col collapsed="false" customWidth="true" hidden="false" outlineLevel="0" max="9" min="9" style="2" width="36.57"/>
    <col collapsed="false" customWidth="true" hidden="false" outlineLevel="0" max="10" min="10" style="2" width="13.43"/>
    <col collapsed="false" customWidth="true" hidden="false" outlineLevel="0" max="11" min="11" style="2" width="10.14"/>
  </cols>
  <sheetData>
    <row r="4" customFormat="false" ht="15" hidden="false" customHeight="false" outlineLevel="0" collapsed="false">
      <c r="B4" s="46" t="s">
        <v>99</v>
      </c>
      <c r="C4" s="47" t="s">
        <v>102</v>
      </c>
      <c r="D4" s="47" t="s">
        <v>103</v>
      </c>
      <c r="E4" s="47" t="s">
        <v>104</v>
      </c>
      <c r="F4" s="47" t="s">
        <v>105</v>
      </c>
      <c r="G4" s="47" t="s">
        <v>106</v>
      </c>
      <c r="H4" s="47" t="s">
        <v>6</v>
      </c>
      <c r="I4" s="14" t="s">
        <v>107</v>
      </c>
      <c r="J4" s="14" t="s">
        <v>108</v>
      </c>
      <c r="K4" s="14" t="s">
        <v>109</v>
      </c>
    </row>
    <row r="5" customFormat="false" ht="15" hidden="false" customHeight="false" outlineLevel="0" collapsed="false">
      <c r="B5" s="48" t="s">
        <v>155</v>
      </c>
      <c r="C5" s="49" t="e">
        <f aca="false">IF(#REF!="",All_global_list!C4,#REF!)</f>
        <v>#REF!</v>
      </c>
      <c r="D5" s="49" t="e">
        <f aca="false">IF(#REF!="","",#REF!)</f>
        <v>#REF!</v>
      </c>
      <c r="E5" s="49" t="e">
        <f aca="false">#REF!</f>
        <v>#REF!</v>
      </c>
      <c r="F5" s="49" t="e">
        <f aca="false">IF(OR(D5="alpha",D5="beta",D5="sd",D5="mean"),"--",VLOOKUP(B5,Default!$B:$H,7,FALSE()))</f>
        <v>#REF!</v>
      </c>
      <c r="G5" s="49" t="str">
        <f aca="false">VLOOKUP(B5,Lookup!$C:$D,2, FALSE())</f>
        <v>PA values</v>
      </c>
      <c r="H5" s="49" t="str">
        <f aca="false">VLOOKUP(B5,Default!$B:$E,4, FALSE())</f>
        <v>marginal MET value associated with cycling</v>
      </c>
      <c r="I5" s="2" t="s">
        <v>173</v>
      </c>
    </row>
    <row r="6" customFormat="false" ht="15" hidden="false" customHeight="false" outlineLevel="0" collapsed="false">
      <c r="B6" s="48" t="s">
        <v>155</v>
      </c>
      <c r="C6" s="49" t="e">
        <f aca="false">IF(#REF!="",All_global_list!C5,#REF!)</f>
        <v>#REF!</v>
      </c>
      <c r="D6" s="49" t="e">
        <f aca="false">IF(#REF!="","",#REF!)</f>
        <v>#REF!</v>
      </c>
      <c r="E6" s="49" t="e">
        <f aca="false">#REF!</f>
        <v>#REF!</v>
      </c>
      <c r="F6" s="49" t="e">
        <f aca="false">IF(OR(D6="alpha",D6="beta",D6="sd",D6="mean"),"--",VLOOKUP(B6,Default!$B:$H,7,FALSE()))</f>
        <v>#REF!</v>
      </c>
      <c r="G6" s="49" t="str">
        <f aca="false">VLOOKUP(B6,Lookup!$C:$D,2, FALSE())</f>
        <v>PA values</v>
      </c>
      <c r="H6" s="49" t="str">
        <f aca="false">VLOOKUP(B6,Default!$B:$E,4, FALSE())</f>
        <v>marginal MET value associated with cycling</v>
      </c>
      <c r="I6" s="50"/>
    </row>
    <row r="7" customFormat="false" ht="15" hidden="false" customHeight="false" outlineLevel="0" collapsed="false">
      <c r="B7" s="48" t="s">
        <v>155</v>
      </c>
      <c r="C7" s="49" t="e">
        <f aca="false">IF(#REF!="",All_global_list!C6,#REF!)</f>
        <v>#REF!</v>
      </c>
      <c r="D7" s="49" t="e">
        <f aca="false">IF(#REF!="","",#REF!)</f>
        <v>#REF!</v>
      </c>
      <c r="E7" s="49" t="e">
        <f aca="false">#REF!</f>
        <v>#REF!</v>
      </c>
      <c r="F7" s="49" t="e">
        <f aca="false">IF(OR(D7="alpha",D7="beta",D7="sd",D7="mean"),"--",VLOOKUP(B7,Default!$B:$H,7,FALSE()))</f>
        <v>#REF!</v>
      </c>
      <c r="G7" s="49" t="str">
        <f aca="false">VLOOKUP(B7,Lookup!$C:$D,2, FALSE())</f>
        <v>PA values</v>
      </c>
      <c r="H7" s="49" t="str">
        <f aca="false">VLOOKUP(B7,Default!$B:$E,4, FALSE())</f>
        <v>marginal MET value associated with cycling</v>
      </c>
      <c r="I7" s="50"/>
    </row>
    <row r="8" customFormat="false" ht="15" hidden="false" customHeight="false" outlineLevel="0" collapsed="false">
      <c r="B8" s="48" t="s">
        <v>156</v>
      </c>
      <c r="C8" s="49" t="e">
        <f aca="false">IF(#REF!="",All_global_list!C7,#REF!)</f>
        <v>#REF!</v>
      </c>
      <c r="D8" s="49" t="e">
        <f aca="false">IF(#REF!="","",#REF!)</f>
        <v>#REF!</v>
      </c>
      <c r="E8" s="49" t="e">
        <f aca="false">#REF!</f>
        <v>#REF!</v>
      </c>
      <c r="F8" s="49" t="e">
        <f aca="false">IF(OR(D8="alpha",D8="beta",D8="sd",D8="mean"),"--",VLOOKUP(B8,Default!$B:$H,7,FALSE()))</f>
        <v>#REF!</v>
      </c>
      <c r="G8" s="49" t="str">
        <f aca="false">VLOOKUP(B8,Lookup!$C:$D,2, FALSE())</f>
        <v>PA values</v>
      </c>
      <c r="H8" s="49" t="str">
        <f aca="false">VLOOKUP(B8,Default!$B:$E,4, FALSE())</f>
        <v>marginal MET value associated with walking</v>
      </c>
      <c r="I8" s="2" t="s">
        <v>174</v>
      </c>
    </row>
    <row r="9" customFormat="false" ht="15" hidden="false" customHeight="false" outlineLevel="0" collapsed="false">
      <c r="B9" s="48" t="s">
        <v>156</v>
      </c>
      <c r="C9" s="49" t="e">
        <f aca="false">IF(#REF!="",All_global_list!C8,#REF!)</f>
        <v>#REF!</v>
      </c>
      <c r="D9" s="49" t="e">
        <f aca="false">IF(#REF!="","",#REF!)</f>
        <v>#REF!</v>
      </c>
      <c r="E9" s="49" t="e">
        <f aca="false">#REF!</f>
        <v>#REF!</v>
      </c>
      <c r="F9" s="49" t="e">
        <f aca="false">IF(OR(D9="alpha",D9="beta",D9="sd",D9="mean"),"--",VLOOKUP(B9,Default!$B:$H,7,FALSE()))</f>
        <v>#REF!</v>
      </c>
      <c r="G9" s="49" t="str">
        <f aca="false">VLOOKUP(B9,Lookup!$C:$D,2, FALSE())</f>
        <v>PA values</v>
      </c>
      <c r="H9" s="49" t="str">
        <f aca="false">VLOOKUP(B9,Default!$B:$E,4, FALSE())</f>
        <v>marginal MET value associated with walking</v>
      </c>
      <c r="I9" s="50"/>
    </row>
    <row r="10" customFormat="false" ht="15" hidden="false" customHeight="false" outlineLevel="0" collapsed="false">
      <c r="B10" s="48" t="s">
        <v>156</v>
      </c>
      <c r="C10" s="49" t="e">
        <f aca="false">IF(#REF!="",All_global_list!C9,#REF!)</f>
        <v>#REF!</v>
      </c>
      <c r="D10" s="49" t="e">
        <f aca="false">IF(#REF!="","",#REF!)</f>
        <v>#REF!</v>
      </c>
      <c r="E10" s="49" t="e">
        <f aca="false">#REF!</f>
        <v>#REF!</v>
      </c>
      <c r="F10" s="49" t="e">
        <f aca="false">IF(OR(D10="alpha",D10="beta",D10="sd",D10="mean"),"--",VLOOKUP(B10,Default!$B:$H,7,FALSE()))</f>
        <v>#REF!</v>
      </c>
      <c r="G10" s="49" t="str">
        <f aca="false">VLOOKUP(B10,Lookup!$C:$D,2, FALSE())</f>
        <v>PA values</v>
      </c>
      <c r="H10" s="49" t="str">
        <f aca="false">VLOOKUP(B10,Default!$B:$E,4, FALSE())</f>
        <v>marginal MET value associated with walking</v>
      </c>
      <c r="I10" s="50"/>
    </row>
    <row r="11" customFormat="false" ht="15" hidden="false" customHeight="false" outlineLevel="0" collapsed="false">
      <c r="B11" s="48" t="s">
        <v>157</v>
      </c>
      <c r="C11" s="49" t="e">
        <f aca="false">IF(#REF!="",All_global_list!C10,#REF!)</f>
        <v>#REF!</v>
      </c>
      <c r="D11" s="49" t="e">
        <f aca="false">IF(#REF!="","",#REF!)</f>
        <v>#REF!</v>
      </c>
      <c r="E11" s="49" t="e">
        <f aca="false">#REF!</f>
        <v>#REF!</v>
      </c>
      <c r="F11" s="49" t="e">
        <f aca="false">IF(OR(D11="alpha",D11="beta",D11="sd",D11="mean"),"--",VLOOKUP(B11,Default!$B:$H,7,FALSE()))</f>
        <v>#REF!</v>
      </c>
      <c r="G11" s="49" t="str">
        <f aca="false">VLOOKUP(B11,Lookup!$C:$D,2, FALSE())</f>
        <v>PA values</v>
      </c>
      <c r="H11" s="49" t="str">
        <f aca="false">VLOOKUP(B11,Default!$B:$E,4, FALSE())</f>
        <v>marginal MET value associated with being a passenger on public transport</v>
      </c>
      <c r="I11" s="2" t="s">
        <v>175</v>
      </c>
    </row>
    <row r="12" customFormat="false" ht="15" hidden="false" customHeight="false" outlineLevel="0" collapsed="false">
      <c r="B12" s="48" t="s">
        <v>157</v>
      </c>
      <c r="C12" s="49" t="e">
        <f aca="false">IF(#REF!="",All_global_list!C11,#REF!)</f>
        <v>#REF!</v>
      </c>
      <c r="D12" s="49" t="e">
        <f aca="false">IF(#REF!="","",#REF!)</f>
        <v>#REF!</v>
      </c>
      <c r="E12" s="49" t="e">
        <f aca="false">#REF!</f>
        <v>#REF!</v>
      </c>
      <c r="F12" s="49" t="e">
        <f aca="false">IF(OR(D12="alpha",D12="beta",D12="sd",D12="mean"),"--",VLOOKUP(B12,Default!$B:$H,7,FALSE()))</f>
        <v>#REF!</v>
      </c>
      <c r="G12" s="49" t="str">
        <f aca="false">VLOOKUP(B12,Lookup!$C:$D,2, FALSE())</f>
        <v>PA values</v>
      </c>
      <c r="H12" s="49" t="str">
        <f aca="false">VLOOKUP(B12,Default!$B:$E,4, FALSE())</f>
        <v>marginal MET value associated with being a passenger on public transport</v>
      </c>
    </row>
    <row r="13" customFormat="false" ht="15" hidden="false" customHeight="false" outlineLevel="0" collapsed="false">
      <c r="B13" s="48" t="s">
        <v>157</v>
      </c>
      <c r="C13" s="49" t="e">
        <f aca="false">IF(#REF!="",All_global_list!C12,#REF!)</f>
        <v>#REF!</v>
      </c>
      <c r="D13" s="49" t="e">
        <f aca="false">IF(#REF!="","",#REF!)</f>
        <v>#REF!</v>
      </c>
      <c r="E13" s="49" t="e">
        <f aca="false">#REF!</f>
        <v>#REF!</v>
      </c>
      <c r="F13" s="49" t="e">
        <f aca="false">IF(OR(D13="alpha",D13="beta",D13="sd",D13="mean"),"--",VLOOKUP(B13,Default!$B:$H,7,FALSE()))</f>
        <v>#REF!</v>
      </c>
      <c r="G13" s="49" t="str">
        <f aca="false">VLOOKUP(B13,Lookup!$C:$D,2, FALSE())</f>
        <v>PA values</v>
      </c>
      <c r="H13" s="49" t="str">
        <f aca="false">VLOOKUP(B13,Default!$B:$E,4, FALSE())</f>
        <v>marginal MET value associated with being a passenger on public transport</v>
      </c>
    </row>
    <row r="14" customFormat="false" ht="15" hidden="false" customHeight="false" outlineLevel="0" collapsed="false">
      <c r="B14" s="48" t="s">
        <v>158</v>
      </c>
      <c r="C14" s="49" t="e">
        <f aca="false">IF(#REF!="",All_global_list!C13,#REF!)</f>
        <v>#REF!</v>
      </c>
      <c r="D14" s="49" t="e">
        <f aca="false">IF(#REF!="","",#REF!)</f>
        <v>#REF!</v>
      </c>
      <c r="E14" s="49" t="e">
        <f aca="false">#REF!</f>
        <v>#REF!</v>
      </c>
      <c r="F14" s="49" t="e">
        <f aca="false">IF(OR(D14="alpha",D14="beta",D14="sd",D14="mean"),"--",VLOOKUP(B14,Default!$B:$H,7,FALSE()))</f>
        <v>#REF!</v>
      </c>
      <c r="G14" s="49" t="str">
        <f aca="false">VLOOKUP(B14,Lookup!$C:$D,2, FALSE())</f>
        <v>PA values</v>
      </c>
      <c r="H14" s="49" t="str">
        <f aca="false">VLOOKUP(B14,Default!$B:$E,4, FALSE())</f>
        <v>marginal MET value associated with being a car driver or passenger</v>
      </c>
      <c r="I14" s="2" t="s">
        <v>176</v>
      </c>
    </row>
    <row r="15" customFormat="false" ht="15" hidden="false" customHeight="false" outlineLevel="0" collapsed="false">
      <c r="B15" s="48" t="s">
        <v>158</v>
      </c>
      <c r="C15" s="49" t="e">
        <f aca="false">IF(#REF!="",All_global_list!C14,#REF!)</f>
        <v>#REF!</v>
      </c>
      <c r="D15" s="49" t="e">
        <f aca="false">IF(#REF!="","",#REF!)</f>
        <v>#REF!</v>
      </c>
      <c r="E15" s="49" t="e">
        <f aca="false">#REF!</f>
        <v>#REF!</v>
      </c>
      <c r="F15" s="49" t="e">
        <f aca="false">IF(OR(D15="alpha",D15="beta",D15="sd",D15="mean"),"--",VLOOKUP(B15,Default!$B:$H,7,FALSE()))</f>
        <v>#REF!</v>
      </c>
      <c r="G15" s="49" t="str">
        <f aca="false">VLOOKUP(B15,Lookup!$C:$D,2, FALSE())</f>
        <v>PA values</v>
      </c>
      <c r="H15" s="49" t="str">
        <f aca="false">VLOOKUP(B15,Default!$B:$E,4, FALSE())</f>
        <v>marginal MET value associated with being a car driver or passenger</v>
      </c>
    </row>
    <row r="16" customFormat="false" ht="15" hidden="false" customHeight="false" outlineLevel="0" collapsed="false">
      <c r="B16" s="48" t="s">
        <v>158</v>
      </c>
      <c r="C16" s="49" t="e">
        <f aca="false">IF(#REF!="",All_global_list!C15,#REF!)</f>
        <v>#REF!</v>
      </c>
      <c r="D16" s="49" t="e">
        <f aca="false">IF(#REF!="","",#REF!)</f>
        <v>#REF!</v>
      </c>
      <c r="E16" s="49" t="e">
        <f aca="false">#REF!</f>
        <v>#REF!</v>
      </c>
      <c r="F16" s="49" t="e">
        <f aca="false">IF(OR(D16="alpha",D16="beta",D16="sd",D16="mean"),"--",VLOOKUP(B16,Default!$B:$H,7,FALSE()))</f>
        <v>#REF!</v>
      </c>
      <c r="G16" s="49" t="str">
        <f aca="false">VLOOKUP(B16,Lookup!$C:$D,2, FALSE())</f>
        <v>PA values</v>
      </c>
      <c r="H16" s="49" t="str">
        <f aca="false">VLOOKUP(B16,Default!$B:$E,4, FALSE())</f>
        <v>marginal MET value associated with being a car driver or passenger</v>
      </c>
    </row>
    <row r="17" customFormat="false" ht="15" hidden="false" customHeight="false" outlineLevel="0" collapsed="false">
      <c r="B17" s="48" t="s">
        <v>159</v>
      </c>
      <c r="C17" s="49" t="e">
        <f aca="false">IF(#REF!="",All_global_list!C16,#REF!)</f>
        <v>#REF!</v>
      </c>
      <c r="D17" s="49" t="e">
        <f aca="false">IF(#REF!="","",#REF!)</f>
        <v>#REF!</v>
      </c>
      <c r="E17" s="49" t="e">
        <f aca="false">#REF!</f>
        <v>#REF!</v>
      </c>
      <c r="F17" s="49" t="e">
        <f aca="false">IF(OR(D17="alpha",D17="beta",D17="sd",D17="mean"),"--",VLOOKUP(B17,Default!$B:$H,7,FALSE()))</f>
        <v>#REF!</v>
      </c>
      <c r="G17" s="49" t="str">
        <f aca="false">VLOOKUP(B17,Lookup!$C:$D,2, FALSE())</f>
        <v>PA values</v>
      </c>
      <c r="H17" s="49" t="str">
        <f aca="false">VLOOKUP(B17,Default!$B:$E,4, FALSE())</f>
        <v>marginal MET value associated with being a motorcyclist</v>
      </c>
      <c r="I17" s="2" t="s">
        <v>177</v>
      </c>
    </row>
    <row r="18" customFormat="false" ht="15" hidden="false" customHeight="false" outlineLevel="0" collapsed="false">
      <c r="B18" s="48" t="s">
        <v>159</v>
      </c>
      <c r="C18" s="49" t="e">
        <f aca="false">IF(#REF!="",All_global_list!C17,#REF!)</f>
        <v>#REF!</v>
      </c>
      <c r="D18" s="49" t="e">
        <f aca="false">IF(#REF!="","",#REF!)</f>
        <v>#REF!</v>
      </c>
      <c r="E18" s="49" t="e">
        <f aca="false">#REF!</f>
        <v>#REF!</v>
      </c>
      <c r="F18" s="49" t="e">
        <f aca="false">IF(OR(D18="alpha",D18="beta",D18="sd",D18="mean"),"--",VLOOKUP(B18,Default!$B:$H,7,FALSE()))</f>
        <v>#REF!</v>
      </c>
      <c r="G18" s="49" t="str">
        <f aca="false">VLOOKUP(B18,Lookup!$C:$D,2, FALSE())</f>
        <v>PA values</v>
      </c>
      <c r="H18" s="49" t="str">
        <f aca="false">VLOOKUP(B18,Default!$B:$E,4, FALSE())</f>
        <v>marginal MET value associated with being a motorcyclist</v>
      </c>
    </row>
    <row r="19" customFormat="false" ht="15" hidden="false" customHeight="false" outlineLevel="0" collapsed="false">
      <c r="B19" s="48" t="s">
        <v>159</v>
      </c>
      <c r="C19" s="49" t="e">
        <f aca="false">IF(#REF!="",All_global_list!C18,#REF!)</f>
        <v>#REF!</v>
      </c>
      <c r="D19" s="49" t="e">
        <f aca="false">IF(#REF!="","",#REF!)</f>
        <v>#REF!</v>
      </c>
      <c r="E19" s="49" t="e">
        <f aca="false">#REF!</f>
        <v>#REF!</v>
      </c>
      <c r="F19" s="49" t="e">
        <f aca="false">IF(OR(D19="alpha",D19="beta",D19="sd",D19="mean"),"--",VLOOKUP(B19,Default!$B:$H,7,FALSE()))</f>
        <v>#REF!</v>
      </c>
      <c r="G19" s="49" t="str">
        <f aca="false">VLOOKUP(B19,Lookup!$C:$D,2, FALSE())</f>
        <v>PA values</v>
      </c>
      <c r="H19" s="49" t="str">
        <f aca="false">VLOOKUP(B19,Default!$B:$E,4, FALSE())</f>
        <v>marginal MET value associated with being a motorcyclist</v>
      </c>
    </row>
    <row r="20" customFormat="false" ht="15" hidden="false" customHeight="false" outlineLevel="0" collapsed="false">
      <c r="B20" s="48" t="s">
        <v>160</v>
      </c>
      <c r="C20" s="49" t="e">
        <f aca="false">IF(#REF!="",All_global_list!C19,#REF!)</f>
        <v>#REF!</v>
      </c>
      <c r="D20" s="49" t="e">
        <f aca="false">IF(#REF!="","",#REF!)</f>
        <v>#REF!</v>
      </c>
      <c r="E20" s="49" t="e">
        <f aca="false">#REF!</f>
        <v>#REF!</v>
      </c>
      <c r="F20" s="49" t="e">
        <f aca="false">IF(OR(D20="alpha",D20="beta",D20="sd",D20="mean"),"--",VLOOKUP(B20,Default!$B:$H,7,FALSE()))</f>
        <v>#REF!</v>
      </c>
      <c r="G20" s="49" t="str">
        <f aca="false">VLOOKUP(B20,Lookup!$C:$D,2, FALSE())</f>
        <v>PA values</v>
      </c>
      <c r="H20" s="49" t="str">
        <f aca="false">VLOOKUP(B20,Default!$B:$E,4, FALSE())</f>
        <v>marginal MET value associated with sedentary activity</v>
      </c>
      <c r="I20" s="2" t="s">
        <v>178</v>
      </c>
    </row>
    <row r="21" customFormat="false" ht="15" hidden="false" customHeight="false" outlineLevel="0" collapsed="false">
      <c r="B21" s="48" t="s">
        <v>160</v>
      </c>
      <c r="C21" s="49" t="e">
        <f aca="false">IF(#REF!="",All_global_list!C20,#REF!)</f>
        <v>#REF!</v>
      </c>
      <c r="D21" s="49" t="e">
        <f aca="false">IF(#REF!="","",#REF!)</f>
        <v>#REF!</v>
      </c>
      <c r="E21" s="49" t="e">
        <f aca="false">#REF!</f>
        <v>#REF!</v>
      </c>
      <c r="F21" s="49" t="e">
        <f aca="false">IF(OR(D21="alpha",D21="beta",D21="sd",D21="mean"),"--",VLOOKUP(B21,Default!$B:$H,7,FALSE()))</f>
        <v>#REF!</v>
      </c>
      <c r="G21" s="49" t="str">
        <f aca="false">VLOOKUP(B21,Lookup!$C:$D,2, FALSE())</f>
        <v>PA values</v>
      </c>
      <c r="H21" s="49" t="str">
        <f aca="false">VLOOKUP(B21,Default!$B:$E,4, FALSE())</f>
        <v>marginal MET value associated with sedentary activity</v>
      </c>
      <c r="I21" s="50"/>
    </row>
    <row r="22" customFormat="false" ht="15" hidden="false" customHeight="false" outlineLevel="0" collapsed="false">
      <c r="B22" s="48" t="s">
        <v>160</v>
      </c>
      <c r="C22" s="49" t="e">
        <f aca="false">IF(#REF!="",All_global_list!C21,#REF!)</f>
        <v>#REF!</v>
      </c>
      <c r="D22" s="49" t="e">
        <f aca="false">IF(#REF!="","",#REF!)</f>
        <v>#REF!</v>
      </c>
      <c r="E22" s="49" t="e">
        <f aca="false">#REF!</f>
        <v>#REF!</v>
      </c>
      <c r="F22" s="49" t="e">
        <f aca="false">IF(OR(D22="alpha",D22="beta",D22="sd",D22="mean"),"--",VLOOKUP(B22,Default!$B:$H,7,FALSE()))</f>
        <v>#REF!</v>
      </c>
      <c r="G22" s="49" t="str">
        <f aca="false">VLOOKUP(B22,Lookup!$C:$D,2, FALSE())</f>
        <v>PA values</v>
      </c>
      <c r="H22" s="49" t="str">
        <f aca="false">VLOOKUP(B22,Default!$B:$E,4, FALSE())</f>
        <v>marginal MET value associated with sedentary activity</v>
      </c>
      <c r="I22" s="50"/>
    </row>
    <row r="23" customFormat="false" ht="15" hidden="false" customHeight="false" outlineLevel="0" collapsed="false">
      <c r="B23" s="48" t="s">
        <v>161</v>
      </c>
      <c r="C23" s="49" t="e">
        <f aca="false">IF(#REF!="",All_global_list!C22,#REF!)</f>
        <v>#REF!</v>
      </c>
      <c r="D23" s="49" t="e">
        <f aca="false">IF(#REF!="","",#REF!)</f>
        <v>#REF!</v>
      </c>
      <c r="E23" s="49" t="e">
        <f aca="false">#REF!</f>
        <v>#REF!</v>
      </c>
      <c r="F23" s="49" t="e">
        <f aca="false">IF(OR(D23="alpha",D23="beta",D23="sd",D23="mean"),"--",VLOOKUP(B23,Default!$B:$H,7,FALSE()))</f>
        <v>#REF!</v>
      </c>
      <c r="G23" s="49" t="str">
        <f aca="false">VLOOKUP(B23,Lookup!$C:$D,2, FALSE())</f>
        <v>PA values</v>
      </c>
      <c r="H23" s="49" t="str">
        <f aca="false">VLOOKUP(B23,Default!$B:$E,4, FALSE())</f>
        <v>marginal MET value associated with light activity</v>
      </c>
      <c r="I23" s="2" t="s">
        <v>179</v>
      </c>
    </row>
    <row r="24" customFormat="false" ht="15" hidden="false" customHeight="false" outlineLevel="0" collapsed="false">
      <c r="B24" s="48" t="s">
        <v>161</v>
      </c>
      <c r="C24" s="49" t="e">
        <f aca="false">IF(#REF!="",All_global_list!C23,#REF!)</f>
        <v>#REF!</v>
      </c>
      <c r="D24" s="49" t="e">
        <f aca="false">IF(#REF!="","",#REF!)</f>
        <v>#REF!</v>
      </c>
      <c r="E24" s="49" t="e">
        <f aca="false">#REF!</f>
        <v>#REF!</v>
      </c>
      <c r="F24" s="49" t="e">
        <f aca="false">IF(OR(D24="alpha",D24="beta",D24="sd",D24="mean"),"--",VLOOKUP(B24,Default!$B:$H,7,FALSE()))</f>
        <v>#REF!</v>
      </c>
      <c r="G24" s="49" t="str">
        <f aca="false">VLOOKUP(B24,Lookup!$C:$D,2, FALSE())</f>
        <v>PA values</v>
      </c>
      <c r="H24" s="49" t="str">
        <f aca="false">VLOOKUP(B24,Default!$B:$E,4, FALSE())</f>
        <v>marginal MET value associated with light activity</v>
      </c>
      <c r="I24" s="50"/>
    </row>
    <row r="25" customFormat="false" ht="15" hidden="false" customHeight="false" outlineLevel="0" collapsed="false">
      <c r="B25" s="48" t="s">
        <v>161</v>
      </c>
      <c r="C25" s="49" t="e">
        <f aca="false">IF(#REF!="",All_global_list!C24,#REF!)</f>
        <v>#REF!</v>
      </c>
      <c r="D25" s="49" t="e">
        <f aca="false">IF(#REF!="","",#REF!)</f>
        <v>#REF!</v>
      </c>
      <c r="E25" s="49" t="e">
        <f aca="false">#REF!</f>
        <v>#REF!</v>
      </c>
      <c r="F25" s="49" t="s">
        <v>180</v>
      </c>
      <c r="G25" s="49" t="str">
        <f aca="false">VLOOKUP(B25,Lookup!$C:$D,2, FALSE())</f>
        <v>PA values</v>
      </c>
      <c r="H25" s="49" t="str">
        <f aca="false">VLOOKUP(B25,Default!$B:$E,4, FALSE())</f>
        <v>marginal MET value associated with light activity</v>
      </c>
      <c r="I25" s="50"/>
    </row>
    <row r="26" customFormat="false" ht="15" hidden="false" customHeight="false" outlineLevel="0" collapsed="false">
      <c r="B26" s="48" t="s">
        <v>162</v>
      </c>
      <c r="C26" s="49" t="e">
        <f aca="false">IF(#REF!="",All_global_list!C25,#REF!)</f>
        <v>#REF!</v>
      </c>
      <c r="D26" s="49" t="e">
        <f aca="false">IF(#REF!="","",#REF!)</f>
        <v>#REF!</v>
      </c>
      <c r="E26" s="49" t="e">
        <f aca="false">#REF!</f>
        <v>#REF!</v>
      </c>
      <c r="F26" s="49" t="e">
        <f aca="false">IF(OR(D26="alpha",D26="beta",D26="sd",D26="mean"),"--",VLOOKUP(B26,Default!$B:$H,7,FALSE()))</f>
        <v>#REF!</v>
      </c>
      <c r="G26" s="49" t="str">
        <f aca="false">VLOOKUP(B26,Lookup!$C:$D,2, FALSE())</f>
        <v>PA values</v>
      </c>
      <c r="H26" s="49" t="str">
        <f aca="false">VLOOKUP(B26,Default!$B:$E,4, FALSE())</f>
        <v>marginal MET value associated with moderate activity</v>
      </c>
      <c r="I26" s="2" t="s">
        <v>181</v>
      </c>
    </row>
    <row r="27" customFormat="false" ht="15" hidden="false" customHeight="false" outlineLevel="0" collapsed="false">
      <c r="B27" s="48" t="s">
        <v>162</v>
      </c>
      <c r="C27" s="49" t="e">
        <f aca="false">IF(#REF!="",All_global_list!C26,#REF!)</f>
        <v>#REF!</v>
      </c>
      <c r="D27" s="49" t="e">
        <f aca="false">IF(#REF!="","",#REF!)</f>
        <v>#REF!</v>
      </c>
      <c r="E27" s="49" t="e">
        <f aca="false">#REF!</f>
        <v>#REF!</v>
      </c>
      <c r="F27" s="49" t="e">
        <f aca="false">IF(OR(D27="alpha",D27="beta",D27="sd",D27="mean"),"--",VLOOKUP(B27,Default!$B:$H,7,FALSE()))</f>
        <v>#REF!</v>
      </c>
      <c r="G27" s="49" t="str">
        <f aca="false">VLOOKUP(B27,Lookup!$C:$D,2, FALSE())</f>
        <v>PA values</v>
      </c>
      <c r="H27" s="49" t="str">
        <f aca="false">VLOOKUP(B27,Default!$B:$E,4, FALSE())</f>
        <v>marginal MET value associated with moderate activity</v>
      </c>
      <c r="I27" s="50"/>
    </row>
    <row r="28" customFormat="false" ht="15" hidden="false" customHeight="false" outlineLevel="0" collapsed="false">
      <c r="B28" s="48" t="s">
        <v>162</v>
      </c>
      <c r="C28" s="49" t="e">
        <f aca="false">IF(#REF!="",All_global_list!C27,#REF!)</f>
        <v>#REF!</v>
      </c>
      <c r="D28" s="49" t="e">
        <f aca="false">IF(#REF!="","",#REF!)</f>
        <v>#REF!</v>
      </c>
      <c r="E28" s="49" t="e">
        <f aca="false">#REF!</f>
        <v>#REF!</v>
      </c>
      <c r="F28" s="49" t="e">
        <f aca="false">IF(OR(D28="alpha",D28="beta",D28="sd",D28="mean"),"--",VLOOKUP(B28,Default!$B:$H,7,FALSE()))</f>
        <v>#REF!</v>
      </c>
      <c r="G28" s="49" t="str">
        <f aca="false">VLOOKUP(B28,Lookup!$C:$D,2, FALSE())</f>
        <v>PA values</v>
      </c>
      <c r="H28" s="49" t="str">
        <f aca="false">VLOOKUP(B28,Default!$B:$E,4, FALSE())</f>
        <v>marginal MET value associated with moderate activity</v>
      </c>
      <c r="I28" s="50"/>
    </row>
    <row r="29" customFormat="false" ht="15" hidden="false" customHeight="false" outlineLevel="0" collapsed="false">
      <c r="B29" s="48" t="s">
        <v>163</v>
      </c>
      <c r="C29" s="49" t="e">
        <f aca="false">IF(#REF!="",All_global_list!C28,#REF!)</f>
        <v>#REF!</v>
      </c>
      <c r="D29" s="49" t="e">
        <f aca="false">IF(#REF!="","",#REF!)</f>
        <v>#REF!</v>
      </c>
      <c r="E29" s="49" t="e">
        <f aca="false">#REF!</f>
        <v>#REF!</v>
      </c>
      <c r="F29" s="49" t="e">
        <f aca="false">IF(OR(D29="alpha",D29="beta",D29="sd",D29="mean"),"--",VLOOKUP(B29,Default!$B:$H,7,FALSE()))</f>
        <v>#REF!</v>
      </c>
      <c r="G29" s="49" t="str">
        <f aca="false">VLOOKUP(B29,Lookup!$C:$D,2, FALSE())</f>
        <v>PA values</v>
      </c>
      <c r="H29" s="49" t="str">
        <f aca="false">VLOOKUP(B29,Default!$B:$E,4, FALSE())</f>
        <v>marginal MET value associated with vigorous activity</v>
      </c>
      <c r="I29" s="2" t="s">
        <v>181</v>
      </c>
    </row>
    <row r="30" customFormat="false" ht="15" hidden="false" customHeight="false" outlineLevel="0" collapsed="false">
      <c r="B30" s="48" t="s">
        <v>163</v>
      </c>
      <c r="C30" s="49" t="e">
        <f aca="false">IF(#REF!="",All_global_list!C29,#REF!)</f>
        <v>#REF!</v>
      </c>
      <c r="D30" s="49" t="e">
        <f aca="false">IF(#REF!="","",#REF!)</f>
        <v>#REF!</v>
      </c>
      <c r="E30" s="49" t="e">
        <f aca="false">#REF!</f>
        <v>#REF!</v>
      </c>
      <c r="F30" s="49" t="e">
        <f aca="false">IF(OR(D30="alpha",D30="beta",D30="sd",D30="mean"),"--",VLOOKUP(B30,Default!$B:$H,7,FALSE()))</f>
        <v>#REF!</v>
      </c>
      <c r="G30" s="49" t="str">
        <f aca="false">VLOOKUP(B30,Lookup!$C:$D,2, FALSE())</f>
        <v>PA values</v>
      </c>
      <c r="H30" s="49" t="str">
        <f aca="false">VLOOKUP(B30,Default!$B:$E,4, FALSE())</f>
        <v>marginal MET value associated with vigorous activity</v>
      </c>
      <c r="I30" s="50"/>
    </row>
    <row r="31" customFormat="false" ht="15" hidden="false" customHeight="false" outlineLevel="0" collapsed="false">
      <c r="B31" s="48" t="s">
        <v>163</v>
      </c>
      <c r="C31" s="49" t="e">
        <f aca="false">IF(#REF!="",All_global_list!C30,#REF!)</f>
        <v>#REF!</v>
      </c>
      <c r="D31" s="49" t="e">
        <f aca="false">IF(#REF!="","",#REF!)</f>
        <v>#REF!</v>
      </c>
      <c r="E31" s="49" t="e">
        <f aca="false">#REF!</f>
        <v>#REF!</v>
      </c>
      <c r="F31" s="49" t="e">
        <f aca="false">IF(OR(D31="alpha",D31="beta",D31="sd",D31="mean"),"--",VLOOKUP(B31,Default!$B:$H,7,FALSE()))</f>
        <v>#REF!</v>
      </c>
      <c r="G31" s="49" t="str">
        <f aca="false">VLOOKUP(B31,Lookup!$C:$D,2, FALSE())</f>
        <v>PA values</v>
      </c>
      <c r="H31" s="49" t="str">
        <f aca="false">VLOOKUP(B31,Default!$B:$E,4, FALSE())</f>
        <v>marginal MET value associated with vigorous activity</v>
      </c>
      <c r="I31" s="50"/>
    </row>
    <row r="32" customFormat="false" ht="15" hidden="false" customHeight="false" outlineLevel="0" collapsed="false">
      <c r="B32" s="48" t="s">
        <v>182</v>
      </c>
      <c r="C32" s="49" t="e">
        <f aca="false">IF(#REF!="",All_global_list!C10,#REF!)</f>
        <v>#REF!</v>
      </c>
      <c r="D32" s="49" t="e">
        <f aca="false">IF(#REF!="","",#REF!)</f>
        <v>#REF!</v>
      </c>
      <c r="E32" s="49" t="e">
        <f aca="false">#REF!</f>
        <v>#REF!</v>
      </c>
      <c r="F32" s="49" t="e">
        <f aca="false">IF(OR(D32="alpha",D32="beta",D32="sd",D32="mean"),"--",VLOOKUP(B32,Default!$B:$H,7,FALSE()))</f>
        <v>#REF!</v>
      </c>
      <c r="G32" s="49" t="str">
        <f aca="false">VLOOKUP(B32,Lookup!$C:$D,2, FALSE())</f>
        <v>Injury values</v>
      </c>
      <c r="H32" s="49" t="str">
        <f aca="false">VLOOKUP(B32,Default!$B:$E,4, FALSE())</f>
        <v>linearity of injuries with respect to two modes. SIN_EXPONENT_SUM=2 means no safety in numbers</v>
      </c>
      <c r="I32" s="2" t="s">
        <v>183</v>
      </c>
    </row>
    <row r="33" customFormat="false" ht="15" hidden="false" customHeight="false" outlineLevel="0" collapsed="false">
      <c r="B33" s="48" t="s">
        <v>182</v>
      </c>
      <c r="C33" s="49" t="e">
        <f aca="false">IF(#REF!="",All_global_list!C32,#REF!)</f>
        <v>#REF!</v>
      </c>
      <c r="D33" s="49" t="e">
        <f aca="false">IF(#REF!="","",#REF!)</f>
        <v>#REF!</v>
      </c>
      <c r="E33" s="49" t="e">
        <f aca="false">#REF!</f>
        <v>#REF!</v>
      </c>
      <c r="F33" s="49" t="e">
        <f aca="false">IF(OR(D33="alpha",D33="beta",D33="sd",D33="mean"),"--",VLOOKUP(B33,Default!$B:$H,7,FALSE()))</f>
        <v>#REF!</v>
      </c>
      <c r="G33" s="49" t="str">
        <f aca="false">VLOOKUP(B33,Lookup!$C:$D,2, FALSE())</f>
        <v>Injury values</v>
      </c>
      <c r="H33" s="49"/>
    </row>
    <row r="34" customFormat="false" ht="15" hidden="false" customHeight="false" outlineLevel="0" collapsed="false">
      <c r="B34" s="48" t="s">
        <v>182</v>
      </c>
      <c r="C34" s="49" t="e">
        <f aca="false">IF(#REF!="",All_global_list!C33,#REF!)</f>
        <v>#REF!</v>
      </c>
      <c r="D34" s="49" t="e">
        <f aca="false">IF(#REF!="","",#REF!)</f>
        <v>#REF!</v>
      </c>
      <c r="E34" s="49" t="e">
        <f aca="false">#REF!</f>
        <v>#REF!</v>
      </c>
      <c r="F34" s="49" t="e">
        <f aca="false">IF(OR(D34="alpha",D34="beta",D34="sd",D34="mean"),"--",VLOOKUP(B34,Default!$B:$H,7,FALSE()))</f>
        <v>#REF!</v>
      </c>
      <c r="G34" s="49" t="str">
        <f aca="false">VLOOKUP(B34,Lookup!$C:$D,2, FALSE())</f>
        <v>Injury values</v>
      </c>
      <c r="H34" s="49"/>
    </row>
    <row r="35" customFormat="false" ht="15" hidden="false" customHeight="false" outlineLevel="0" collapsed="false">
      <c r="B35" s="48" t="s">
        <v>184</v>
      </c>
      <c r="C35" s="49" t="e">
        <f aca="false">IF(#REF!="",All_global_list!C34,#REF!)</f>
        <v>#REF!</v>
      </c>
      <c r="D35" s="49" t="e">
        <f aca="false">IF(#REF!="","",#REF!)</f>
        <v>#REF!</v>
      </c>
      <c r="E35" s="49" t="e">
        <f aca="false">#REF!</f>
        <v>#REF!</v>
      </c>
      <c r="F35" s="49" t="e">
        <f aca="false">IF(OR(D35="alpha",D35="beta",D35="sd",D35="mean"),"--",VLOOKUP(B35,Default!$B:$H,7,FALSE()))</f>
        <v>#REF!</v>
      </c>
      <c r="G35" s="49" t="str">
        <f aca="false">VLOOKUP(B35,Lookup!$C:$D,2, FALSE())</f>
        <v>Injury values</v>
      </c>
      <c r="H35" s="49" t="str">
        <f aca="false">VLOOKUP(B35,Default!$B:$E,4, FALSE())</f>
        <v>fraction of SIN_EXPONENT_SUM attributed to casualy mode</v>
      </c>
      <c r="I35" s="2" t="s">
        <v>183</v>
      </c>
    </row>
    <row r="36" customFormat="false" ht="15" hidden="false" customHeight="false" outlineLevel="0" collapsed="false">
      <c r="B36" s="48" t="s">
        <v>184</v>
      </c>
      <c r="C36" s="49" t="e">
        <f aca="false">IF(#REF!="",All_global_list!C35,#REF!)</f>
        <v>#REF!</v>
      </c>
      <c r="D36" s="49" t="e">
        <f aca="false">IF(#REF!="","",#REF!)</f>
        <v>#REF!</v>
      </c>
      <c r="E36" s="49" t="e">
        <f aca="false">#REF!</f>
        <v>#REF!</v>
      </c>
      <c r="F36" s="49" t="e">
        <f aca="false">IF(OR(D36="alpha",D36="beta",D36="sd",D36="mean"),"--",VLOOKUP(B36,Default!$B:$H,7,FALSE()))</f>
        <v>#REF!</v>
      </c>
      <c r="G36" s="49" t="str">
        <f aca="false">VLOOKUP(B36,Lookup!$C:$D,2, FALSE())</f>
        <v>Injury values</v>
      </c>
      <c r="H36" s="49"/>
    </row>
    <row r="37" customFormat="false" ht="15" hidden="false" customHeight="false" outlineLevel="0" collapsed="false">
      <c r="B37" s="48" t="s">
        <v>184</v>
      </c>
      <c r="C37" s="49" t="e">
        <f aca="false">IF(#REF!="",All_global_list!C36,#REF!)</f>
        <v>#REF!</v>
      </c>
      <c r="D37" s="49" t="e">
        <f aca="false">IF(#REF!="","",#REF!)</f>
        <v>#REF!</v>
      </c>
      <c r="E37" s="49" t="e">
        <f aca="false">#REF!</f>
        <v>#REF!</v>
      </c>
      <c r="F37" s="49" t="e">
        <f aca="false">IF(OR(D37="alpha",D37="beta",D37="sd",D37="mean"),"--",VLOOKUP(B37,Default!$B:$H,7,FALSE()))</f>
        <v>#REF!</v>
      </c>
      <c r="G37" s="49" t="str">
        <f aca="false">VLOOKUP(B37,Lookup!$C:$D,2, FALSE())</f>
        <v>Injury values</v>
      </c>
      <c r="H37" s="49"/>
    </row>
    <row r="38" customFormat="false" ht="15" hidden="false" customHeight="false" outlineLevel="0" collapsed="false">
      <c r="B38" s="48" t="s">
        <v>185</v>
      </c>
      <c r="C38" s="49" t="e">
        <f aca="false">IF(#REF!="",All_global_list!C37,#REF!)</f>
        <v>#REF!</v>
      </c>
      <c r="D38" s="49" t="e">
        <f aca="false">IF(#REF!="","",#REF!)</f>
        <v>#REF!</v>
      </c>
      <c r="E38" s="49" t="e">
        <f aca="false">#REF!</f>
        <v>#REF!</v>
      </c>
      <c r="F38" s="49" t="e">
        <f aca="false">IF(OR(D38="alpha",D38="beta",D38="sd",D38="mean"),"--",VLOOKUP(B38,Default!$B:$H,7,FALSE()))</f>
        <v>#REF!</v>
      </c>
      <c r="G38" s="49" t="str">
        <f aca="false">VLOOKUP(B38,Lookup!$C:$D,2, FALSE())</f>
        <v>Injury values</v>
      </c>
      <c r="H38" s="49" t="str">
        <f aca="false">VLOOKUP(B38,Default!$B:$E,4, FALSE())</f>
        <v>same as global SIN_EXPONENT_SUM but only applies to NOV fatalities which means that this coefficient is only relevant for casualty mode and does not get split between cas and str modes.</v>
      </c>
      <c r="I38" s="2" t="s">
        <v>183</v>
      </c>
    </row>
    <row r="39" customFormat="false" ht="15" hidden="false" customHeight="false" outlineLevel="0" collapsed="false">
      <c r="B39" s="48" t="s">
        <v>185</v>
      </c>
      <c r="C39" s="49" t="e">
        <f aca="false">IF(#REF!="",All_global_list!C38,#REF!)</f>
        <v>#REF!</v>
      </c>
      <c r="D39" s="49" t="e">
        <f aca="false">IF(#REF!="","",#REF!)</f>
        <v>#REF!</v>
      </c>
      <c r="E39" s="49" t="e">
        <f aca="false">#REF!</f>
        <v>#REF!</v>
      </c>
      <c r="F39" s="49" t="e">
        <f aca="false">IF(OR(D39="alpha",D39="beta",D39="sd",D39="mean"),"--",VLOOKUP(B39,Default!$B:$H,7,FALSE()))</f>
        <v>#REF!</v>
      </c>
      <c r="G39" s="49" t="str">
        <f aca="false">VLOOKUP(B39,Lookup!$C:$D,2, FALSE())</f>
        <v>Injury values</v>
      </c>
      <c r="H39" s="49"/>
    </row>
    <row r="40" customFormat="false" ht="15" hidden="false" customHeight="false" outlineLevel="0" collapsed="false">
      <c r="B40" s="48" t="s">
        <v>185</v>
      </c>
      <c r="C40" s="49" t="e">
        <f aca="false">IF(#REF!="",All_global_list!C39,#REF!)</f>
        <v>#REF!</v>
      </c>
      <c r="D40" s="49" t="e">
        <f aca="false">IF(#REF!="","",#REF!)</f>
        <v>#REF!</v>
      </c>
      <c r="E40" s="49" t="e">
        <f aca="false">#REF!</f>
        <v>#REF!</v>
      </c>
      <c r="F40" s="49" t="e">
        <f aca="false">IF(OR(D40="alpha",D40="beta",D40="sd",D40="mean"),"--",VLOOKUP(B40,Default!$B:$H,7,FALSE()))</f>
        <v>#REF!</v>
      </c>
      <c r="G40" s="49" t="str">
        <f aca="false">VLOOKUP(B40,Lookup!$C:$D,2, FALSE())</f>
        <v>Injury values</v>
      </c>
      <c r="H40" s="49"/>
    </row>
    <row r="41" customFormat="false" ht="15" hidden="false" customHeight="false" outlineLevel="0" collapsed="false">
      <c r="B41" s="48" t="s">
        <v>186</v>
      </c>
      <c r="C41" s="49" t="e">
        <f aca="false">IF(#REF!="",all_global_list!#ref!,#REF!)</f>
        <v>#REF!</v>
      </c>
      <c r="D41" s="49" t="e">
        <f aca="false">IF(#REF!="","",#REF!)</f>
        <v>#REF!</v>
      </c>
      <c r="E41" s="49" t="e">
        <f aca="false">#REF!</f>
        <v>#REF!</v>
      </c>
      <c r="F41" s="49" t="e">
        <f aca="false">IF(OR(D41="alpha",D41="beta",D41="sd",D41="mean"),"--",VLOOKUP(B41,Default!$B:$H,7,FALSE()))</f>
        <v>#REF!</v>
      </c>
      <c r="G41" s="49" t="str">
        <f aca="false">VLOOKUP(B41,Lookup!$C:$D,2, FALSE())</f>
        <v>Injury values</v>
      </c>
      <c r="H41" s="49" t="str">
        <f aca="false">VLOOKUP(B41,Default!$B:$E,4, FALSE())</f>
        <v>same as global SIN_EXPONENT_SUM but only applies to cycle fatalities</v>
      </c>
      <c r="I41" s="2" t="s">
        <v>183</v>
      </c>
    </row>
    <row r="42" customFormat="false" ht="15" hidden="false" customHeight="false" outlineLevel="0" collapsed="false">
      <c r="B42" s="48" t="s">
        <v>186</v>
      </c>
      <c r="C42" s="49" t="e">
        <f aca="false">IF(#REF!="",All_global_list!C41,#REF!)</f>
        <v>#REF!</v>
      </c>
      <c r="D42" s="49" t="e">
        <f aca="false">IF(#REF!="","",#REF!)</f>
        <v>#REF!</v>
      </c>
      <c r="E42" s="49" t="e">
        <f aca="false">#REF!</f>
        <v>#REF!</v>
      </c>
      <c r="F42" s="49" t="e">
        <f aca="false">IF(OR(D42="alpha",D42="beta",D42="sd",D42="mean"),"--",VLOOKUP(B42,Default!$B:$H,7,FALSE()))</f>
        <v>#REF!</v>
      </c>
      <c r="G42" s="49" t="str">
        <f aca="false">VLOOKUP(B42,Lookup!$C:$D,2, FALSE())</f>
        <v>Injury values</v>
      </c>
      <c r="H42" s="49"/>
    </row>
    <row r="43" customFormat="false" ht="15" hidden="false" customHeight="false" outlineLevel="0" collapsed="false">
      <c r="B43" s="48" t="s">
        <v>186</v>
      </c>
      <c r="C43" s="49" t="e">
        <f aca="false">IF(#REF!="",All_global_list!C42,#REF!)</f>
        <v>#REF!</v>
      </c>
      <c r="D43" s="49" t="e">
        <f aca="false">IF(#REF!="","",#REF!)</f>
        <v>#REF!</v>
      </c>
      <c r="E43" s="49" t="e">
        <f aca="false">#REF!</f>
        <v>#REF!</v>
      </c>
      <c r="F43" s="49" t="e">
        <f aca="false">IF(OR(D43="alpha",D43="beta",D43="sd",D43="mean"),"--",VLOOKUP(B43,Default!$B:$H,7,FALSE()))</f>
        <v>#REF!</v>
      </c>
      <c r="G43" s="49" t="str">
        <f aca="false">VLOOKUP(B43,Lookup!$C:$D,2, FALSE())</f>
        <v>Injury values</v>
      </c>
      <c r="H43" s="49"/>
    </row>
    <row r="44" customFormat="false" ht="15" hidden="false" customHeight="false" outlineLevel="0" collapsed="false">
      <c r="B44" s="48" t="s">
        <v>187</v>
      </c>
      <c r="C44" s="49" t="e">
        <f aca="false">IF(#REF!="",All_global_list!C43,#REF!)</f>
        <v>#REF!</v>
      </c>
      <c r="D44" s="49" t="e">
        <f aca="false">IF(#REF!="","",#REF!)</f>
        <v>#REF!</v>
      </c>
      <c r="E44" s="49" t="e">
        <f aca="false">#REF!</f>
        <v>#REF!</v>
      </c>
      <c r="F44" s="49" t="e">
        <f aca="false">IF(OR(D44="alpha",D44="beta",D44="sd",D44="mean"),"--",VLOOKUP(B44,Default!$B:$H,7,FALSE()))</f>
        <v>#REF!</v>
      </c>
      <c r="G44" s="49" t="str">
        <f aca="false">VLOOKUP(B44,Lookup!$C:$D,2, FALSE())</f>
        <v>Injury values</v>
      </c>
      <c r="H44" s="49" t="str">
        <f aca="false">VLOOKUP(B44,Default!$B:$E,4, FALSE())</f>
        <v>same as global CASUALTY_EXPONENT_FRACTION but only applies to cycle fatalities</v>
      </c>
      <c r="I44" s="2" t="s">
        <v>183</v>
      </c>
    </row>
    <row r="45" customFormat="false" ht="15" hidden="false" customHeight="false" outlineLevel="0" collapsed="false">
      <c r="B45" s="48" t="s">
        <v>187</v>
      </c>
      <c r="C45" s="49" t="e">
        <f aca="false">IF(#REF!="",All_global_list!C44,#REF!)</f>
        <v>#REF!</v>
      </c>
      <c r="D45" s="49" t="e">
        <f aca="false">IF(#REF!="","",#REF!)</f>
        <v>#REF!</v>
      </c>
      <c r="E45" s="49" t="e">
        <f aca="false">#REF!</f>
        <v>#REF!</v>
      </c>
      <c r="F45" s="49" t="e">
        <f aca="false">IF(OR(D45="alpha",D45="beta",D45="sd",D45="mean"),"--",VLOOKUP(B45,Default!$B:$H,7,FALSE()))</f>
        <v>#REF!</v>
      </c>
      <c r="G45" s="49" t="str">
        <f aca="false">VLOOKUP(B45,Lookup!$C:$D,2, FALSE())</f>
        <v>Injury values</v>
      </c>
      <c r="H45" s="49"/>
    </row>
    <row r="46" customFormat="false" ht="15" hidden="false" customHeight="false" outlineLevel="0" collapsed="false">
      <c r="B46" s="48" t="s">
        <v>187</v>
      </c>
      <c r="C46" s="49" t="e">
        <f aca="false">IF(#REF!="",All_global_list!C45,#REF!)</f>
        <v>#REF!</v>
      </c>
      <c r="D46" s="49" t="e">
        <f aca="false">IF(#REF!="","",#REF!)</f>
        <v>#REF!</v>
      </c>
      <c r="E46" s="49" t="e">
        <f aca="false">#REF!</f>
        <v>#REF!</v>
      </c>
      <c r="F46" s="49" t="e">
        <f aca="false">IF(OR(D46="alpha",D46="beta",D46="sd",D46="mean"),"--",VLOOKUP(B46,Default!$B:$H,7,FALSE()))</f>
        <v>#REF!</v>
      </c>
      <c r="G46" s="49" t="str">
        <f aca="false">VLOOKUP(B46,Lookup!$C:$D,2, FALSE())</f>
        <v>Injury values</v>
      </c>
      <c r="H46" s="49"/>
    </row>
    <row r="47" customFormat="false" ht="15" hidden="false" customHeight="false" outlineLevel="0" collapsed="false">
      <c r="B47" s="48" t="s">
        <v>188</v>
      </c>
      <c r="C47" s="49" t="e">
        <f aca="false">IF(#REF!="",All_global_list!C46,#REF!)</f>
        <v>#REF!</v>
      </c>
      <c r="D47" s="49" t="e">
        <f aca="false">IF(#REF!="","",#REF!)</f>
        <v>#REF!</v>
      </c>
      <c r="E47" s="49" t="e">
        <f aca="false">#REF!</f>
        <v>#REF!</v>
      </c>
      <c r="F47" s="49" t="e">
        <f aca="false">IF(OR(D47="alpha",D47="beta",D47="sd",D47="mean"),"--",VLOOKUP(B47,Default!$B:$H,7,FALSE()))</f>
        <v>#REF!</v>
      </c>
      <c r="G47" s="49" t="str">
        <f aca="false">VLOOKUP(B47,Lookup!$C:$D,2, FALSE())</f>
        <v>Injury values</v>
      </c>
      <c r="H47" s="49" t="str">
        <f aca="false">VLOOKUP(B47,Default!$B:$E,4, FALSE())</f>
        <v>same as global SIN_EXPONENT_SUM but only applies to pedestrian fatalities</v>
      </c>
      <c r="I47" s="2" t="s">
        <v>183</v>
      </c>
    </row>
    <row r="48" customFormat="false" ht="15" hidden="false" customHeight="false" outlineLevel="0" collapsed="false">
      <c r="B48" s="48" t="s">
        <v>188</v>
      </c>
      <c r="C48" s="49" t="e">
        <f aca="false">IF(#REF!="",All_global_list!C47,#REF!)</f>
        <v>#REF!</v>
      </c>
      <c r="D48" s="49" t="e">
        <f aca="false">IF(#REF!="","",#REF!)</f>
        <v>#REF!</v>
      </c>
      <c r="E48" s="49" t="e">
        <f aca="false">#REF!</f>
        <v>#REF!</v>
      </c>
      <c r="F48" s="49" t="e">
        <f aca="false">IF(OR(D48="alpha",D48="beta",D48="sd",D48="mean"),"--",VLOOKUP(B48,Default!$B:$H,7,FALSE()))</f>
        <v>#REF!</v>
      </c>
      <c r="G48" s="49" t="str">
        <f aca="false">VLOOKUP(B48,Lookup!$C:$D,2, FALSE())</f>
        <v>Injury values</v>
      </c>
      <c r="H48" s="49"/>
    </row>
    <row r="49" customFormat="false" ht="15" hidden="false" customHeight="false" outlineLevel="0" collapsed="false">
      <c r="B49" s="48" t="s">
        <v>188</v>
      </c>
      <c r="C49" s="49" t="e">
        <f aca="false">IF(#REF!="",All_global_list!C48,#REF!)</f>
        <v>#REF!</v>
      </c>
      <c r="D49" s="49" t="e">
        <f aca="false">IF(#REF!="","",#REF!)</f>
        <v>#REF!</v>
      </c>
      <c r="E49" s="49" t="e">
        <f aca="false">#REF!</f>
        <v>#REF!</v>
      </c>
      <c r="F49" s="49" t="e">
        <f aca="false">IF(OR(D49="alpha",D49="beta",D49="sd",D49="mean"),"--",VLOOKUP(B49,Default!$B:$H,7,FALSE()))</f>
        <v>#REF!</v>
      </c>
      <c r="G49" s="49" t="str">
        <f aca="false">VLOOKUP(B49,Lookup!$C:$D,2, FALSE())</f>
        <v>Injury values</v>
      </c>
      <c r="H49" s="49"/>
    </row>
    <row r="50" customFormat="false" ht="15" hidden="false" customHeight="false" outlineLevel="0" collapsed="false">
      <c r="B50" s="48" t="s">
        <v>189</v>
      </c>
      <c r="C50" s="49" t="e">
        <f aca="false">IF(#REF!="",All_global_list!C49,#REF!)</f>
        <v>#REF!</v>
      </c>
      <c r="D50" s="49" t="e">
        <f aca="false">IF(#REF!="","",#REF!)</f>
        <v>#REF!</v>
      </c>
      <c r="E50" s="49" t="e">
        <f aca="false">#REF!</f>
        <v>#REF!</v>
      </c>
      <c r="F50" s="49" t="e">
        <f aca="false">IF(OR(D50="alpha",D50="beta",D50="sd",D50="mean"),"--",VLOOKUP(B50,Default!$B:$H,7,FALSE()))</f>
        <v>#REF!</v>
      </c>
      <c r="G50" s="49" t="str">
        <f aca="false">VLOOKUP(B50,Lookup!$C:$D,2, FALSE())</f>
        <v>Injury values</v>
      </c>
      <c r="H50" s="49" t="str">
        <f aca="false">VLOOKUP(B50,Default!$B:$E,4, FALSE())</f>
        <v>same as global CASUALTY_EXPONENT_FRACTION but only applies to pedestrian fatalities</v>
      </c>
      <c r="I50" s="2" t="s">
        <v>183</v>
      </c>
    </row>
    <row r="51" customFormat="false" ht="15" hidden="false" customHeight="false" outlineLevel="0" collapsed="false">
      <c r="B51" s="48" t="s">
        <v>189</v>
      </c>
      <c r="C51" s="49" t="e">
        <f aca="false">IF(#REF!="",All_global_list!C50,#REF!)</f>
        <v>#REF!</v>
      </c>
      <c r="D51" s="49" t="e">
        <f aca="false">IF(#REF!="","",#REF!)</f>
        <v>#REF!</v>
      </c>
      <c r="E51" s="49" t="e">
        <f aca="false">#REF!</f>
        <v>#REF!</v>
      </c>
      <c r="F51" s="49" t="e">
        <f aca="false">IF(OR(D51="alpha",D51="beta",D51="sd",D51="mean"),"--",VLOOKUP(B51,Default!$B:$H,7,FALSE()))</f>
        <v>#REF!</v>
      </c>
      <c r="G51" s="49" t="str">
        <f aca="false">VLOOKUP(B51,Lookup!$C:$D,2, FALSE())</f>
        <v>Injury values</v>
      </c>
      <c r="H51" s="49"/>
    </row>
    <row r="52" customFormat="false" ht="15" hidden="false" customHeight="false" outlineLevel="0" collapsed="false">
      <c r="B52" s="48" t="s">
        <v>189</v>
      </c>
      <c r="C52" s="49" t="e">
        <f aca="false">IF(#REF!="",All_global_list!C51,#REF!)</f>
        <v>#REF!</v>
      </c>
      <c r="D52" s="49" t="e">
        <f aca="false">IF(#REF!="","",#REF!)</f>
        <v>#REF!</v>
      </c>
      <c r="E52" s="49" t="e">
        <f aca="false">#REF!</f>
        <v>#REF!</v>
      </c>
      <c r="F52" s="49" t="e">
        <f aca="false">IF(OR(D52="alpha",D52="beta",D52="sd",D52="mean"),"--",VLOOKUP(B52,Default!$B:$H,7,FALSE()))</f>
        <v>#REF!</v>
      </c>
      <c r="G52" s="49" t="str">
        <f aca="false">VLOOKUP(B52,Lookup!$C:$D,2, FALSE())</f>
        <v>Injury values</v>
      </c>
      <c r="H52" s="49"/>
    </row>
    <row r="53" customFormat="false" ht="15" hidden="false" customHeight="false" outlineLevel="0" collapsed="false">
      <c r="B53" s="48" t="s">
        <v>190</v>
      </c>
      <c r="C53" s="49" t="e">
        <f aca="false">IF(#REF!="",All_global_list!C52,#REF!)</f>
        <v>#REF!</v>
      </c>
      <c r="D53" s="49" t="e">
        <f aca="false">IF(#REF!="","",#REF!)</f>
        <v>#REF!</v>
      </c>
      <c r="E53" s="49" t="e">
        <f aca="false">#REF!</f>
        <v>#REF!</v>
      </c>
      <c r="F53" s="49" t="e">
        <f aca="false">IF(OR(D53="alpha",D53="beta",D53="sd",D53="mean"),"--",VLOOKUP(B53,Default!$B:$H,7,FALSE()))</f>
        <v>#REF!</v>
      </c>
      <c r="G53" s="49" t="str">
        <f aca="false">VLOOKUP(B53,Lookup!$C:$D,2, FALSE())</f>
        <v>Injury values</v>
      </c>
      <c r="H53" s="49" t="str">
        <f aca="false">VLOOKUP(B53,Default!$B:$E,4, FALSE())</f>
        <v>same as global SIN_EXPONENT_SUM but only applies to vehicle fatalities</v>
      </c>
      <c r="I53" s="2" t="s">
        <v>183</v>
      </c>
    </row>
    <row r="54" customFormat="false" ht="15" hidden="false" customHeight="false" outlineLevel="0" collapsed="false">
      <c r="B54" s="48" t="s">
        <v>190</v>
      </c>
      <c r="C54" s="49" t="e">
        <f aca="false">IF(#REF!="",All_global_list!C53,#REF!)</f>
        <v>#REF!</v>
      </c>
      <c r="D54" s="49" t="e">
        <f aca="false">IF(#REF!="","",#REF!)</f>
        <v>#REF!</v>
      </c>
      <c r="E54" s="49" t="e">
        <f aca="false">#REF!</f>
        <v>#REF!</v>
      </c>
      <c r="F54" s="49" t="e">
        <f aca="false">IF(OR(D54="alpha",D54="beta",D54="sd",D54="mean"),"--",VLOOKUP(B54,Default!$B:$H,7,FALSE()))</f>
        <v>#REF!</v>
      </c>
      <c r="G54" s="49" t="str">
        <f aca="false">VLOOKUP(B54,Lookup!$C:$D,2, FALSE())</f>
        <v>Injury values</v>
      </c>
      <c r="H54" s="49"/>
    </row>
    <row r="55" customFormat="false" ht="15" hidden="false" customHeight="false" outlineLevel="0" collapsed="false">
      <c r="B55" s="48" t="s">
        <v>190</v>
      </c>
      <c r="C55" s="49" t="e">
        <f aca="false">IF(#REF!="",All_global_list!C54,#REF!)</f>
        <v>#REF!</v>
      </c>
      <c r="D55" s="49" t="e">
        <f aca="false">IF(#REF!="","",#REF!)</f>
        <v>#REF!</v>
      </c>
      <c r="E55" s="49" t="e">
        <f aca="false">#REF!</f>
        <v>#REF!</v>
      </c>
      <c r="F55" s="49" t="e">
        <f aca="false">IF(OR(D55="alpha",D55="beta",D55="sd",D55="mean"),"--",VLOOKUP(B55,Default!$B:$H,7,FALSE()))</f>
        <v>#REF!</v>
      </c>
      <c r="G55" s="49" t="str">
        <f aca="false">VLOOKUP(B55,Lookup!$C:$D,2, FALSE())</f>
        <v>Injury values</v>
      </c>
      <c r="H55" s="49"/>
    </row>
    <row r="56" customFormat="false" ht="15" hidden="false" customHeight="false" outlineLevel="0" collapsed="false">
      <c r="B56" s="48" t="s">
        <v>191</v>
      </c>
      <c r="C56" s="49" t="e">
        <f aca="false">IF(#REF!="",All_global_list!C55,#REF!)</f>
        <v>#REF!</v>
      </c>
      <c r="D56" s="49" t="e">
        <f aca="false">IF(#REF!="","",#REF!)</f>
        <v>#REF!</v>
      </c>
      <c r="E56" s="49" t="e">
        <f aca="false">#REF!</f>
        <v>#REF!</v>
      </c>
      <c r="F56" s="49" t="e">
        <f aca="false">IF(OR(D56="alpha",D56="beta",D56="sd",D56="mean"),"--",VLOOKUP(B56,Default!$B:$H,7,FALSE()))</f>
        <v>#REF!</v>
      </c>
      <c r="G56" s="49" t="str">
        <f aca="false">VLOOKUP(B56,Lookup!$C:$D,2, FALSE())</f>
        <v>Injury values</v>
      </c>
      <c r="H56" s="49" t="str">
        <f aca="false">VLOOKUP(B56,Default!$B:$E,4, FALSE())</f>
        <v>same as global CASUALTY_EXPONENT_FRACTION but only applies vehicle fatalities</v>
      </c>
      <c r="I56" s="2" t="s">
        <v>183</v>
      </c>
    </row>
    <row r="57" customFormat="false" ht="15" hidden="false" customHeight="false" outlineLevel="0" collapsed="false">
      <c r="B57" s="48" t="s">
        <v>191</v>
      </c>
      <c r="C57" s="49" t="e">
        <f aca="false">IF(#REF!="",All_global_list!C56,#REF!)</f>
        <v>#REF!</v>
      </c>
      <c r="D57" s="49" t="e">
        <f aca="false">IF(#REF!="","",#REF!)</f>
        <v>#REF!</v>
      </c>
      <c r="E57" s="49" t="e">
        <f aca="false">#REF!</f>
        <v>#REF!</v>
      </c>
      <c r="F57" s="49" t="e">
        <f aca="false">IF(OR(D57="alpha",D57="beta",D57="sd",D57="mean"),"--",VLOOKUP(B57,Default!$B:$H,7,FALSE()))</f>
        <v>#REF!</v>
      </c>
      <c r="G57" s="49" t="str">
        <f aca="false">VLOOKUP(B57,Lookup!$C:$D,2, FALSE())</f>
        <v>Injury values</v>
      </c>
      <c r="H57" s="49"/>
    </row>
    <row r="58" customFormat="false" ht="15" hidden="false" customHeight="false" outlineLevel="0" collapsed="false">
      <c r="B58" s="48" t="s">
        <v>191</v>
      </c>
      <c r="C58" s="49" t="e">
        <f aca="false">IF(#REF!="",All_global_list!C57,#REF!)</f>
        <v>#REF!</v>
      </c>
      <c r="D58" s="49" t="e">
        <f aca="false">IF(#REF!="","",#REF!)</f>
        <v>#REF!</v>
      </c>
      <c r="E58" s="49" t="e">
        <f aca="false">#REF!</f>
        <v>#REF!</v>
      </c>
      <c r="F58" s="49" t="e">
        <f aca="false">IF(OR(D58="alpha",D58="beta",D58="sd",D58="mean"),"--",VLOOKUP(B58,Default!$B:$H,7,FALSE()))</f>
        <v>#REF!</v>
      </c>
      <c r="G58" s="49" t="str">
        <f aca="false">VLOOKUP(B58,Lookup!$C:$D,2, FALSE())</f>
        <v>Injury values</v>
      </c>
      <c r="H58" s="49"/>
    </row>
    <row r="59" customFormat="false" ht="15" hidden="false" customHeight="false" outlineLevel="0" collapsed="false">
      <c r="B59" s="48" t="s">
        <v>192</v>
      </c>
      <c r="C59" s="49" t="e">
        <f aca="false">IF(#REF!="",All_global_list!C58,#REF!)</f>
        <v>#REF!</v>
      </c>
      <c r="D59" s="49" t="e">
        <f aca="false">IF(#REF!="","",#REF!)</f>
        <v>#REF!</v>
      </c>
      <c r="E59" s="49" t="e">
        <f aca="false">#REF!</f>
        <v>#REF!</v>
      </c>
      <c r="F59" s="49" t="e">
        <f aca="false">IF(OR(D59="alpha",D59="beta",D59="sd",D59="mean"),"--",VLOOKUP(B59,Default!$B:$H,7,FALSE()))</f>
        <v>#REF!</v>
      </c>
      <c r="G59" s="49" t="str">
        <f aca="false">VLOOKUP(B59,Lookup!$C:$D,2, FALSE())</f>
        <v>Injury values</v>
      </c>
      <c r="H59" s="49" t="str">
        <f aca="false">VLOOKUP(B59,Default!$B:$E,4, FALSE())</f>
        <v>flag as to whether to use the overall safety in number parameters or, if if set to TRUE, call the safety in number exponents for different victim modes</v>
      </c>
      <c r="I59" s="2" t="s">
        <v>193</v>
      </c>
    </row>
    <row r="60" customFormat="false" ht="15" hidden="false" customHeight="false" outlineLevel="0" collapsed="false">
      <c r="B60" s="48" t="s">
        <v>194</v>
      </c>
      <c r="C60" s="49" t="e">
        <f aca="false">IF(#REF!="",all_global_list!#ref!,#REF!)</f>
        <v>#REF!</v>
      </c>
      <c r="D60" s="49" t="e">
        <f aca="false">IF(#REF!="","",#REF!)</f>
        <v>#REF!</v>
      </c>
      <c r="E60" s="49" t="e">
        <f aca="false">#REF!</f>
        <v>#REF!</v>
      </c>
      <c r="F60" s="49" t="e">
        <f aca="false">IF(OR(D60="alpha",D60="beta",D60="sd",D60="mean"),"--",VLOOKUP(B60,Default!$B:$H,7,FALSE()))</f>
        <v>#REF!</v>
      </c>
      <c r="G60" s="49" t="str">
        <f aca="false">VLOOKUP(B60,Lookup!$C:$D,2, FALSE())</f>
        <v>Travel values</v>
      </c>
      <c r="H60" s="49" t="str">
        <f aca="false">VLOOKUP(B60,Default!$B:$E,4, FALSE())</f>
        <v>whether to add truck drivers as ghost trips based on the TRUCK_TO_CAR_RATIO</v>
      </c>
      <c r="I60" s="2" t="s">
        <v>195</v>
      </c>
    </row>
    <row r="61" customFormat="false" ht="15" hidden="false" customHeight="false" outlineLevel="0" collapsed="false">
      <c r="B61" s="48" t="s">
        <v>196</v>
      </c>
      <c r="C61" s="49" t="e">
        <f aca="false">IF(#REF!="",All_global_list!C60,#REF!)</f>
        <v>#REF!</v>
      </c>
      <c r="D61" s="49" t="e">
        <f aca="false">IF(#REF!="","",#REF!)</f>
        <v>#REF!</v>
      </c>
      <c r="E61" s="49" t="e">
        <f aca="false">#REF!</f>
        <v>#REF!</v>
      </c>
      <c r="F61" s="49" t="e">
        <f aca="false">IF(OR(D61="alpha",D61="beta",D61="sd",D61="mean"),"--",VLOOKUP(B61,Default!$B:$H,7,FALSE()))</f>
        <v>#REF!</v>
      </c>
      <c r="G61" s="49" t="str">
        <f aca="false">VLOOKUP(B61,Lookup!$C:$D,2, FALSE())</f>
        <v>Travel values</v>
      </c>
      <c r="H61" s="49" t="str">
        <f aca="false">VLOOKUP(B61,Default!$B:$E,4, FALSE())</f>
        <v>whether to add bus drivers, if set to T adds ghost trips, i.e. trips not taken by any participant, using the bus_to_passenger_ratio</v>
      </c>
      <c r="I61" s="2" t="s">
        <v>195</v>
      </c>
    </row>
    <row r="62" customFormat="false" ht="15" hidden="false" customHeight="false" outlineLevel="0" collapsed="false">
      <c r="B62" s="48" t="s">
        <v>197</v>
      </c>
      <c r="C62" s="49" t="e">
        <f aca="false">IF(#REF!="",All_global_list!C61,#REF!)</f>
        <v>#REF!</v>
      </c>
      <c r="D62" s="49" t="e">
        <f aca="false">IF(#REF!="","",#REF!)</f>
        <v>#REF!</v>
      </c>
      <c r="E62" s="49" t="e">
        <f aca="false">#REF!</f>
        <v>#REF!</v>
      </c>
      <c r="F62" s="49" t="e">
        <f aca="false">IF(OR(D62="alpha",D62="beta",D62="sd",D62="mean"),"--",VLOOKUP(B62,Default!$B:$H,7,FALSE()))</f>
        <v>#REF!</v>
      </c>
      <c r="G62" s="49" t="str">
        <f aca="false">VLOOKUP(B62,Lookup!$C:$D,2, FALSE())</f>
        <v>Travel values</v>
      </c>
      <c r="H62" s="49" t="str">
        <f aca="false">VLOOKUP(B62,Default!$B:$E,4, FALSE())</f>
        <v>whether or not to add car drivers (or rather look at car numbers). Individual cars are calculated by multiplying total passenger car km by the car_occupancy_ratio</v>
      </c>
      <c r="I62" s="2" t="s">
        <v>195</v>
      </c>
    </row>
    <row r="63" customFormat="false" ht="15" hidden="false" customHeight="false" outlineLevel="0" collapsed="false">
      <c r="B63" s="48" t="s">
        <v>198</v>
      </c>
      <c r="C63" s="49" t="e">
        <f aca="false">IF(#REF!="",All_global_list!C61,#REF!)</f>
        <v>#REF!</v>
      </c>
      <c r="D63" s="49" t="e">
        <f aca="false">IF(#REF!="","",#REF!)</f>
        <v>#REF!</v>
      </c>
      <c r="E63" s="49" t="e">
        <f aca="false">#REF!</f>
        <v>#REF!</v>
      </c>
      <c r="F63" s="49" t="e">
        <f aca="false">IF(OR(D63="alpha",D63="beta",D63="sd",D63="mean"),"--",VLOOKUP(B63,Default!$B:$H,7,FALSE()))</f>
        <v>#REF!</v>
      </c>
      <c r="G63" s="49" t="str">
        <f aca="false">VLOOKUP(B63,Lookup!$C:$D,2, FALSE())</f>
        <v>Health values</v>
      </c>
      <c r="H63" s="51" t="s">
        <v>199</v>
      </c>
      <c r="I63" s="2" t="s">
        <v>200</v>
      </c>
    </row>
    <row r="64" customFormat="false" ht="15" hidden="false" customHeight="false" outlineLevel="0" collapsed="false">
      <c r="B64" s="48" t="s">
        <v>201</v>
      </c>
      <c r="C64" s="49" t="e">
        <f aca="false">IF(#REF!="",All_global_list!C63,#REF!)</f>
        <v>#REF!</v>
      </c>
      <c r="D64" s="49" t="e">
        <f aca="false">IF(#REF!="","",#REF!)</f>
        <v>#REF!</v>
      </c>
      <c r="E64" s="49" t="e">
        <f aca="false">#REF!</f>
        <v>#REF!</v>
      </c>
      <c r="F64" s="49" t="e">
        <f aca="false">IF(OR(D64="alpha",D64="beta",D64="sd",D64="mean"),"--",VLOOKUP(B64,Default!$B:$H,7,FALSE()))</f>
        <v>#REF!</v>
      </c>
      <c r="G64" s="49" t="str">
        <f aca="false">VLOOKUP(B64,Lookup!$C:$D,2, FALSE())</f>
        <v>Health values</v>
      </c>
      <c r="H64" s="49" t="str">
        <f aca="false">VLOOKUP(B64,Default!$B:$E,4, FALSE())</f>
        <v>whether or not to sample from dose response curves</v>
      </c>
      <c r="I64" s="2" t="s">
        <v>200</v>
      </c>
    </row>
    <row r="65" customFormat="false" ht="14.25" hidden="false" customHeight="true" outlineLevel="0" collapsed="false">
      <c r="B65" s="48" t="s">
        <v>202</v>
      </c>
      <c r="C65" s="49" t="e">
        <f aca="false">IF(#REF!="",All_global_list!C64,#REF!)</f>
        <v>#REF!</v>
      </c>
      <c r="D65" s="49" t="e">
        <f aca="false">IF(#REF!="","",#REF!)</f>
        <v>#REF!</v>
      </c>
      <c r="E65" s="49" t="e">
        <f aca="false">#REF!</f>
        <v>#REF!</v>
      </c>
      <c r="F65" s="49" t="e">
        <f aca="false">IF(OR(D65="alpha",D65="beta",D65="sd",D65="mean"),"--",VLOOKUP(B65,Default!$B:$H,7,FALSE()))</f>
        <v>#REF!</v>
      </c>
      <c r="G65" s="49" t="str">
        <f aca="false">VLOOKUP(B65,Lookup!$C:$D,2, FALSE())</f>
        <v>Miscellaneous</v>
      </c>
      <c r="H65" s="49" t="str">
        <f aca="false">VLOOKUP(B65,Default!$B:$E,4, FALSE())</f>
        <v>age range considered</v>
      </c>
      <c r="I65" s="2" t="s">
        <v>203</v>
      </c>
    </row>
    <row r="66" customFormat="false" ht="15" hidden="false" customHeight="false" outlineLevel="0" collapsed="false">
      <c r="B66" s="48" t="s">
        <v>202</v>
      </c>
      <c r="C66" s="49" t="e">
        <f aca="false">IF(#REF!="",All_global_list!C65,#REF!)</f>
        <v>#REF!</v>
      </c>
      <c r="D66" s="49" t="e">
        <f aca="false">IF(#REF!="","",#REF!)</f>
        <v>#REF!</v>
      </c>
      <c r="E66" s="49" t="e">
        <f aca="false">#REF!</f>
        <v>#REF!</v>
      </c>
      <c r="F66" s="49" t="e">
        <f aca="false">IF(OR(D66="alpha",D66="beta",D66="sd",D66="mean"),"--",VLOOKUP(B66,Default!$B:$H,7,FALSE()))</f>
        <v>#REF!</v>
      </c>
      <c r="G66" s="49" t="str">
        <f aca="false">VLOOKUP(B66,Lookup!$C:$D,2, FALSE())</f>
        <v>Miscellaneous</v>
      </c>
      <c r="H66" s="49" t="str">
        <f aca="false">VLOOKUP(B66,Default!$B:$E,4, FALSE())</f>
        <v>age range considered</v>
      </c>
      <c r="I66" s="2" t="s">
        <v>203</v>
      </c>
    </row>
    <row r="67" customFormat="false" ht="15" hidden="false" customHeight="false" outlineLevel="0" collapsed="false">
      <c r="B67" s="48" t="s">
        <v>169</v>
      </c>
      <c r="C67" s="49" t="e">
        <f aca="false">IF(#REF!="",All_global_list!C66,#REF!)</f>
        <v>#REF!</v>
      </c>
      <c r="D67" s="49" t="e">
        <f aca="false">IF(#REF!="","",#REF!)</f>
        <v>#REF!</v>
      </c>
      <c r="E67" s="49" t="e">
        <f aca="false">#REF!</f>
        <v>#REF!</v>
      </c>
      <c r="F67" s="49" t="e">
        <f aca="false">IF(OR(D67="alpha",D67="beta",D67="sd",D67="mean"),"--",VLOOKUP(B67,Default!$B:$H,7,FALSE()))</f>
        <v>#REF!</v>
      </c>
      <c r="G67" s="49" t="str">
        <f aca="false">VLOOKUP(B67,Lookup!$C:$D,2, FALSE())</f>
        <v>Miscellaneous</v>
      </c>
      <c r="H67" s="49" t="str">
        <f aca="false">VLOOKUP(B67,Default!$B:$E,4, FALSE())</f>
        <v>distance categories for trip lengths</v>
      </c>
      <c r="I67" s="2" t="s">
        <v>204</v>
      </c>
    </row>
    <row r="68" customFormat="false" ht="15" hidden="false" customHeight="false" outlineLevel="0" collapsed="false">
      <c r="C68" s="49" t="e">
        <f aca="false">IF(#REF!="",All_global_list!C67,#REF!)</f>
        <v>#REF!</v>
      </c>
      <c r="D68" s="49" t="e">
        <f aca="false">IF(#REF!="","",#REF!)</f>
        <v>#REF!</v>
      </c>
      <c r="E68" s="49" t="e">
        <f aca="false">#REF!</f>
        <v>#REF!</v>
      </c>
      <c r="F68" s="51" t="s">
        <v>205</v>
      </c>
      <c r="G68" s="51" t="s">
        <v>206</v>
      </c>
      <c r="H68" s="51" t="s">
        <v>207</v>
      </c>
      <c r="I68" s="2" t="s">
        <v>204</v>
      </c>
    </row>
    <row r="69" customFormat="false" ht="15" hidden="false" customHeight="false" outlineLevel="0" collapsed="false">
      <c r="C69" s="49" t="e">
        <f aca="false">IF(#REF!="",All_global_list!C68,#REF!)</f>
        <v>#REF!</v>
      </c>
      <c r="D69" s="49" t="e">
        <f aca="false">IF(#REF!="","",#REF!)</f>
        <v>#REF!</v>
      </c>
      <c r="E69" s="49" t="e">
        <f aca="false">#REF!</f>
        <v>#REF!</v>
      </c>
      <c r="F69" s="51" t="s">
        <v>205</v>
      </c>
      <c r="G69" s="51" t="s">
        <v>206</v>
      </c>
      <c r="H69" s="51" t="s">
        <v>207</v>
      </c>
      <c r="I69" s="2" t="s">
        <v>204</v>
      </c>
    </row>
    <row r="70" customFormat="false" ht="15" hidden="false" customHeight="false" outlineLevel="0" collapsed="false">
      <c r="C70" s="49" t="e">
        <f aca="false">IF(#REF!="",All_global_list!C69,#REF!)</f>
        <v>#REF!</v>
      </c>
      <c r="D70" s="49" t="e">
        <f aca="false">IF(#REF!="","",#REF!)</f>
        <v>#REF!</v>
      </c>
      <c r="E70" s="49" t="e">
        <f aca="false">#REF!</f>
        <v>#REF!</v>
      </c>
      <c r="F70" s="51" t="s">
        <v>205</v>
      </c>
      <c r="G70" s="51" t="s">
        <v>206</v>
      </c>
      <c r="H70" s="51" t="s">
        <v>207</v>
      </c>
      <c r="I70" s="2" t="s">
        <v>204</v>
      </c>
    </row>
    <row r="71" customFormat="false" ht="15" hidden="false" customHeight="false" outlineLevel="0" collapsed="false">
      <c r="B71" s="48" t="s">
        <v>171</v>
      </c>
      <c r="C71" s="49" t="e">
        <f aca="false">IF(#REF!="",All_global_list!C70,#REF!)</f>
        <v>#REF!</v>
      </c>
      <c r="D71" s="49" t="e">
        <f aca="false">IF(#REF!="","",#REF!)</f>
        <v>#REF!</v>
      </c>
      <c r="E71" s="49" t="e">
        <f aca="false">#REF!</f>
        <v>#REF!</v>
      </c>
      <c r="F71" s="49" t="e">
        <f aca="false">IF(OR(D71="alpha",D71="beta",D71="sd",D71="mean"),"--",VLOOKUP(B71,Default!$B:$H,7,FALSE()))</f>
        <v>#REF!</v>
      </c>
      <c r="G71" s="49" t="str">
        <f aca="false">VLOOKUP(B71,Lookup!$C:$D,2, FALSE())</f>
        <v>Travel values</v>
      </c>
      <c r="H71" s="49" t="str">
        <f aca="false">VLOOKUP(B71,Default!$B:$E,4, FALSE())</f>
        <v>minimum time spent on public transport when adding walking component to public transport trip</v>
      </c>
      <c r="I71" s="2" t="s">
        <v>204</v>
      </c>
    </row>
    <row r="72" customFormat="false" ht="15" hidden="false" customHeight="false" outlineLevel="0" collapsed="false">
      <c r="B72" s="48" t="s">
        <v>172</v>
      </c>
      <c r="C72" s="49" t="e">
        <f aca="false">IF(#REF!="",All_global_list!C71,#REF!)</f>
        <v>#REF!</v>
      </c>
      <c r="D72" s="49" t="e">
        <f aca="false">IF(#REF!="","",#REF!)</f>
        <v>#REF!</v>
      </c>
      <c r="E72" s="49" t="e">
        <f aca="false">#REF!</f>
        <v>#REF!</v>
      </c>
      <c r="F72" s="49" t="e">
        <f aca="false">IF(OR(D72="alpha",D72="beta",D72="sd",D72="mean"),"--",VLOOKUP(B72,Default!$B:$H,7,FALSE()))</f>
        <v>#REF!</v>
      </c>
      <c r="G72" s="49" t="str">
        <f aca="false">VLOOKUP(B72,Lookup!$C:$D,2, FALSE())</f>
        <v>Health values</v>
      </c>
      <c r="H72" s="49" t="str">
        <f aca="false">VLOOKUP(B72,Default!$B:$E,4, FALSE())</f>
        <v>To reverse  time spent in moderate and vigorous activities from mmet values</v>
      </c>
      <c r="I72" s="2" t="s">
        <v>204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116"/>
  <sheetViews>
    <sheetView showFormulas="false" showGridLines="true" showRowColHeaders="true" showZeros="true" rightToLeft="false" tabSelected="false" showOutlineSymbols="true" defaultGridColor="true" view="normal" topLeftCell="A17" colorId="64" zoomScale="80" zoomScaleNormal="80" zoomScalePageLayoutView="100" workbookViewId="0">
      <selection pane="topLeft" activeCell="J39" activeCellId="0" sqref="J39"/>
    </sheetView>
  </sheetViews>
  <sheetFormatPr defaultColWidth="8.59765625" defaultRowHeight="15" zeroHeight="false" outlineLevelRow="0" outlineLevelCol="0"/>
  <cols>
    <col collapsed="false" customWidth="true" hidden="false" outlineLevel="0" max="1" min="1" style="2" width="4.43"/>
    <col collapsed="false" customWidth="true" hidden="false" outlineLevel="0" max="2" min="2" style="48" width="13.57"/>
    <col collapsed="false" customWidth="true" hidden="false" outlineLevel="0" max="4" min="4" style="2" width="36.43"/>
    <col collapsed="false" customWidth="true" hidden="false" outlineLevel="0" max="5" min="5" style="8" width="12.43"/>
    <col collapsed="false" customWidth="true" hidden="false" outlineLevel="0" max="6" min="6" style="2" width="16.43"/>
    <col collapsed="false" customWidth="true" hidden="false" outlineLevel="0" max="7" min="7" style="2" width="11.43"/>
    <col collapsed="false" customWidth="true" hidden="false" outlineLevel="0" max="8" min="8" style="2" width="7.43"/>
    <col collapsed="false" customWidth="true" hidden="false" outlineLevel="0" max="9" min="9" style="2" width="18"/>
  </cols>
  <sheetData>
    <row r="2" customFormat="false" ht="15" hidden="false" customHeight="false" outlineLevel="0" collapsed="false">
      <c r="F2" s="52" t="s">
        <v>208</v>
      </c>
      <c r="G2" s="29"/>
      <c r="H2" s="29"/>
      <c r="I2" s="29"/>
      <c r="J2" s="29"/>
      <c r="K2" s="29"/>
      <c r="L2" s="29"/>
      <c r="M2" s="29"/>
      <c r="N2" s="29"/>
      <c r="O2" s="29"/>
      <c r="P2" s="29"/>
    </row>
    <row r="3" customFormat="false" ht="15" hidden="false" customHeight="false" outlineLevel="0" collapsed="false">
      <c r="B3" s="48" t="s">
        <v>209</v>
      </c>
    </row>
    <row r="4" customFormat="false" ht="16.4" hidden="false" customHeight="false" outlineLevel="0" collapsed="false">
      <c r="B4" s="14" t="s">
        <v>210</v>
      </c>
      <c r="C4" s="3" t="s">
        <v>106</v>
      </c>
      <c r="D4" s="14" t="s">
        <v>102</v>
      </c>
      <c r="E4" s="10" t="s">
        <v>6</v>
      </c>
      <c r="F4" s="14" t="s">
        <v>211</v>
      </c>
      <c r="G4" s="14" t="s">
        <v>212</v>
      </c>
      <c r="H4" s="14" t="s">
        <v>213</v>
      </c>
      <c r="I4" s="14" t="s">
        <v>214</v>
      </c>
      <c r="J4" s="14" t="s">
        <v>107</v>
      </c>
      <c r="K4" s="14" t="s">
        <v>108</v>
      </c>
      <c r="L4" s="14" t="s">
        <v>109</v>
      </c>
    </row>
    <row r="5" customFormat="false" ht="27" hidden="false" customHeight="true" outlineLevel="0" collapsed="false">
      <c r="B5" s="53" t="str">
        <f aca="false">VLOOKUP(D5,Lookup!$B$5:$C$78,2,FALSE())</f>
        <v>pm_conc_base</v>
      </c>
      <c r="C5" s="54" t="s">
        <v>215</v>
      </c>
      <c r="D5" s="55" t="s">
        <v>216</v>
      </c>
      <c r="E5" s="8" t="s">
        <v>217</v>
      </c>
      <c r="F5" s="2" t="s">
        <v>218</v>
      </c>
      <c r="G5" s="2" t="s">
        <v>219</v>
      </c>
      <c r="H5" s="17" t="n">
        <v>12.69</v>
      </c>
      <c r="I5" s="2" t="s">
        <v>220</v>
      </c>
      <c r="J5" s="56" t="s">
        <v>116</v>
      </c>
      <c r="K5" s="25" t="s">
        <v>117</v>
      </c>
      <c r="L5" s="25" t="s">
        <v>221</v>
      </c>
    </row>
    <row r="6" customFormat="false" ht="43.5" hidden="false" customHeight="true" outlineLevel="0" collapsed="false">
      <c r="B6" s="53" t="str">
        <f aca="false">VLOOKUP(D6,Lookup!$B$5:$C$78,2,FALSE())</f>
        <v>pm_trans_share</v>
      </c>
      <c r="C6" s="54"/>
      <c r="D6" s="55" t="s">
        <v>222</v>
      </c>
      <c r="E6" s="8" t="s">
        <v>223</v>
      </c>
      <c r="F6" s="2" t="s">
        <v>218</v>
      </c>
      <c r="G6" s="2" t="s">
        <v>224</v>
      </c>
      <c r="H6" s="15" t="n">
        <v>0.42</v>
      </c>
      <c r="I6" s="2" t="s">
        <v>225</v>
      </c>
      <c r="J6" s="57" t="s">
        <v>226</v>
      </c>
      <c r="K6" s="25" t="s">
        <v>227</v>
      </c>
      <c r="L6" s="25" t="s">
        <v>221</v>
      </c>
    </row>
    <row r="7" customFormat="false" ht="42.75" hidden="false" customHeight="true" outlineLevel="0" collapsed="false">
      <c r="B7" s="53" t="str">
        <f aca="false">VLOOKUP(D7,Lookup!$B$5:$C$78,2,FALSE())</f>
        <v>PM_emission_confidence</v>
      </c>
      <c r="C7" s="54"/>
      <c r="D7" s="2" t="s">
        <v>228</v>
      </c>
      <c r="E7" s="8" t="s">
        <v>229</v>
      </c>
      <c r="F7" s="2" t="s">
        <v>218</v>
      </c>
      <c r="G7" s="2" t="s">
        <v>230</v>
      </c>
      <c r="H7" s="2" t="n">
        <v>1</v>
      </c>
      <c r="I7" s="2" t="s">
        <v>225</v>
      </c>
      <c r="J7" s="25" t="s">
        <v>231</v>
      </c>
      <c r="K7" s="36"/>
      <c r="L7" s="25"/>
    </row>
    <row r="8" customFormat="false" ht="16.4" hidden="false" customHeight="true" outlineLevel="0" collapsed="false">
      <c r="B8" s="48" t="s">
        <v>232</v>
      </c>
      <c r="C8" s="54"/>
      <c r="D8" s="2" t="s">
        <v>233</v>
      </c>
      <c r="E8" s="58" t="s">
        <v>234</v>
      </c>
      <c r="F8" s="59" t="s">
        <v>235</v>
      </c>
      <c r="G8" s="2" t="s">
        <v>230</v>
      </c>
      <c r="H8" s="15" t="n">
        <v>0.00230316543753382</v>
      </c>
      <c r="I8" s="2" t="s">
        <v>225</v>
      </c>
      <c r="J8" s="60" t="s">
        <v>111</v>
      </c>
      <c r="K8" s="25" t="s">
        <v>112</v>
      </c>
      <c r="L8" s="25" t="s">
        <v>221</v>
      </c>
    </row>
    <row r="9" customFormat="false" ht="16.4" hidden="false" customHeight="false" outlineLevel="0" collapsed="false">
      <c r="B9" s="48" t="s">
        <v>236</v>
      </c>
      <c r="C9" s="54"/>
      <c r="D9" s="2" t="s">
        <v>237</v>
      </c>
      <c r="E9" s="58"/>
      <c r="F9" s="59"/>
      <c r="G9" s="2" t="s">
        <v>230</v>
      </c>
      <c r="H9" s="15" t="n">
        <v>0.0819803528062258</v>
      </c>
      <c r="I9" s="2" t="s">
        <v>225</v>
      </c>
      <c r="J9" s="60" t="s">
        <v>111</v>
      </c>
      <c r="K9" s="25" t="s">
        <v>238</v>
      </c>
      <c r="L9" s="25" t="s">
        <v>221</v>
      </c>
    </row>
    <row r="10" customFormat="false" ht="16.4" hidden="false" customHeight="false" outlineLevel="0" collapsed="false">
      <c r="B10" s="48" t="s">
        <v>239</v>
      </c>
      <c r="C10" s="54"/>
      <c r="D10" s="2" t="s">
        <v>240</v>
      </c>
      <c r="E10" s="58"/>
      <c r="F10" s="59"/>
      <c r="G10" s="2" t="s">
        <v>230</v>
      </c>
      <c r="H10" s="15" t="n">
        <v>0.122466774252533</v>
      </c>
      <c r="I10" s="2" t="s">
        <v>225</v>
      </c>
      <c r="J10" s="60" t="s">
        <v>111</v>
      </c>
      <c r="K10" s="25" t="s">
        <v>241</v>
      </c>
      <c r="L10" s="25" t="s">
        <v>221</v>
      </c>
    </row>
    <row r="11" customFormat="false" ht="16.4" hidden="false" customHeight="false" outlineLevel="0" collapsed="false">
      <c r="B11" s="48" t="s">
        <v>242</v>
      </c>
      <c r="C11" s="54"/>
      <c r="D11" s="2" t="s">
        <v>243</v>
      </c>
      <c r="E11" s="58"/>
      <c r="F11" s="59"/>
      <c r="G11" s="2" t="s">
        <v>230</v>
      </c>
      <c r="H11" s="15" t="n">
        <v>0.454454037837085</v>
      </c>
      <c r="I11" s="2" t="s">
        <v>225</v>
      </c>
      <c r="J11" s="60" t="s">
        <v>111</v>
      </c>
      <c r="K11" s="25" t="s">
        <v>244</v>
      </c>
      <c r="L11" s="25" t="s">
        <v>221</v>
      </c>
    </row>
    <row r="12" customFormat="false" ht="16.4" hidden="false" customHeight="false" outlineLevel="0" collapsed="false">
      <c r="B12" s="48" t="s">
        <v>245</v>
      </c>
      <c r="C12" s="54"/>
      <c r="D12" s="2" t="s">
        <v>246</v>
      </c>
      <c r="E12" s="58"/>
      <c r="F12" s="59"/>
      <c r="G12" s="2" t="s">
        <v>230</v>
      </c>
      <c r="H12" s="15" t="n">
        <v>0.338795669666623</v>
      </c>
      <c r="I12" s="2" t="s">
        <v>225</v>
      </c>
      <c r="J12" s="60" t="s">
        <v>111</v>
      </c>
      <c r="K12" s="25" t="s">
        <v>247</v>
      </c>
      <c r="L12" s="25" t="s">
        <v>221</v>
      </c>
    </row>
    <row r="13" customFormat="false" ht="16.4" hidden="false" customHeight="false" outlineLevel="0" collapsed="false">
      <c r="B13" s="48" t="s">
        <v>248</v>
      </c>
      <c r="C13" s="54"/>
      <c r="D13" s="2" t="s">
        <v>249</v>
      </c>
      <c r="E13" s="58"/>
      <c r="F13" s="59"/>
      <c r="G13" s="2" t="s">
        <v>230</v>
      </c>
      <c r="H13" s="15" t="n">
        <v>0</v>
      </c>
      <c r="I13" s="2" t="s">
        <v>225</v>
      </c>
      <c r="J13" s="60" t="s">
        <v>111</v>
      </c>
      <c r="K13" s="25" t="s">
        <v>250</v>
      </c>
      <c r="L13" s="25" t="s">
        <v>221</v>
      </c>
    </row>
    <row r="14" customFormat="false" ht="16.4" hidden="false" customHeight="false" outlineLevel="0" collapsed="false">
      <c r="B14" s="48" t="s">
        <v>251</v>
      </c>
      <c r="C14" s="54"/>
      <c r="D14" s="2" t="s">
        <v>252</v>
      </c>
      <c r="E14" s="58"/>
      <c r="F14" s="59"/>
      <c r="G14" s="2" t="s">
        <v>230</v>
      </c>
      <c r="H14" s="15" t="n">
        <v>0</v>
      </c>
      <c r="I14" s="2" t="s">
        <v>225</v>
      </c>
      <c r="J14" s="60" t="s">
        <v>111</v>
      </c>
      <c r="K14" s="25" t="s">
        <v>253</v>
      </c>
      <c r="L14" s="25" t="s">
        <v>221</v>
      </c>
    </row>
    <row r="15" customFormat="false" ht="16.4" hidden="false" customHeight="false" outlineLevel="0" collapsed="false">
      <c r="B15" s="48" t="s">
        <v>254</v>
      </c>
      <c r="C15" s="54"/>
      <c r="D15" s="2" t="s">
        <v>255</v>
      </c>
      <c r="E15" s="58"/>
      <c r="F15" s="59"/>
      <c r="G15" s="2" t="s">
        <v>230</v>
      </c>
      <c r="H15" s="15" t="n">
        <v>0</v>
      </c>
      <c r="I15" s="2" t="s">
        <v>225</v>
      </c>
      <c r="J15" s="60" t="s">
        <v>111</v>
      </c>
      <c r="K15" s="25" t="s">
        <v>256</v>
      </c>
      <c r="L15" s="25" t="s">
        <v>221</v>
      </c>
    </row>
    <row r="16" customFormat="false" ht="16.4" hidden="false" customHeight="false" outlineLevel="0" collapsed="false">
      <c r="B16" s="48" t="s">
        <v>257</v>
      </c>
      <c r="C16" s="54"/>
      <c r="D16" s="2" t="s">
        <v>258</v>
      </c>
      <c r="E16" s="58"/>
      <c r="F16" s="59"/>
      <c r="G16" s="2" t="s">
        <v>230</v>
      </c>
      <c r="H16" s="15" t="n">
        <v>0</v>
      </c>
      <c r="I16" s="2" t="s">
        <v>225</v>
      </c>
      <c r="J16" s="60" t="s">
        <v>111</v>
      </c>
      <c r="K16" s="25" t="s">
        <v>259</v>
      </c>
      <c r="L16" s="25" t="s">
        <v>221</v>
      </c>
    </row>
    <row r="17" customFormat="false" ht="51.75" hidden="false" customHeight="true" outlineLevel="0" collapsed="false">
      <c r="B17" s="53" t="str">
        <f aca="false">VLOOKUP(D17,Lookup!$B$5:$C$78,2,FALSE())</f>
        <v>CO2_emission_confidence</v>
      </c>
      <c r="C17" s="54"/>
      <c r="D17" s="2" t="s">
        <v>260</v>
      </c>
      <c r="E17" s="8" t="s">
        <v>261</v>
      </c>
      <c r="F17" s="2" t="s">
        <v>218</v>
      </c>
      <c r="G17" s="2" t="s">
        <v>230</v>
      </c>
      <c r="H17" s="2" t="n">
        <v>1</v>
      </c>
      <c r="I17" s="2" t="s">
        <v>225</v>
      </c>
      <c r="J17" s="25" t="s">
        <v>231</v>
      </c>
      <c r="K17" s="36"/>
      <c r="L17" s="25"/>
    </row>
    <row r="18" customFormat="false" ht="16.4" hidden="false" customHeight="true" outlineLevel="0" collapsed="false">
      <c r="B18" s="48" t="s">
        <v>262</v>
      </c>
      <c r="C18" s="54"/>
      <c r="D18" s="2" t="s">
        <v>263</v>
      </c>
      <c r="E18" s="58" t="s">
        <v>264</v>
      </c>
      <c r="F18" s="59" t="s">
        <v>235</v>
      </c>
      <c r="G18" s="2" t="s">
        <v>230</v>
      </c>
      <c r="H18" s="15" t="n">
        <v>30033.57181</v>
      </c>
      <c r="I18" s="2" t="s">
        <v>225</v>
      </c>
      <c r="J18" s="60" t="s">
        <v>111</v>
      </c>
      <c r="K18" s="25" t="s">
        <v>112</v>
      </c>
      <c r="L18" s="25" t="s">
        <v>221</v>
      </c>
    </row>
    <row r="19" customFormat="false" ht="16.4" hidden="false" customHeight="false" outlineLevel="0" collapsed="false">
      <c r="B19" s="48" t="s">
        <v>265</v>
      </c>
      <c r="C19" s="54"/>
      <c r="D19" s="2" t="s">
        <v>266</v>
      </c>
      <c r="E19" s="58"/>
      <c r="F19" s="59"/>
      <c r="G19" s="2" t="s">
        <v>230</v>
      </c>
      <c r="H19" s="15" t="n">
        <v>1033377.341</v>
      </c>
      <c r="I19" s="2" t="s">
        <v>225</v>
      </c>
      <c r="J19" s="60" t="s">
        <v>111</v>
      </c>
      <c r="K19" s="25" t="s">
        <v>238</v>
      </c>
      <c r="L19" s="25" t="s">
        <v>221</v>
      </c>
    </row>
    <row r="20" customFormat="false" ht="16.4" hidden="false" customHeight="false" outlineLevel="0" collapsed="false">
      <c r="B20" s="48" t="s">
        <v>267</v>
      </c>
      <c r="C20" s="54"/>
      <c r="D20" s="2" t="s">
        <v>268</v>
      </c>
      <c r="E20" s="58"/>
      <c r="F20" s="59"/>
      <c r="G20" s="2" t="s">
        <v>230</v>
      </c>
      <c r="H20" s="15" t="n">
        <v>100429.7216</v>
      </c>
      <c r="I20" s="2" t="s">
        <v>225</v>
      </c>
      <c r="J20" s="60" t="s">
        <v>111</v>
      </c>
      <c r="K20" s="25" t="s">
        <v>241</v>
      </c>
      <c r="L20" s="25" t="s">
        <v>221</v>
      </c>
    </row>
    <row r="21" customFormat="false" ht="16.4" hidden="false" customHeight="false" outlineLevel="0" collapsed="false">
      <c r="B21" s="48" t="s">
        <v>269</v>
      </c>
      <c r="C21" s="54"/>
      <c r="D21" s="2" t="s">
        <v>270</v>
      </c>
      <c r="E21" s="58"/>
      <c r="F21" s="59"/>
      <c r="G21" s="2" t="s">
        <v>230</v>
      </c>
      <c r="H21" s="15" t="n">
        <v>259655.3245</v>
      </c>
      <c r="I21" s="2" t="s">
        <v>225</v>
      </c>
      <c r="J21" s="60" t="s">
        <v>111</v>
      </c>
      <c r="K21" s="25" t="s">
        <v>244</v>
      </c>
      <c r="L21" s="25" t="s">
        <v>221</v>
      </c>
    </row>
    <row r="22" customFormat="false" ht="16.4" hidden="false" customHeight="false" outlineLevel="0" collapsed="false">
      <c r="B22" s="48" t="s">
        <v>271</v>
      </c>
      <c r="C22" s="54"/>
      <c r="D22" s="2" t="s">
        <v>272</v>
      </c>
      <c r="E22" s="58"/>
      <c r="F22" s="59"/>
      <c r="G22" s="2" t="s">
        <v>230</v>
      </c>
      <c r="H22" s="15" t="n">
        <v>163516.1132</v>
      </c>
      <c r="I22" s="2" t="s">
        <v>225</v>
      </c>
      <c r="J22" s="60" t="s">
        <v>111</v>
      </c>
      <c r="K22" s="25" t="s">
        <v>247</v>
      </c>
      <c r="L22" s="25" t="s">
        <v>221</v>
      </c>
    </row>
    <row r="23" customFormat="false" ht="16.4" hidden="false" customHeight="false" outlineLevel="0" collapsed="false">
      <c r="B23" s="48" t="s">
        <v>273</v>
      </c>
      <c r="C23" s="54"/>
      <c r="D23" s="2" t="s">
        <v>274</v>
      </c>
      <c r="E23" s="58"/>
      <c r="F23" s="59"/>
      <c r="G23" s="2" t="s">
        <v>230</v>
      </c>
      <c r="H23" s="15" t="n">
        <v>0</v>
      </c>
      <c r="I23" s="2" t="s">
        <v>225</v>
      </c>
      <c r="J23" s="60" t="s">
        <v>111</v>
      </c>
      <c r="K23" s="25" t="s">
        <v>250</v>
      </c>
      <c r="L23" s="25" t="s">
        <v>221</v>
      </c>
    </row>
    <row r="24" customFormat="false" ht="16.4" hidden="false" customHeight="false" outlineLevel="0" collapsed="false">
      <c r="B24" s="48" t="s">
        <v>275</v>
      </c>
      <c r="C24" s="54"/>
      <c r="D24" s="2" t="s">
        <v>276</v>
      </c>
      <c r="E24" s="58"/>
      <c r="F24" s="59"/>
      <c r="G24" s="2" t="s">
        <v>230</v>
      </c>
      <c r="H24" s="15" t="n">
        <v>1906.893448</v>
      </c>
      <c r="I24" s="2" t="s">
        <v>225</v>
      </c>
      <c r="J24" s="60" t="s">
        <v>111</v>
      </c>
      <c r="K24" s="25" t="s">
        <v>253</v>
      </c>
      <c r="L24" s="25" t="s">
        <v>221</v>
      </c>
    </row>
    <row r="25" customFormat="false" ht="16.4" hidden="false" customHeight="false" outlineLevel="0" collapsed="false">
      <c r="B25" s="48" t="s">
        <v>277</v>
      </c>
      <c r="C25" s="54"/>
      <c r="D25" s="2" t="s">
        <v>278</v>
      </c>
      <c r="E25" s="58"/>
      <c r="F25" s="59"/>
      <c r="G25" s="2" t="s">
        <v>230</v>
      </c>
      <c r="H25" s="15" t="n">
        <v>0</v>
      </c>
      <c r="I25" s="2" t="s">
        <v>225</v>
      </c>
      <c r="J25" s="60" t="s">
        <v>111</v>
      </c>
      <c r="K25" s="25" t="s">
        <v>256</v>
      </c>
      <c r="L25" s="25" t="s">
        <v>221</v>
      </c>
    </row>
    <row r="26" customFormat="false" ht="16.4" hidden="false" customHeight="false" outlineLevel="0" collapsed="false">
      <c r="B26" s="48" t="s">
        <v>279</v>
      </c>
      <c r="C26" s="54"/>
      <c r="D26" s="2" t="s">
        <v>280</v>
      </c>
      <c r="E26" s="58"/>
      <c r="F26" s="59"/>
      <c r="G26" s="2" t="s">
        <v>230</v>
      </c>
      <c r="H26" s="15" t="n">
        <v>0</v>
      </c>
      <c r="I26" s="2" t="s">
        <v>225</v>
      </c>
      <c r="J26" s="60" t="s">
        <v>111</v>
      </c>
      <c r="K26" s="25" t="s">
        <v>259</v>
      </c>
      <c r="L26" s="25"/>
    </row>
    <row r="27" customFormat="false" ht="91" hidden="false" customHeight="false" outlineLevel="0" collapsed="false">
      <c r="B27" s="53" t="str">
        <f aca="false">VLOOKUP(D27,Lookup!$B$5:$C$78,2,FALSE())</f>
        <v>treat_taxi_as_car</v>
      </c>
      <c r="C27" s="54"/>
      <c r="D27" s="2" t="s">
        <v>281</v>
      </c>
      <c r="E27" s="8" t="s">
        <v>282</v>
      </c>
      <c r="F27" s="61" t="s">
        <v>283</v>
      </c>
      <c r="G27" s="2" t="s">
        <v>284</v>
      </c>
      <c r="H27" s="15" t="s">
        <v>285</v>
      </c>
      <c r="I27" s="2" t="s">
        <v>225</v>
      </c>
      <c r="J27" s="60"/>
      <c r="K27" s="25"/>
      <c r="L27" s="25"/>
    </row>
    <row r="28" customFormat="false" ht="15" hidden="false" customHeight="false" outlineLevel="0" collapsed="false">
      <c r="C28" s="55"/>
      <c r="J28" s="25"/>
      <c r="K28" s="25"/>
      <c r="L28" s="25"/>
    </row>
    <row r="29" customFormat="false" ht="36.75" hidden="false" customHeight="true" outlineLevel="0" collapsed="false">
      <c r="B29" s="53" t="str">
        <f aca="false">VLOOKUP(D29,Lookup!$B$5:$C$78,2,FALSE())</f>
        <v>background_pa_confidence</v>
      </c>
      <c r="C29" s="54" t="s">
        <v>286</v>
      </c>
      <c r="D29" s="55" t="s">
        <v>287</v>
      </c>
      <c r="E29" s="8" t="s">
        <v>288</v>
      </c>
      <c r="F29" s="2" t="s">
        <v>235</v>
      </c>
      <c r="G29" s="2" t="s">
        <v>289</v>
      </c>
      <c r="H29" s="2" t="n">
        <v>1</v>
      </c>
      <c r="I29" s="2" t="s">
        <v>225</v>
      </c>
      <c r="J29" s="25" t="s">
        <v>290</v>
      </c>
      <c r="K29" s="25"/>
      <c r="L29" s="25"/>
    </row>
    <row r="30" customFormat="false" ht="22.5" hidden="false" customHeight="true" outlineLevel="0" collapsed="false">
      <c r="B30" s="53" t="str">
        <f aca="false">VLOOKUP(D30,Lookup!$B$5:$C$78,2,FALSE())</f>
        <v>background_pa_scalar</v>
      </c>
      <c r="C30" s="54"/>
      <c r="D30" s="55" t="s">
        <v>291</v>
      </c>
      <c r="E30" s="8" t="s">
        <v>292</v>
      </c>
      <c r="F30" s="2" t="s">
        <v>235</v>
      </c>
      <c r="G30" s="2" t="s">
        <v>219</v>
      </c>
      <c r="H30" s="2" t="n">
        <v>1</v>
      </c>
      <c r="I30" s="2" t="s">
        <v>225</v>
      </c>
      <c r="J30" s="25" t="s">
        <v>293</v>
      </c>
      <c r="K30" s="25"/>
      <c r="L30" s="25"/>
    </row>
    <row r="31" customFormat="false" ht="30" hidden="false" customHeight="true" outlineLevel="0" collapsed="false">
      <c r="B31" s="53" t="str">
        <f aca="false">VLOOKUP(D31,Lookup!$B$5:$C$78,2,FALSE())</f>
        <v>cycling_mmet</v>
      </c>
      <c r="C31" s="54"/>
      <c r="D31" s="55" t="s">
        <v>294</v>
      </c>
      <c r="E31" s="8" t="s">
        <v>295</v>
      </c>
      <c r="F31" s="2" t="s">
        <v>296</v>
      </c>
      <c r="G31" s="2" t="s">
        <v>219</v>
      </c>
      <c r="H31" s="2" t="n">
        <v>5.8</v>
      </c>
      <c r="I31" s="2" t="s">
        <v>297</v>
      </c>
      <c r="J31" s="25" t="s">
        <v>298</v>
      </c>
      <c r="K31" s="25" t="s">
        <v>299</v>
      </c>
      <c r="L31" s="25"/>
    </row>
    <row r="32" customFormat="false" ht="16.5" hidden="false" customHeight="true" outlineLevel="0" collapsed="false">
      <c r="B32" s="53" t="str">
        <f aca="false">VLOOKUP(D32,Lookup!$B$5:$C$78,2,FALSE())</f>
        <v>walking_mmet</v>
      </c>
      <c r="C32" s="54"/>
      <c r="D32" s="55" t="s">
        <v>300</v>
      </c>
      <c r="E32" s="8" t="s">
        <v>301</v>
      </c>
      <c r="F32" s="2" t="s">
        <v>296</v>
      </c>
      <c r="G32" s="2" t="s">
        <v>219</v>
      </c>
      <c r="H32" s="2" t="n">
        <v>2.5</v>
      </c>
      <c r="I32" s="2" t="s">
        <v>297</v>
      </c>
      <c r="J32" s="25" t="s">
        <v>302</v>
      </c>
      <c r="K32" s="25" t="s">
        <v>303</v>
      </c>
      <c r="L32" s="25"/>
    </row>
    <row r="33" customFormat="false" ht="16.5" hidden="false" customHeight="true" outlineLevel="0" collapsed="false">
      <c r="B33" s="53" t="str">
        <f aca="false">VLOOKUP(D33,Lookup!$B$5:$C$78,2,FALSE())</f>
        <v>passenger_mmet</v>
      </c>
      <c r="C33" s="54"/>
      <c r="D33" s="55" t="s">
        <v>304</v>
      </c>
      <c r="E33" s="8" t="s">
        <v>305</v>
      </c>
      <c r="F33" s="2" t="s">
        <v>296</v>
      </c>
      <c r="G33" s="2" t="s">
        <v>219</v>
      </c>
      <c r="H33" s="2" t="n">
        <v>0.3</v>
      </c>
      <c r="I33" s="2" t="s">
        <v>297</v>
      </c>
      <c r="J33" s="25" t="s">
        <v>306</v>
      </c>
      <c r="K33" s="25" t="s">
        <v>307</v>
      </c>
      <c r="L33" s="25"/>
    </row>
    <row r="34" customFormat="false" ht="16.5" hidden="false" customHeight="true" outlineLevel="0" collapsed="false">
      <c r="B34" s="53" t="str">
        <f aca="false">VLOOKUP(D34,Lookup!$B$5:$C$78,2,FALSE())</f>
        <v>car_driver_mmet</v>
      </c>
      <c r="C34" s="54"/>
      <c r="D34" s="55" t="s">
        <v>308</v>
      </c>
      <c r="E34" s="8" t="s">
        <v>309</v>
      </c>
      <c r="F34" s="2" t="s">
        <v>296</v>
      </c>
      <c r="G34" s="2" t="s">
        <v>219</v>
      </c>
      <c r="H34" s="2" t="n">
        <v>1.5</v>
      </c>
      <c r="I34" s="2" t="s">
        <v>297</v>
      </c>
      <c r="J34" s="25" t="s">
        <v>310</v>
      </c>
      <c r="K34" s="25" t="s">
        <v>311</v>
      </c>
      <c r="L34" s="25"/>
    </row>
    <row r="35" customFormat="false" ht="16.5" hidden="false" customHeight="true" outlineLevel="0" collapsed="false">
      <c r="B35" s="53" t="str">
        <f aca="false">VLOOKUP(D35,Lookup!$B$5:$C$78,2,FALSE())</f>
        <v>motorcyclist_mmet</v>
      </c>
      <c r="C35" s="54"/>
      <c r="D35" s="55" t="s">
        <v>312</v>
      </c>
      <c r="E35" s="8" t="s">
        <v>313</v>
      </c>
      <c r="F35" s="2" t="s">
        <v>296</v>
      </c>
      <c r="G35" s="2" t="s">
        <v>219</v>
      </c>
      <c r="H35" s="2" t="n">
        <v>1.8</v>
      </c>
      <c r="I35" s="2" t="s">
        <v>297</v>
      </c>
      <c r="J35" s="25" t="s">
        <v>314</v>
      </c>
      <c r="K35" s="25" t="s">
        <v>315</v>
      </c>
      <c r="L35" s="25"/>
    </row>
    <row r="36" customFormat="false" ht="16.5" hidden="false" customHeight="true" outlineLevel="0" collapsed="false">
      <c r="B36" s="53" t="str">
        <f aca="false">VLOOKUP(D36,Lookup!$B$5:$C$78,2,FALSE())</f>
        <v>sedentary_activity_mmet</v>
      </c>
      <c r="C36" s="54"/>
      <c r="D36" s="55" t="s">
        <v>316</v>
      </c>
      <c r="E36" s="8" t="s">
        <v>317</v>
      </c>
      <c r="F36" s="2" t="s">
        <v>296</v>
      </c>
      <c r="G36" s="2" t="s">
        <v>219</v>
      </c>
      <c r="H36" s="2" t="n">
        <v>0.3</v>
      </c>
      <c r="I36" s="2" t="s">
        <v>297</v>
      </c>
      <c r="J36" s="25" t="s">
        <v>318</v>
      </c>
      <c r="K36" s="25" t="s">
        <v>319</v>
      </c>
      <c r="L36" s="25"/>
    </row>
    <row r="37" customFormat="false" ht="16.5" hidden="false" customHeight="true" outlineLevel="0" collapsed="false">
      <c r="B37" s="53" t="str">
        <f aca="false">VLOOKUP(D37,Lookup!$B$5:$C$78,2,FALSE())</f>
        <v>light_activity_mmet</v>
      </c>
      <c r="C37" s="54"/>
      <c r="D37" s="55" t="s">
        <v>320</v>
      </c>
      <c r="E37" s="8" t="s">
        <v>321</v>
      </c>
      <c r="F37" s="2" t="s">
        <v>296</v>
      </c>
      <c r="G37" s="2" t="s">
        <v>219</v>
      </c>
      <c r="H37" s="2" t="n">
        <v>1</v>
      </c>
      <c r="I37" s="2" t="s">
        <v>297</v>
      </c>
      <c r="J37" s="25" t="s">
        <v>322</v>
      </c>
      <c r="K37" s="25" t="s">
        <v>319</v>
      </c>
      <c r="L37" s="25"/>
    </row>
    <row r="38" customFormat="false" ht="16.5" hidden="false" customHeight="true" outlineLevel="0" collapsed="false">
      <c r="B38" s="53" t="str">
        <f aca="false">VLOOKUP(D38,Lookup!$B$5:$C$78,2,FALSE())</f>
        <v>moderate_pa_mmet</v>
      </c>
      <c r="C38" s="54"/>
      <c r="D38" s="55" t="s">
        <v>323</v>
      </c>
      <c r="E38" s="8" t="s">
        <v>324</v>
      </c>
      <c r="F38" s="2" t="s">
        <v>296</v>
      </c>
      <c r="G38" s="2" t="s">
        <v>219</v>
      </c>
      <c r="H38" s="2" t="n">
        <v>3</v>
      </c>
      <c r="I38" s="2" t="s">
        <v>297</v>
      </c>
      <c r="J38" s="25" t="s">
        <v>325</v>
      </c>
      <c r="K38" s="25" t="s">
        <v>326</v>
      </c>
      <c r="L38" s="25"/>
    </row>
    <row r="39" customFormat="false" ht="16.5" hidden="false" customHeight="true" outlineLevel="0" collapsed="false">
      <c r="B39" s="53" t="str">
        <f aca="false">VLOOKUP(D39,Lookup!$B$5:$C$78,2,FALSE())</f>
        <v>vigorous_pa_mmet</v>
      </c>
      <c r="C39" s="54"/>
      <c r="D39" s="55" t="s">
        <v>327</v>
      </c>
      <c r="E39" s="8" t="s">
        <v>328</v>
      </c>
      <c r="F39" s="2" t="s">
        <v>296</v>
      </c>
      <c r="G39" s="2" t="s">
        <v>219</v>
      </c>
      <c r="H39" s="2" t="n">
        <v>7</v>
      </c>
      <c r="I39" s="2" t="s">
        <v>297</v>
      </c>
      <c r="J39" s="25" t="s">
        <v>325</v>
      </c>
      <c r="K39" s="25" t="s">
        <v>326</v>
      </c>
      <c r="L39" s="25"/>
    </row>
    <row r="40" customFormat="false" ht="16.5" hidden="false" customHeight="true" outlineLevel="0" collapsed="false">
      <c r="B40" s="53" t="str">
        <f aca="false">VLOOKUP(D40,Lookup!$B$5:$C$78,2,FALSE())</f>
        <v>moderate_pa_contribution</v>
      </c>
      <c r="C40" s="54"/>
      <c r="D40" s="2" t="s">
        <v>329</v>
      </c>
      <c r="E40" s="62" t="s">
        <v>330</v>
      </c>
      <c r="F40" s="2" t="s">
        <v>296</v>
      </c>
      <c r="G40" s="2" t="s">
        <v>331</v>
      </c>
      <c r="H40" s="2" t="n">
        <v>0.5</v>
      </c>
      <c r="I40" s="2" t="s">
        <v>154</v>
      </c>
      <c r="J40" s="25" t="s">
        <v>332</v>
      </c>
      <c r="K40" s="25"/>
      <c r="L40" s="25" t="s">
        <v>333</v>
      </c>
    </row>
    <row r="41" customFormat="false" ht="16.5" hidden="false" customHeight="true" outlineLevel="0" collapsed="false">
      <c r="B41" s="53"/>
      <c r="C41" s="63"/>
      <c r="D41" s="55"/>
      <c r="J41" s="25"/>
      <c r="K41" s="25"/>
      <c r="L41" s="25"/>
    </row>
    <row r="42" customFormat="false" ht="47.25" hidden="false" customHeight="true" outlineLevel="0" collapsed="false">
      <c r="B42" s="53" t="str">
        <f aca="false">VLOOKUP(D42,Lookup!$B$5:$C$78,2,FALSE())</f>
        <v>bus_walk_time</v>
      </c>
      <c r="C42" s="54" t="s">
        <v>334</v>
      </c>
      <c r="D42" s="55" t="s">
        <v>335</v>
      </c>
      <c r="E42" s="8" t="s">
        <v>336</v>
      </c>
      <c r="F42" s="2" t="s">
        <v>337</v>
      </c>
      <c r="G42" s="2" t="s">
        <v>219</v>
      </c>
      <c r="H42" s="2" t="n">
        <v>16</v>
      </c>
      <c r="I42" s="2" t="s">
        <v>225</v>
      </c>
      <c r="J42" s="25" t="s">
        <v>122</v>
      </c>
      <c r="K42" s="25" t="s">
        <v>123</v>
      </c>
      <c r="L42" s="25" t="s">
        <v>221</v>
      </c>
    </row>
    <row r="43" customFormat="false" ht="21.75" hidden="false" customHeight="true" outlineLevel="0" collapsed="false">
      <c r="B43" s="53" t="str">
        <f aca="false">VLOOKUP(D43,Lookup!$B$5:$C$78,2,FALSE())</f>
        <v>rail_walk_time</v>
      </c>
      <c r="C43" s="54"/>
      <c r="D43" s="2" t="s">
        <v>338</v>
      </c>
      <c r="E43" s="8" t="s">
        <v>339</v>
      </c>
      <c r="F43" s="2" t="s">
        <v>337</v>
      </c>
      <c r="G43" s="2" t="s">
        <v>219</v>
      </c>
      <c r="H43" s="2" t="n">
        <v>12.5</v>
      </c>
      <c r="I43" s="2" t="s">
        <v>225</v>
      </c>
      <c r="J43" s="38" t="s">
        <v>124</v>
      </c>
      <c r="K43" s="25" t="s">
        <v>125</v>
      </c>
      <c r="L43" s="25" t="s">
        <v>221</v>
      </c>
    </row>
    <row r="44" customFormat="false" ht="23.25" hidden="false" customHeight="true" outlineLevel="0" collapsed="false">
      <c r="B44" s="53" t="str">
        <f aca="false">VLOOKUP(D44,Lookup!$B$5:$C$78,2,FALSE())</f>
        <v>day_to_week_scalar</v>
      </c>
      <c r="C44" s="54"/>
      <c r="D44" s="2" t="s">
        <v>340</v>
      </c>
      <c r="E44" s="8" t="s">
        <v>341</v>
      </c>
      <c r="F44" s="2" t="s">
        <v>296</v>
      </c>
      <c r="G44" s="2" t="s">
        <v>230</v>
      </c>
      <c r="H44" s="2" t="n">
        <v>7</v>
      </c>
      <c r="I44" s="2" t="s">
        <v>225</v>
      </c>
      <c r="J44" s="25" t="s">
        <v>342</v>
      </c>
      <c r="K44" s="25"/>
      <c r="L44" s="25"/>
    </row>
    <row r="45" customFormat="false" ht="23.25" hidden="false" customHeight="true" outlineLevel="0" collapsed="false">
      <c r="B45" s="53" t="str">
        <f aca="false">VLOOKUP(D45,Lookup!$B$5:$C$78,2,FALSE())</f>
        <v>bus_to_passenger_ratio</v>
      </c>
      <c r="C45" s="54"/>
      <c r="D45" s="55" t="s">
        <v>343</v>
      </c>
      <c r="E45" s="8" t="s">
        <v>344</v>
      </c>
      <c r="F45" s="2" t="s">
        <v>235</v>
      </c>
      <c r="G45" s="2" t="s">
        <v>224</v>
      </c>
      <c r="H45" s="15" t="n">
        <v>0.0389105058365759</v>
      </c>
      <c r="I45" s="2" t="s">
        <v>225</v>
      </c>
      <c r="J45" s="38" t="s">
        <v>132</v>
      </c>
      <c r="K45" s="64" t="s">
        <v>133</v>
      </c>
      <c r="L45" s="25" t="s">
        <v>221</v>
      </c>
    </row>
    <row r="46" customFormat="false" ht="24" hidden="false" customHeight="true" outlineLevel="0" collapsed="false">
      <c r="B46" s="53" t="s">
        <v>345</v>
      </c>
      <c r="C46" s="54"/>
      <c r="D46" s="55" t="s">
        <v>346</v>
      </c>
      <c r="E46" s="8" t="s">
        <v>347</v>
      </c>
      <c r="F46" s="2" t="s">
        <v>235</v>
      </c>
      <c r="G46" s="2" t="s">
        <v>224</v>
      </c>
      <c r="H46" s="15" t="n">
        <v>0.625</v>
      </c>
      <c r="I46" s="2" t="s">
        <v>225</v>
      </c>
      <c r="J46" s="56" t="s">
        <v>137</v>
      </c>
      <c r="K46" s="25" t="s">
        <v>138</v>
      </c>
      <c r="L46" s="25" t="s">
        <v>221</v>
      </c>
    </row>
    <row r="47" customFormat="false" ht="28.5" hidden="false" customHeight="true" outlineLevel="0" collapsed="false">
      <c r="B47" s="53" t="str">
        <f aca="false">VLOOKUP(D47,Lookup!$B$5:$C$78,2,FALSE())</f>
        <v>truck_to_car_ratio</v>
      </c>
      <c r="C47" s="54"/>
      <c r="D47" s="55" t="s">
        <v>348</v>
      </c>
      <c r="E47" s="8" t="s">
        <v>349</v>
      </c>
      <c r="F47" s="2" t="s">
        <v>235</v>
      </c>
      <c r="G47" s="2" t="s">
        <v>224</v>
      </c>
      <c r="H47" s="2" t="n">
        <v>0.3</v>
      </c>
      <c r="I47" s="2" t="s">
        <v>225</v>
      </c>
      <c r="J47" s="38" t="s">
        <v>134</v>
      </c>
      <c r="K47" s="25" t="s">
        <v>135</v>
      </c>
      <c r="L47" s="25" t="s">
        <v>221</v>
      </c>
    </row>
    <row r="48" customFormat="false" ht="26.25" hidden="false" customHeight="true" outlineLevel="0" collapsed="false">
      <c r="B48" s="53" t="str">
        <f aca="false">VLOOKUP(D48,Lookup!$B$5:$C$78,2,FALSE())</f>
        <v>distance_scalar_car_taxi</v>
      </c>
      <c r="C48" s="54"/>
      <c r="D48" s="55" t="s">
        <v>350</v>
      </c>
      <c r="E48" s="8" t="s">
        <v>351</v>
      </c>
      <c r="F48" s="2" t="s">
        <v>235</v>
      </c>
      <c r="G48" s="2" t="s">
        <v>219</v>
      </c>
      <c r="H48" s="2" t="n">
        <v>1</v>
      </c>
      <c r="I48" s="2" t="s">
        <v>225</v>
      </c>
      <c r="J48" s="25" t="s">
        <v>352</v>
      </c>
      <c r="K48" s="36"/>
      <c r="L48" s="25"/>
    </row>
    <row r="49" customFormat="false" ht="27" hidden="false" customHeight="true" outlineLevel="0" collapsed="false">
      <c r="B49" s="53" t="str">
        <f aca="false">VLOOKUP(D49,Lookup!$B$5:$C$78,2,FALSE())</f>
        <v>distance_scalar_walking</v>
      </c>
      <c r="C49" s="54"/>
      <c r="D49" s="55" t="s">
        <v>353</v>
      </c>
      <c r="E49" s="8" t="s">
        <v>354</v>
      </c>
      <c r="F49" s="2" t="s">
        <v>235</v>
      </c>
      <c r="G49" s="2" t="s">
        <v>219</v>
      </c>
      <c r="H49" s="2" t="n">
        <v>1</v>
      </c>
      <c r="I49" s="2" t="s">
        <v>225</v>
      </c>
      <c r="J49" s="25" t="s">
        <v>352</v>
      </c>
      <c r="K49" s="25"/>
      <c r="L49" s="25"/>
    </row>
    <row r="50" customFormat="false" ht="23.25" hidden="false" customHeight="true" outlineLevel="0" collapsed="false">
      <c r="B50" s="53" t="str">
        <f aca="false">VLOOKUP(D50,Lookup!$B$5:$C$78,2,FALSE())</f>
        <v>distance_scalar_pt</v>
      </c>
      <c r="C50" s="54"/>
      <c r="D50" s="55" t="s">
        <v>355</v>
      </c>
      <c r="E50" s="8" t="s">
        <v>356</v>
      </c>
      <c r="F50" s="2" t="s">
        <v>235</v>
      </c>
      <c r="G50" s="2" t="s">
        <v>219</v>
      </c>
      <c r="H50" s="2" t="n">
        <v>1</v>
      </c>
      <c r="I50" s="2" t="s">
        <v>225</v>
      </c>
      <c r="J50" s="25" t="s">
        <v>352</v>
      </c>
      <c r="K50" s="25"/>
      <c r="L50" s="25"/>
    </row>
    <row r="51" customFormat="false" ht="27" hidden="false" customHeight="true" outlineLevel="0" collapsed="false">
      <c r="B51" s="53" t="str">
        <f aca="false">VLOOKUP(D51,Lookup!$B$5:$C$78,2,FALSE())</f>
        <v>distance_scalar_cycling</v>
      </c>
      <c r="C51" s="54"/>
      <c r="D51" s="55" t="s">
        <v>357</v>
      </c>
      <c r="E51" s="8" t="s">
        <v>358</v>
      </c>
      <c r="F51" s="2" t="s">
        <v>235</v>
      </c>
      <c r="G51" s="2" t="s">
        <v>219</v>
      </c>
      <c r="H51" s="2" t="n">
        <v>1</v>
      </c>
      <c r="I51" s="2" t="s">
        <v>225</v>
      </c>
      <c r="J51" s="25" t="s">
        <v>352</v>
      </c>
      <c r="K51" s="25"/>
      <c r="L51" s="25"/>
    </row>
    <row r="52" customFormat="false" ht="23.25" hidden="false" customHeight="true" outlineLevel="0" collapsed="false">
      <c r="B52" s="53" t="str">
        <f aca="false">VLOOKUP(D52,Lookup!$B$5:$C$78,2,FALSE())</f>
        <v>distance_scalar_motorcycle</v>
      </c>
      <c r="C52" s="54"/>
      <c r="D52" s="55" t="s">
        <v>359</v>
      </c>
      <c r="E52" s="8" t="s">
        <v>360</v>
      </c>
      <c r="F52" s="2" t="s">
        <v>235</v>
      </c>
      <c r="G52" s="2" t="s">
        <v>219</v>
      </c>
      <c r="H52" s="2" t="n">
        <v>1</v>
      </c>
      <c r="I52" s="2" t="s">
        <v>225</v>
      </c>
      <c r="J52" s="25" t="s">
        <v>352</v>
      </c>
      <c r="K52" s="25"/>
      <c r="L52" s="25"/>
    </row>
    <row r="53" customFormat="false" ht="24" hidden="false" customHeight="true" outlineLevel="0" collapsed="false">
      <c r="B53" s="53" t="str">
        <f aca="false">VLOOKUP(D53,Lookup!$B$5:$C$78,2,FALSE())</f>
        <v>add_truck_drivers</v>
      </c>
      <c r="C53" s="54"/>
      <c r="D53" s="55" t="s">
        <v>361</v>
      </c>
      <c r="E53" s="8" t="s">
        <v>362</v>
      </c>
      <c r="F53" s="2" t="s">
        <v>296</v>
      </c>
      <c r="G53" s="2" t="s">
        <v>284</v>
      </c>
      <c r="H53" s="2" t="s">
        <v>165</v>
      </c>
      <c r="I53" s="2" t="s">
        <v>297</v>
      </c>
      <c r="J53" s="65" t="s">
        <v>363</v>
      </c>
      <c r="K53" s="25"/>
      <c r="L53" s="25"/>
    </row>
    <row r="54" customFormat="false" ht="18.75" hidden="false" customHeight="true" outlineLevel="0" collapsed="false">
      <c r="B54" s="53" t="str">
        <f aca="false">VLOOKUP(D54,Lookup!$B$5:$C$78,2,FALSE())</f>
        <v>add_bus_drivers</v>
      </c>
      <c r="C54" s="54"/>
      <c r="D54" s="55" t="s">
        <v>364</v>
      </c>
      <c r="E54" s="8" t="s">
        <v>365</v>
      </c>
      <c r="F54" s="2" t="s">
        <v>296</v>
      </c>
      <c r="G54" s="2" t="s">
        <v>284</v>
      </c>
      <c r="H54" s="2" t="s">
        <v>165</v>
      </c>
      <c r="I54" s="2" t="s">
        <v>297</v>
      </c>
      <c r="J54" s="65" t="s">
        <v>363</v>
      </c>
      <c r="K54" s="25"/>
      <c r="L54" s="25"/>
    </row>
    <row r="55" customFormat="false" ht="21.75" hidden="false" customHeight="true" outlineLevel="0" collapsed="false">
      <c r="B55" s="53" t="str">
        <f aca="false">VLOOKUP(D55,Lookup!$B$5:$C$78,2,FALSE())</f>
        <v>add_car_drivers</v>
      </c>
      <c r="C55" s="54"/>
      <c r="D55" s="55" t="s">
        <v>366</v>
      </c>
      <c r="E55" s="8" t="s">
        <v>367</v>
      </c>
      <c r="F55" s="2" t="s">
        <v>296</v>
      </c>
      <c r="G55" s="2" t="s">
        <v>284</v>
      </c>
      <c r="H55" s="2" t="s">
        <v>165</v>
      </c>
      <c r="I55" s="2" t="s">
        <v>297</v>
      </c>
      <c r="J55" s="65" t="s">
        <v>368</v>
      </c>
      <c r="K55" s="25"/>
      <c r="L55" s="25"/>
    </row>
    <row r="56" customFormat="false" ht="32.25" hidden="false" customHeight="true" outlineLevel="0" collapsed="false">
      <c r="B56" s="53" t="str">
        <f aca="false">VLOOKUP(D56,Lookup!$B$5:$C$78,2,FALSE())</f>
        <v>add_walk_to_pt_trips</v>
      </c>
      <c r="C56" s="54"/>
      <c r="D56" s="55" t="s">
        <v>369</v>
      </c>
      <c r="E56" s="8" t="s">
        <v>370</v>
      </c>
      <c r="F56" s="2" t="s">
        <v>235</v>
      </c>
      <c r="G56" s="2" t="s">
        <v>371</v>
      </c>
      <c r="H56" s="2" t="s">
        <v>165</v>
      </c>
      <c r="I56" s="2" t="s">
        <v>225</v>
      </c>
      <c r="J56" s="25" t="s">
        <v>372</v>
      </c>
      <c r="K56" s="25"/>
      <c r="L56" s="25"/>
    </row>
    <row r="57" customFormat="false" ht="49.5" hidden="false" customHeight="true" outlineLevel="0" collapsed="false">
      <c r="B57" s="53" t="str">
        <f aca="false">VLOOKUP(D57,Lookup!$B$5:$C$78,2,FALSE())</f>
        <v>add_personal_motorcycle_trips</v>
      </c>
      <c r="C57" s="54"/>
      <c r="D57" s="55" t="s">
        <v>373</v>
      </c>
      <c r="E57" s="8" t="s">
        <v>374</v>
      </c>
      <c r="G57" s="2" t="s">
        <v>375</v>
      </c>
      <c r="H57" s="2" t="s">
        <v>376</v>
      </c>
      <c r="I57" s="2" t="s">
        <v>225</v>
      </c>
      <c r="J57" s="25" t="s">
        <v>377</v>
      </c>
      <c r="K57" s="25"/>
      <c r="L57" s="25"/>
    </row>
    <row r="58" customFormat="false" ht="31.5" hidden="false" customHeight="true" outlineLevel="0" collapsed="false">
      <c r="B58" s="53" t="str">
        <f aca="false">VLOOKUP(D58,Lookup!$B$5:$C$78,2,FALSE())</f>
        <v>proportion_motorcycle_trips</v>
      </c>
      <c r="C58" s="54"/>
      <c r="D58" s="55" t="s">
        <v>378</v>
      </c>
      <c r="E58" s="8" t="s">
        <v>379</v>
      </c>
      <c r="G58" s="2" t="s">
        <v>224</v>
      </c>
      <c r="H58" s="2" t="n">
        <v>0</v>
      </c>
      <c r="I58" s="2" t="s">
        <v>225</v>
      </c>
      <c r="J58" s="25" t="s">
        <v>380</v>
      </c>
      <c r="K58" s="25"/>
      <c r="L58" s="25"/>
    </row>
    <row r="59" customFormat="false" ht="30" hidden="false" customHeight="true" outlineLevel="0" collapsed="false">
      <c r="B59" s="53" t="str">
        <f aca="false">VLOOKUP(D59,Lookup!$B$5:$C$78,2,FALSE())</f>
        <v>add_motorcycle_fleet</v>
      </c>
      <c r="C59" s="54"/>
      <c r="D59" s="55" t="s">
        <v>381</v>
      </c>
      <c r="E59" s="8" t="s">
        <v>382</v>
      </c>
      <c r="F59" s="2" t="s">
        <v>235</v>
      </c>
      <c r="G59" s="2" t="s">
        <v>284</v>
      </c>
      <c r="H59" s="2" t="s">
        <v>165</v>
      </c>
      <c r="I59" s="2" t="s">
        <v>225</v>
      </c>
      <c r="J59" s="25" t="s">
        <v>383</v>
      </c>
      <c r="K59" s="25"/>
      <c r="L59" s="25"/>
    </row>
    <row r="60" customFormat="false" ht="38.25" hidden="false" customHeight="true" outlineLevel="0" collapsed="false">
      <c r="B60" s="53" t="str">
        <f aca="false">VLOOKUP(D60,Lookup!$B$5:$C$78,2,FALSE())</f>
        <v>fleet_to_motorcycle_ratio</v>
      </c>
      <c r="C60" s="54"/>
      <c r="D60" s="55" t="s">
        <v>384</v>
      </c>
      <c r="E60" s="8" t="s">
        <v>385</v>
      </c>
      <c r="F60" s="2" t="s">
        <v>235</v>
      </c>
      <c r="G60" s="2" t="s">
        <v>224</v>
      </c>
      <c r="H60" s="15" t="n">
        <v>0.441176470588235</v>
      </c>
      <c r="I60" s="2" t="s">
        <v>225</v>
      </c>
      <c r="J60" s="56" t="s">
        <v>128</v>
      </c>
      <c r="K60" s="25" t="s">
        <v>129</v>
      </c>
      <c r="L60" s="25" t="s">
        <v>221</v>
      </c>
    </row>
    <row r="61" customFormat="false" ht="38.25" hidden="false" customHeight="true" outlineLevel="0" collapsed="false">
      <c r="B61" s="53" t="s">
        <v>386</v>
      </c>
      <c r="C61" s="54"/>
      <c r="D61" s="55" t="s">
        <v>387</v>
      </c>
      <c r="E61" s="8" t="s">
        <v>388</v>
      </c>
      <c r="F61" s="2" t="s">
        <v>235</v>
      </c>
      <c r="G61" s="2" t="s">
        <v>389</v>
      </c>
      <c r="H61" s="2" t="n">
        <v>0.98</v>
      </c>
      <c r="I61" s="2" t="s">
        <v>225</v>
      </c>
      <c r="J61" s="56" t="s">
        <v>390</v>
      </c>
      <c r="K61" s="64" t="s">
        <v>140</v>
      </c>
      <c r="L61" s="25" t="s">
        <v>221</v>
      </c>
    </row>
    <row r="62" customFormat="false" ht="38.25" hidden="false" customHeight="true" outlineLevel="0" collapsed="false">
      <c r="B62" s="53" t="s">
        <v>391</v>
      </c>
      <c r="C62" s="54"/>
      <c r="D62" s="55" t="s">
        <v>392</v>
      </c>
      <c r="E62" s="8" t="s">
        <v>393</v>
      </c>
      <c r="F62" s="2" t="s">
        <v>235</v>
      </c>
      <c r="G62" s="2" t="s">
        <v>375</v>
      </c>
      <c r="H62" s="2" t="s">
        <v>394</v>
      </c>
      <c r="I62" s="2" t="s">
        <v>225</v>
      </c>
      <c r="J62" s="56" t="s">
        <v>395</v>
      </c>
      <c r="K62" s="64" t="s">
        <v>396</v>
      </c>
      <c r="L62" s="25" t="s">
        <v>221</v>
      </c>
    </row>
    <row r="63" customFormat="false" ht="38.25" hidden="false" customHeight="true" outlineLevel="0" collapsed="false">
      <c r="B63" s="53" t="s">
        <v>397</v>
      </c>
      <c r="C63" s="54"/>
      <c r="D63" s="55" t="s">
        <v>398</v>
      </c>
      <c r="E63" s="8" t="s">
        <v>399</v>
      </c>
      <c r="F63" s="2" t="s">
        <v>235</v>
      </c>
      <c r="G63" s="2" t="s">
        <v>375</v>
      </c>
      <c r="H63" s="2" t="s">
        <v>394</v>
      </c>
      <c r="I63" s="2" t="s">
        <v>225</v>
      </c>
      <c r="J63" s="56" t="s">
        <v>395</v>
      </c>
      <c r="K63" s="64" t="s">
        <v>396</v>
      </c>
      <c r="L63" s="25" t="s">
        <v>221</v>
      </c>
    </row>
    <row r="64" customFormat="false" ht="38.25" hidden="false" customHeight="true" outlineLevel="0" collapsed="false">
      <c r="B64" s="53" t="s">
        <v>400</v>
      </c>
      <c r="C64" s="54"/>
      <c r="D64" s="55" t="s">
        <v>401</v>
      </c>
      <c r="E64" s="8" t="s">
        <v>402</v>
      </c>
      <c r="F64" s="2" t="s">
        <v>235</v>
      </c>
      <c r="G64" s="2" t="s">
        <v>389</v>
      </c>
      <c r="H64" s="2" t="n">
        <v>0.98</v>
      </c>
      <c r="I64" s="2" t="s">
        <v>225</v>
      </c>
      <c r="J64" s="25" t="s">
        <v>403</v>
      </c>
      <c r="K64" s="25"/>
      <c r="L64" s="25" t="s">
        <v>221</v>
      </c>
    </row>
    <row r="65" customFormat="false" ht="38.25" hidden="false" customHeight="true" outlineLevel="0" collapsed="false">
      <c r="B65" s="53" t="s">
        <v>404</v>
      </c>
      <c r="C65" s="54"/>
      <c r="D65" s="55" t="s">
        <v>405</v>
      </c>
      <c r="E65" s="8" t="s">
        <v>406</v>
      </c>
      <c r="F65" s="2" t="s">
        <v>235</v>
      </c>
      <c r="G65" s="2" t="s">
        <v>375</v>
      </c>
      <c r="H65" s="2" t="s">
        <v>407</v>
      </c>
      <c r="I65" s="2" t="s">
        <v>225</v>
      </c>
      <c r="J65" s="25" t="s">
        <v>408</v>
      </c>
      <c r="K65" s="25"/>
      <c r="L65" s="25" t="s">
        <v>221</v>
      </c>
    </row>
    <row r="66" customFormat="false" ht="38.25" hidden="false" customHeight="true" outlineLevel="0" collapsed="false">
      <c r="B66" s="53" t="s">
        <v>409</v>
      </c>
      <c r="C66" s="54"/>
      <c r="D66" s="55" t="s">
        <v>410</v>
      </c>
      <c r="E66" s="8" t="s">
        <v>411</v>
      </c>
      <c r="F66" s="2" t="s">
        <v>235</v>
      </c>
      <c r="G66" s="2" t="s">
        <v>375</v>
      </c>
      <c r="H66" s="2" t="s">
        <v>407</v>
      </c>
      <c r="I66" s="2" t="s">
        <v>225</v>
      </c>
      <c r="J66" s="25" t="s">
        <v>412</v>
      </c>
      <c r="K66" s="25"/>
      <c r="L66" s="25" t="s">
        <v>221</v>
      </c>
    </row>
    <row r="67" customFormat="false" ht="38.25" hidden="false" customHeight="true" outlineLevel="0" collapsed="false">
      <c r="B67" s="53" t="s">
        <v>413</v>
      </c>
      <c r="C67" s="54"/>
      <c r="D67" s="55" t="s">
        <v>414</v>
      </c>
      <c r="E67" s="8" t="s">
        <v>415</v>
      </c>
      <c r="F67" s="2" t="s">
        <v>235</v>
      </c>
      <c r="G67" s="2" t="s">
        <v>389</v>
      </c>
      <c r="H67" s="2" t="n">
        <v>0.99</v>
      </c>
      <c r="I67" s="2" t="s">
        <v>225</v>
      </c>
      <c r="J67" s="56" t="s">
        <v>128</v>
      </c>
      <c r="K67" s="25" t="s">
        <v>129</v>
      </c>
      <c r="L67" s="25" t="s">
        <v>221</v>
      </c>
    </row>
    <row r="68" customFormat="false" ht="38.25" hidden="false" customHeight="true" outlineLevel="0" collapsed="false">
      <c r="B68" s="53" t="s">
        <v>416</v>
      </c>
      <c r="C68" s="54"/>
      <c r="D68" s="55" t="s">
        <v>417</v>
      </c>
      <c r="E68" s="8" t="s">
        <v>418</v>
      </c>
      <c r="F68" s="2" t="s">
        <v>235</v>
      </c>
      <c r="G68" s="2" t="s">
        <v>375</v>
      </c>
      <c r="H68" s="2" t="s">
        <v>407</v>
      </c>
      <c r="I68" s="2" t="s">
        <v>225</v>
      </c>
      <c r="J68" s="56" t="s">
        <v>128</v>
      </c>
      <c r="K68" s="25" t="s">
        <v>419</v>
      </c>
      <c r="L68" s="25" t="s">
        <v>221</v>
      </c>
    </row>
    <row r="69" customFormat="false" ht="38.25" hidden="false" customHeight="true" outlineLevel="0" collapsed="false">
      <c r="B69" s="53" t="s">
        <v>420</v>
      </c>
      <c r="C69" s="54"/>
      <c r="D69" s="55" t="s">
        <v>421</v>
      </c>
      <c r="E69" s="8" t="s">
        <v>422</v>
      </c>
      <c r="F69" s="2" t="s">
        <v>235</v>
      </c>
      <c r="G69" s="2" t="s">
        <v>375</v>
      </c>
      <c r="H69" s="2" t="s">
        <v>407</v>
      </c>
      <c r="I69" s="2" t="s">
        <v>225</v>
      </c>
      <c r="J69" s="56" t="s">
        <v>128</v>
      </c>
      <c r="K69" s="25" t="s">
        <v>423</v>
      </c>
      <c r="L69" s="25" t="s">
        <v>221</v>
      </c>
    </row>
    <row r="70" customFormat="false" ht="38.25" hidden="false" customHeight="true" outlineLevel="0" collapsed="false">
      <c r="B70" s="53" t="s">
        <v>171</v>
      </c>
      <c r="C70" s="54"/>
      <c r="D70" s="55" t="s">
        <v>424</v>
      </c>
      <c r="E70" s="8" t="s">
        <v>425</v>
      </c>
      <c r="F70" s="2" t="s">
        <v>296</v>
      </c>
      <c r="G70" s="2" t="s">
        <v>389</v>
      </c>
      <c r="H70" s="2" t="n">
        <v>3</v>
      </c>
      <c r="I70" s="2" t="s">
        <v>297</v>
      </c>
      <c r="J70" s="25" t="s">
        <v>426</v>
      </c>
      <c r="K70" s="25"/>
      <c r="L70" s="25"/>
    </row>
    <row r="71" customFormat="false" ht="15" hidden="false" customHeight="true" outlineLevel="0" collapsed="false">
      <c r="B71" s="53" t="s">
        <v>427</v>
      </c>
      <c r="C71" s="54"/>
      <c r="D71" s="55" t="s">
        <v>427</v>
      </c>
      <c r="E71" s="58" t="s">
        <v>428</v>
      </c>
      <c r="F71" s="66" t="s">
        <v>235</v>
      </c>
      <c r="G71" s="2" t="s">
        <v>230</v>
      </c>
      <c r="H71" s="15" t="n">
        <v>8.1</v>
      </c>
      <c r="I71" s="66" t="s">
        <v>225</v>
      </c>
      <c r="J71" s="29"/>
      <c r="K71" s="65" t="s">
        <v>110</v>
      </c>
      <c r="L71" s="25" t="s">
        <v>221</v>
      </c>
      <c r="N71" s="15"/>
    </row>
    <row r="72" customFormat="false" ht="15" hidden="false" customHeight="false" outlineLevel="0" collapsed="false">
      <c r="B72" s="53" t="s">
        <v>429</v>
      </c>
      <c r="C72" s="54"/>
      <c r="D72" s="55" t="s">
        <v>429</v>
      </c>
      <c r="E72" s="58"/>
      <c r="F72" s="66"/>
      <c r="G72" s="2" t="s">
        <v>230</v>
      </c>
      <c r="H72" s="15" t="n">
        <v>8.1</v>
      </c>
      <c r="I72" s="66"/>
      <c r="J72" s="25"/>
      <c r="K72" s="25"/>
      <c r="L72" s="25" t="s">
        <v>430</v>
      </c>
      <c r="N72" s="15"/>
    </row>
    <row r="73" customFormat="false" ht="15" hidden="false" customHeight="false" outlineLevel="0" collapsed="false">
      <c r="B73" s="53" t="s">
        <v>431</v>
      </c>
      <c r="C73" s="54"/>
      <c r="D73" s="55" t="s">
        <v>431</v>
      </c>
      <c r="E73" s="58"/>
      <c r="F73" s="66"/>
      <c r="G73" s="2" t="s">
        <v>230</v>
      </c>
      <c r="H73" s="15" t="n">
        <v>8.1</v>
      </c>
      <c r="I73" s="66"/>
      <c r="J73" s="25"/>
      <c r="K73" s="25"/>
      <c r="L73" s="25" t="s">
        <v>430</v>
      </c>
      <c r="N73" s="15"/>
    </row>
    <row r="74" customFormat="false" ht="15" hidden="false" customHeight="false" outlineLevel="0" collapsed="false">
      <c r="B74" s="53" t="s">
        <v>432</v>
      </c>
      <c r="C74" s="54"/>
      <c r="D74" s="55" t="s">
        <v>432</v>
      </c>
      <c r="E74" s="58"/>
      <c r="F74" s="66"/>
      <c r="G74" s="2" t="s">
        <v>230</v>
      </c>
      <c r="H74" s="15" t="n">
        <v>8.1</v>
      </c>
      <c r="I74" s="66"/>
      <c r="J74" s="25"/>
      <c r="K74" s="25"/>
      <c r="L74" s="25" t="s">
        <v>430</v>
      </c>
      <c r="N74" s="15"/>
    </row>
    <row r="75" customFormat="false" ht="15" hidden="false" customHeight="false" outlineLevel="0" collapsed="false">
      <c r="B75" s="53" t="s">
        <v>433</v>
      </c>
      <c r="C75" s="54"/>
      <c r="D75" s="55" t="s">
        <v>433</v>
      </c>
      <c r="E75" s="58"/>
      <c r="F75" s="66"/>
      <c r="G75" s="2" t="s">
        <v>230</v>
      </c>
      <c r="H75" s="15" t="n">
        <v>13.8</v>
      </c>
      <c r="I75" s="66"/>
      <c r="J75" s="29"/>
      <c r="K75" s="65" t="s">
        <v>110</v>
      </c>
      <c r="L75" s="25" t="s">
        <v>221</v>
      </c>
      <c r="N75" s="15"/>
    </row>
    <row r="76" customFormat="false" ht="15" hidden="false" customHeight="false" outlineLevel="0" collapsed="false">
      <c r="B76" s="53" t="s">
        <v>434</v>
      </c>
      <c r="C76" s="54"/>
      <c r="D76" s="55" t="s">
        <v>434</v>
      </c>
      <c r="E76" s="58"/>
      <c r="F76" s="66"/>
      <c r="G76" s="2" t="s">
        <v>230</v>
      </c>
      <c r="H76" s="15" t="n">
        <v>13.8</v>
      </c>
      <c r="I76" s="66"/>
      <c r="J76" s="25"/>
      <c r="K76" s="25"/>
      <c r="L76" s="25" t="s">
        <v>435</v>
      </c>
      <c r="N76" s="15"/>
    </row>
    <row r="77" customFormat="false" ht="15" hidden="false" customHeight="false" outlineLevel="0" collapsed="false">
      <c r="B77" s="53" t="s">
        <v>436</v>
      </c>
      <c r="C77" s="54"/>
      <c r="D77" s="55" t="s">
        <v>436</v>
      </c>
      <c r="E77" s="58"/>
      <c r="F77" s="66"/>
      <c r="G77" s="2" t="s">
        <v>230</v>
      </c>
      <c r="H77" s="15" t="n">
        <v>13.8</v>
      </c>
      <c r="I77" s="66"/>
      <c r="J77" s="25"/>
      <c r="K77" s="25"/>
      <c r="L77" s="25" t="s">
        <v>435</v>
      </c>
      <c r="N77" s="15"/>
    </row>
    <row r="78" customFormat="false" ht="15" hidden="false" customHeight="false" outlineLevel="0" collapsed="false">
      <c r="B78" s="53" t="s">
        <v>437</v>
      </c>
      <c r="C78" s="54"/>
      <c r="D78" s="55" t="s">
        <v>437</v>
      </c>
      <c r="E78" s="58"/>
      <c r="F78" s="66"/>
      <c r="G78" s="2" t="s">
        <v>230</v>
      </c>
      <c r="H78" s="55" t="n">
        <v>2.5</v>
      </c>
      <c r="I78" s="66"/>
      <c r="J78" s="29"/>
      <c r="K78" s="65" t="s">
        <v>110</v>
      </c>
      <c r="L78" s="25" t="s">
        <v>221</v>
      </c>
      <c r="N78" s="15"/>
    </row>
    <row r="79" customFormat="false" ht="15" hidden="false" customHeight="false" outlineLevel="0" collapsed="false">
      <c r="B79" s="53" t="s">
        <v>438</v>
      </c>
      <c r="C79" s="54"/>
      <c r="D79" s="55" t="s">
        <v>438</v>
      </c>
      <c r="E79" s="58"/>
      <c r="F79" s="66"/>
      <c r="G79" s="2" t="s">
        <v>230</v>
      </c>
      <c r="H79" s="55" t="n">
        <v>2.5</v>
      </c>
      <c r="I79" s="66"/>
      <c r="J79" s="25"/>
      <c r="K79" s="25"/>
      <c r="L79" s="25" t="s">
        <v>439</v>
      </c>
      <c r="N79" s="15"/>
    </row>
    <row r="80" customFormat="false" ht="15" hidden="false" customHeight="false" outlineLevel="0" collapsed="false">
      <c r="B80" s="53" t="s">
        <v>440</v>
      </c>
      <c r="C80" s="54"/>
      <c r="D80" s="55" t="s">
        <v>440</v>
      </c>
      <c r="E80" s="58"/>
      <c r="F80" s="66"/>
      <c r="G80" s="2" t="s">
        <v>230</v>
      </c>
      <c r="H80" s="15" t="n">
        <v>7.2</v>
      </c>
      <c r="I80" s="66"/>
      <c r="J80" s="29"/>
      <c r="K80" s="65" t="s">
        <v>110</v>
      </c>
      <c r="L80" s="25" t="s">
        <v>441</v>
      </c>
      <c r="N80" s="15"/>
    </row>
    <row r="81" customFormat="false" ht="15" hidden="false" customHeight="false" outlineLevel="0" collapsed="false">
      <c r="B81" s="53" t="s">
        <v>442</v>
      </c>
      <c r="C81" s="54"/>
      <c r="D81" s="55" t="s">
        <v>442</v>
      </c>
      <c r="E81" s="58"/>
      <c r="F81" s="66"/>
      <c r="G81" s="2" t="s">
        <v>230</v>
      </c>
      <c r="H81" s="15" t="n">
        <v>15.2</v>
      </c>
      <c r="I81" s="66"/>
      <c r="J81" s="29"/>
      <c r="K81" s="65" t="s">
        <v>110</v>
      </c>
      <c r="L81" s="25" t="s">
        <v>441</v>
      </c>
      <c r="N81" s="15"/>
    </row>
    <row r="82" customFormat="false" ht="15" hidden="false" customHeight="false" outlineLevel="0" collapsed="false">
      <c r="B82" s="53" t="s">
        <v>443</v>
      </c>
      <c r="C82" s="54"/>
      <c r="D82" s="55" t="s">
        <v>443</v>
      </c>
      <c r="E82" s="58"/>
      <c r="F82" s="66"/>
      <c r="G82" s="2" t="s">
        <v>230</v>
      </c>
      <c r="H82" s="15" t="n">
        <v>8.1</v>
      </c>
      <c r="I82" s="66"/>
      <c r="J82" s="25"/>
      <c r="K82" s="25"/>
      <c r="L82" s="25" t="s">
        <v>430</v>
      </c>
      <c r="N82" s="15"/>
    </row>
    <row r="83" customFormat="false" ht="15" hidden="false" customHeight="false" outlineLevel="0" collapsed="false">
      <c r="B83" s="53" t="s">
        <v>444</v>
      </c>
      <c r="C83" s="54"/>
      <c r="D83" s="55" t="s">
        <v>444</v>
      </c>
      <c r="E83" s="58"/>
      <c r="F83" s="66"/>
      <c r="G83" s="2" t="s">
        <v>230</v>
      </c>
      <c r="H83" s="55" t="n">
        <v>13.8</v>
      </c>
      <c r="I83" s="66"/>
      <c r="J83" s="25"/>
      <c r="K83" s="25"/>
      <c r="L83" s="25" t="s">
        <v>435</v>
      </c>
    </row>
    <row r="84" customFormat="false" ht="15" hidden="false" customHeight="false" outlineLevel="0" collapsed="false">
      <c r="B84" s="53" t="s">
        <v>445</v>
      </c>
      <c r="C84" s="54"/>
      <c r="D84" s="55" t="s">
        <v>445</v>
      </c>
      <c r="E84" s="58"/>
      <c r="F84" s="66"/>
      <c r="G84" s="2" t="s">
        <v>230</v>
      </c>
      <c r="H84" s="15" t="n">
        <v>18.1</v>
      </c>
      <c r="I84" s="66"/>
      <c r="J84" s="29"/>
      <c r="K84" s="65" t="s">
        <v>110</v>
      </c>
      <c r="L84" s="25" t="s">
        <v>221</v>
      </c>
    </row>
    <row r="85" customFormat="false" ht="15" hidden="false" customHeight="false" outlineLevel="0" collapsed="false">
      <c r="B85" s="53" t="s">
        <v>446</v>
      </c>
      <c r="C85" s="54"/>
      <c r="D85" s="55" t="s">
        <v>446</v>
      </c>
      <c r="E85" s="58"/>
      <c r="F85" s="66"/>
      <c r="G85" s="2" t="s">
        <v>230</v>
      </c>
      <c r="H85" s="15" t="n">
        <v>21.9</v>
      </c>
      <c r="I85" s="66"/>
      <c r="J85" s="29"/>
      <c r="K85" s="65" t="s">
        <v>110</v>
      </c>
      <c r="L85" s="25" t="s">
        <v>221</v>
      </c>
    </row>
    <row r="86" customFormat="false" ht="15" hidden="false" customHeight="false" outlineLevel="0" collapsed="false">
      <c r="B86" s="53" t="s">
        <v>447</v>
      </c>
      <c r="C86" s="54"/>
      <c r="D86" s="55" t="s">
        <v>447</v>
      </c>
      <c r="E86" s="58"/>
      <c r="F86" s="66"/>
      <c r="G86" s="2" t="s">
        <v>230</v>
      </c>
      <c r="H86" s="55" t="n">
        <v>4</v>
      </c>
      <c r="I86" s="66"/>
      <c r="J86" s="29"/>
      <c r="K86" s="65" t="s">
        <v>448</v>
      </c>
      <c r="L86" s="25" t="s">
        <v>449</v>
      </c>
    </row>
    <row r="87" customFormat="false" ht="15" hidden="false" customHeight="false" outlineLevel="0" collapsed="false">
      <c r="B87" s="53" t="s">
        <v>450</v>
      </c>
      <c r="C87" s="54"/>
      <c r="D87" s="55" t="s">
        <v>450</v>
      </c>
      <c r="E87" s="58"/>
      <c r="F87" s="66"/>
      <c r="G87" s="2" t="s">
        <v>230</v>
      </c>
      <c r="H87" s="15" t="n">
        <v>13.8</v>
      </c>
      <c r="I87" s="66"/>
      <c r="J87" s="25"/>
      <c r="K87" s="25"/>
      <c r="L87" s="25" t="s">
        <v>435</v>
      </c>
    </row>
    <row r="88" customFormat="false" ht="15" hidden="false" customHeight="false" outlineLevel="0" collapsed="false">
      <c r="B88" s="53" t="s">
        <v>451</v>
      </c>
      <c r="C88" s="54"/>
      <c r="D88" s="55" t="s">
        <v>451</v>
      </c>
      <c r="E88" s="58"/>
      <c r="F88" s="66"/>
      <c r="G88" s="2" t="s">
        <v>230</v>
      </c>
      <c r="H88" s="15" t="n">
        <v>13.8</v>
      </c>
      <c r="I88" s="66"/>
      <c r="J88" s="25"/>
      <c r="K88" s="25"/>
      <c r="L88" s="25" t="s">
        <v>435</v>
      </c>
    </row>
    <row r="89" customFormat="false" ht="15" hidden="false" customHeight="false" outlineLevel="0" collapsed="false">
      <c r="B89" s="53" t="s">
        <v>452</v>
      </c>
      <c r="C89" s="54"/>
      <c r="D89" s="55" t="s">
        <v>452</v>
      </c>
      <c r="E89" s="58"/>
      <c r="F89" s="66"/>
      <c r="G89" s="2" t="s">
        <v>230</v>
      </c>
      <c r="H89" s="55" t="n">
        <v>4</v>
      </c>
      <c r="I89" s="66"/>
      <c r="J89" s="29"/>
      <c r="K89" s="65"/>
      <c r="L89" s="25" t="s">
        <v>453</v>
      </c>
    </row>
    <row r="90" customFormat="false" ht="15" hidden="false" customHeight="false" outlineLevel="0" collapsed="false">
      <c r="B90" s="53" t="s">
        <v>454</v>
      </c>
      <c r="C90" s="54"/>
      <c r="D90" s="55" t="s">
        <v>454</v>
      </c>
      <c r="E90" s="58"/>
      <c r="F90" s="66"/>
      <c r="G90" s="2" t="s">
        <v>230</v>
      </c>
      <c r="H90" s="15" t="n">
        <v>9.1</v>
      </c>
      <c r="J90" s="29"/>
      <c r="K90" s="65" t="s">
        <v>110</v>
      </c>
      <c r="L90" s="25" t="s">
        <v>221</v>
      </c>
    </row>
    <row r="91" customFormat="false" ht="15" hidden="false" customHeight="false" outlineLevel="0" collapsed="false">
      <c r="B91" s="46"/>
      <c r="C91" s="3"/>
      <c r="D91" s="14"/>
      <c r="E91" s="10"/>
      <c r="F91" s="14"/>
      <c r="G91" s="14"/>
      <c r="I91" s="14"/>
      <c r="J91" s="25"/>
      <c r="K91" s="36"/>
      <c r="L91" s="25"/>
    </row>
    <row r="92" customFormat="false" ht="76.1" hidden="false" customHeight="true" outlineLevel="0" collapsed="false">
      <c r="B92" s="53" t="str">
        <f aca="false">VLOOKUP(D92,Lookup!$B$5:$C$78,2,FALSE())</f>
        <v>pa_dose_response_quantile</v>
      </c>
      <c r="C92" s="54" t="s">
        <v>455</v>
      </c>
      <c r="D92" s="55" t="s">
        <v>456</v>
      </c>
      <c r="E92" s="8" t="s">
        <v>457</v>
      </c>
      <c r="F92" s="2" t="s">
        <v>296</v>
      </c>
      <c r="G92" s="2" t="s">
        <v>371</v>
      </c>
      <c r="H92" s="2" t="s">
        <v>285</v>
      </c>
      <c r="I92" s="2" t="s">
        <v>297</v>
      </c>
      <c r="J92" s="25" t="s">
        <v>458</v>
      </c>
      <c r="K92" s="36"/>
      <c r="L92" s="25"/>
    </row>
    <row r="93" customFormat="false" ht="76.1" hidden="false" customHeight="false" outlineLevel="0" collapsed="false">
      <c r="B93" s="53" t="str">
        <f aca="false">VLOOKUP(D93,Lookup!$B$5:$C$78,2,FALSE())</f>
        <v>ap_dose_response_quantile</v>
      </c>
      <c r="C93" s="54"/>
      <c r="D93" s="55" t="s">
        <v>459</v>
      </c>
      <c r="E93" s="8" t="s">
        <v>457</v>
      </c>
      <c r="F93" s="2" t="s">
        <v>296</v>
      </c>
      <c r="G93" s="2" t="s">
        <v>371</v>
      </c>
      <c r="H93" s="2" t="s">
        <v>285</v>
      </c>
      <c r="I93" s="2" t="s">
        <v>297</v>
      </c>
      <c r="J93" s="25" t="s">
        <v>458</v>
      </c>
      <c r="K93" s="25"/>
      <c r="L93" s="25"/>
    </row>
    <row r="94" customFormat="false" ht="31.3" hidden="false" customHeight="false" outlineLevel="0" collapsed="false">
      <c r="B94" s="53" t="str">
        <f aca="false">VLOOKUP(D94,Lookup!$B$5:$C$78,2,FALSE())</f>
        <v>chronic_disease_scalar</v>
      </c>
      <c r="C94" s="54"/>
      <c r="D94" s="55" t="s">
        <v>460</v>
      </c>
      <c r="E94" s="8" t="s">
        <v>461</v>
      </c>
      <c r="F94" s="2" t="s">
        <v>235</v>
      </c>
      <c r="G94" s="2" t="s">
        <v>219</v>
      </c>
      <c r="H94" s="2" t="n">
        <v>1</v>
      </c>
      <c r="I94" s="2" t="s">
        <v>225</v>
      </c>
      <c r="J94" s="65" t="s">
        <v>462</v>
      </c>
      <c r="K94" s="25"/>
      <c r="L94" s="25"/>
    </row>
    <row r="95" customFormat="false" ht="15" hidden="false" customHeight="false" outlineLevel="0" collapsed="false">
      <c r="B95" s="53"/>
      <c r="C95" s="3"/>
      <c r="D95" s="14"/>
      <c r="E95" s="10"/>
      <c r="F95" s="14"/>
      <c r="G95" s="14"/>
      <c r="I95" s="14"/>
      <c r="J95" s="65"/>
      <c r="K95" s="25"/>
      <c r="L95" s="25"/>
    </row>
    <row r="96" customFormat="false" ht="46.25" hidden="false" customHeight="true" outlineLevel="0" collapsed="false">
      <c r="B96" s="53" t="str">
        <f aca="false">VLOOKUP(D96,Lookup!$B$5:$C$78,2,FALSE())</f>
        <v>injury_reporting_rate</v>
      </c>
      <c r="C96" s="54" t="s">
        <v>463</v>
      </c>
      <c r="D96" s="55" t="s">
        <v>464</v>
      </c>
      <c r="E96" s="8" t="s">
        <v>465</v>
      </c>
      <c r="F96" s="2" t="s">
        <v>235</v>
      </c>
      <c r="G96" s="2" t="s">
        <v>224</v>
      </c>
      <c r="H96" s="2" t="n">
        <v>1</v>
      </c>
      <c r="I96" s="2" t="s">
        <v>225</v>
      </c>
      <c r="J96" s="65" t="s">
        <v>466</v>
      </c>
      <c r="K96" s="25"/>
      <c r="L96" s="25"/>
    </row>
    <row r="97" customFormat="false" ht="135.8" hidden="false" customHeight="false" outlineLevel="0" collapsed="false">
      <c r="B97" s="53" t="str">
        <f aca="false">VLOOKUP(D97,Lookup!$B$5:$C$78,2,FALSE())</f>
        <v>sin_exponent_sum</v>
      </c>
      <c r="C97" s="54"/>
      <c r="D97" s="55" t="s">
        <v>467</v>
      </c>
      <c r="E97" s="8" t="s">
        <v>468</v>
      </c>
      <c r="F97" s="2" t="s">
        <v>296</v>
      </c>
      <c r="G97" s="2" t="s">
        <v>219</v>
      </c>
      <c r="H97" s="2" t="n">
        <v>2</v>
      </c>
      <c r="I97" s="2" t="s">
        <v>297</v>
      </c>
      <c r="J97" s="65" t="s">
        <v>469</v>
      </c>
      <c r="K97" s="65"/>
      <c r="L97" s="25"/>
    </row>
    <row r="98" customFormat="false" ht="76.1" hidden="false" customHeight="false" outlineLevel="0" collapsed="false">
      <c r="B98" s="53" t="str">
        <f aca="false">VLOOKUP(D98,Lookup!$B$5:$C$78,2,FALSE())</f>
        <v>casualty_exponent_fraction</v>
      </c>
      <c r="C98" s="54"/>
      <c r="D98" s="55" t="s">
        <v>470</v>
      </c>
      <c r="E98" s="8" t="s">
        <v>471</v>
      </c>
      <c r="F98" s="2" t="s">
        <v>296</v>
      </c>
      <c r="G98" s="2" t="s">
        <v>224</v>
      </c>
      <c r="H98" s="2" t="n">
        <v>0.5</v>
      </c>
      <c r="I98" s="2" t="s">
        <v>297</v>
      </c>
      <c r="J98" s="65" t="s">
        <v>472</v>
      </c>
      <c r="K98" s="25"/>
      <c r="L98" s="25"/>
    </row>
    <row r="99" customFormat="false" ht="48" hidden="false" customHeight="true" outlineLevel="0" collapsed="false">
      <c r="B99" s="53" t="str">
        <f aca="false">VLOOKUP(D99,Lookup!$B$5:$C$78,2,FALSE())</f>
        <v>sin_exponent_sum_nov</v>
      </c>
      <c r="C99" s="54"/>
      <c r="D99" s="55" t="s">
        <v>473</v>
      </c>
      <c r="E99" s="8" t="s">
        <v>474</v>
      </c>
      <c r="F99" s="2" t="s">
        <v>296</v>
      </c>
      <c r="G99" s="2" t="s">
        <v>219</v>
      </c>
      <c r="H99" s="2" t="n">
        <v>1</v>
      </c>
      <c r="I99" s="2" t="s">
        <v>297</v>
      </c>
      <c r="J99" s="65" t="s">
        <v>475</v>
      </c>
      <c r="K99" s="25"/>
      <c r="L99" s="25"/>
    </row>
    <row r="100" customFormat="false" ht="44.25" hidden="false" customHeight="true" outlineLevel="0" collapsed="false">
      <c r="B100" s="53" t="str">
        <f aca="false">VLOOKUP(D100,Lookup!$B$5:$C$78,2,FALSE())</f>
        <v>sin_exponent_sum_cycle</v>
      </c>
      <c r="C100" s="54"/>
      <c r="D100" s="55" t="s">
        <v>476</v>
      </c>
      <c r="E100" s="8" t="s">
        <v>477</v>
      </c>
      <c r="F100" s="2" t="s">
        <v>296</v>
      </c>
      <c r="G100" s="2" t="s">
        <v>219</v>
      </c>
      <c r="H100" s="2" t="n">
        <v>2</v>
      </c>
      <c r="I100" s="2" t="s">
        <v>297</v>
      </c>
      <c r="J100" s="65" t="s">
        <v>469</v>
      </c>
      <c r="K100" s="25"/>
      <c r="L100" s="25"/>
    </row>
    <row r="101" customFormat="false" ht="39" hidden="false" customHeight="true" outlineLevel="0" collapsed="false">
      <c r="B101" s="53" t="str">
        <f aca="false">VLOOKUP(D101,Lookup!$B$5:$C$78,2,FALSE())</f>
        <v>casualty_exponent_fraction_cycle</v>
      </c>
      <c r="C101" s="54"/>
      <c r="D101" s="55" t="s">
        <v>478</v>
      </c>
      <c r="E101" s="8" t="s">
        <v>479</v>
      </c>
      <c r="F101" s="2" t="s">
        <v>296</v>
      </c>
      <c r="G101" s="2" t="s">
        <v>224</v>
      </c>
      <c r="H101" s="2" t="n">
        <v>0.5</v>
      </c>
      <c r="I101" s="2" t="s">
        <v>297</v>
      </c>
      <c r="J101" s="65" t="s">
        <v>472</v>
      </c>
      <c r="K101" s="25"/>
      <c r="L101" s="25"/>
    </row>
    <row r="102" customFormat="false" ht="30" hidden="false" customHeight="true" outlineLevel="0" collapsed="false">
      <c r="B102" s="53" t="str">
        <f aca="false">VLOOKUP(D102,Lookup!$B$5:$C$78,2,FALSE())</f>
        <v>sin_exponent_sum_ped</v>
      </c>
      <c r="C102" s="54"/>
      <c r="D102" s="55" t="s">
        <v>480</v>
      </c>
      <c r="E102" s="8" t="s">
        <v>481</v>
      </c>
      <c r="F102" s="2" t="s">
        <v>296</v>
      </c>
      <c r="G102" s="2" t="s">
        <v>219</v>
      </c>
      <c r="H102" s="2" t="n">
        <v>2</v>
      </c>
      <c r="I102" s="2" t="s">
        <v>297</v>
      </c>
      <c r="J102" s="65" t="s">
        <v>469</v>
      </c>
      <c r="K102" s="25"/>
      <c r="L102" s="25"/>
    </row>
    <row r="103" customFormat="false" ht="39" hidden="false" customHeight="true" outlineLevel="0" collapsed="false">
      <c r="B103" s="53" t="str">
        <f aca="false">VLOOKUP(D103,Lookup!$B$5:$C$78,2,FALSE())</f>
        <v>casualty_exponent_fraction_ped</v>
      </c>
      <c r="C103" s="54"/>
      <c r="D103" s="55" t="s">
        <v>482</v>
      </c>
      <c r="E103" s="8" t="s">
        <v>483</v>
      </c>
      <c r="F103" s="2" t="s">
        <v>296</v>
      </c>
      <c r="G103" s="2" t="s">
        <v>224</v>
      </c>
      <c r="H103" s="2" t="n">
        <v>0.5</v>
      </c>
      <c r="I103" s="2" t="s">
        <v>297</v>
      </c>
      <c r="J103" s="65" t="s">
        <v>472</v>
      </c>
      <c r="K103" s="25"/>
      <c r="L103" s="25"/>
    </row>
    <row r="104" customFormat="false" ht="32.25" hidden="false" customHeight="true" outlineLevel="0" collapsed="false">
      <c r="B104" s="53" t="str">
        <f aca="false">VLOOKUP(D104,Lookup!$B$5:$C$78,2,FALSE())</f>
        <v>sin_exponent_sum_veh</v>
      </c>
      <c r="C104" s="54"/>
      <c r="D104" s="55" t="s">
        <v>484</v>
      </c>
      <c r="E104" s="8" t="s">
        <v>485</v>
      </c>
      <c r="F104" s="2" t="s">
        <v>296</v>
      </c>
      <c r="G104" s="2" t="s">
        <v>219</v>
      </c>
      <c r="H104" s="2" t="n">
        <v>2</v>
      </c>
      <c r="I104" s="2" t="s">
        <v>297</v>
      </c>
      <c r="J104" s="65" t="s">
        <v>469</v>
      </c>
      <c r="K104" s="25"/>
      <c r="L104" s="25"/>
    </row>
    <row r="105" customFormat="false" ht="30.75" hidden="false" customHeight="true" outlineLevel="0" collapsed="false">
      <c r="B105" s="53" t="str">
        <f aca="false">VLOOKUP(D105,Lookup!$B$5:$C$78,2,FALSE())</f>
        <v>casualty_exponent_fraction_veh</v>
      </c>
      <c r="C105" s="54"/>
      <c r="D105" s="55" t="s">
        <v>486</v>
      </c>
      <c r="E105" s="8" t="s">
        <v>487</v>
      </c>
      <c r="F105" s="2" t="s">
        <v>296</v>
      </c>
      <c r="G105" s="2" t="s">
        <v>224</v>
      </c>
      <c r="H105" s="2" t="n">
        <v>0.5</v>
      </c>
      <c r="I105" s="2" t="s">
        <v>297</v>
      </c>
      <c r="J105" s="65" t="s">
        <v>472</v>
      </c>
      <c r="K105" s="25"/>
      <c r="L105" s="25"/>
    </row>
    <row r="106" customFormat="false" ht="30.75" hidden="false" customHeight="true" outlineLevel="0" collapsed="false">
      <c r="B106" s="53" t="str">
        <f aca="false">VLOOKUP(D106,Lookup!$B$5:$C$78,2,FALSE())</f>
        <v>call_individual_sin</v>
      </c>
      <c r="C106" s="54"/>
      <c r="D106" s="55" t="s">
        <v>488</v>
      </c>
      <c r="E106" s="8" t="s">
        <v>489</v>
      </c>
      <c r="F106" s="2" t="s">
        <v>296</v>
      </c>
      <c r="G106" s="2" t="s">
        <v>371</v>
      </c>
      <c r="H106" s="2" t="s">
        <v>285</v>
      </c>
      <c r="I106" s="2" t="s">
        <v>297</v>
      </c>
      <c r="J106" s="25" t="s">
        <v>490</v>
      </c>
      <c r="K106" s="25"/>
      <c r="L106" s="25"/>
    </row>
    <row r="107" customFormat="false" ht="15" hidden="false" customHeight="false" outlineLevel="0" collapsed="false">
      <c r="C107" s="3"/>
      <c r="D107" s="14"/>
      <c r="E107" s="10"/>
      <c r="F107" s="14"/>
      <c r="G107" s="14"/>
      <c r="I107" s="14"/>
      <c r="J107" s="25"/>
      <c r="K107" s="25"/>
      <c r="L107" s="25"/>
    </row>
    <row r="108" customFormat="false" ht="66" hidden="false" customHeight="true" outlineLevel="0" collapsed="false">
      <c r="B108" s="53" t="str">
        <f aca="false">VLOOKUP(D108,Lookup!$B$5:$C$78,2,FALSE())</f>
        <v>scenario_name</v>
      </c>
      <c r="C108" s="54" t="s">
        <v>491</v>
      </c>
      <c r="D108" s="55" t="s">
        <v>492</v>
      </c>
      <c r="E108" s="8" t="s">
        <v>493</v>
      </c>
      <c r="F108" s="2" t="s">
        <v>494</v>
      </c>
      <c r="G108" s="2" t="s">
        <v>371</v>
      </c>
      <c r="H108" s="2" t="s">
        <v>495</v>
      </c>
      <c r="I108" s="2" t="s">
        <v>297</v>
      </c>
      <c r="J108" s="25" t="s">
        <v>496</v>
      </c>
      <c r="K108" s="25"/>
      <c r="L108" s="25"/>
    </row>
    <row r="109" customFormat="false" ht="210.4" hidden="false" customHeight="false" outlineLevel="0" collapsed="false">
      <c r="B109" s="53" t="str">
        <f aca="false">VLOOKUP(D109,Lookup!$B$5:$C$78,2,FALSE())</f>
        <v>reference_scenario</v>
      </c>
      <c r="C109" s="54"/>
      <c r="D109" s="55" t="s">
        <v>497</v>
      </c>
      <c r="E109" s="8" t="s">
        <v>498</v>
      </c>
      <c r="F109" s="2" t="s">
        <v>499</v>
      </c>
      <c r="G109" s="2" t="s">
        <v>500</v>
      </c>
      <c r="H109" s="2" t="s">
        <v>501</v>
      </c>
      <c r="I109" s="2" t="s">
        <v>297</v>
      </c>
      <c r="J109" s="25" t="s">
        <v>502</v>
      </c>
      <c r="K109" s="25"/>
      <c r="L109" s="25"/>
    </row>
    <row r="110" customFormat="false" ht="15" hidden="false" customHeight="false" outlineLevel="0" collapsed="false">
      <c r="C110" s="3"/>
      <c r="D110" s="14"/>
      <c r="E110" s="10"/>
      <c r="F110" s="14"/>
      <c r="G110" s="14"/>
      <c r="I110" s="14"/>
      <c r="J110" s="25"/>
      <c r="K110" s="25"/>
      <c r="L110" s="25"/>
    </row>
    <row r="111" customFormat="false" ht="30" hidden="false" customHeight="true" outlineLevel="0" collapsed="false">
      <c r="B111" s="53" t="str">
        <f aca="false">VLOOKUP(D111,Lookup!$B$5:$C$78,2,FALSE())</f>
        <v>country</v>
      </c>
      <c r="C111" s="54" t="s">
        <v>503</v>
      </c>
      <c r="D111" s="55" t="s">
        <v>504</v>
      </c>
      <c r="E111" s="8" t="s">
        <v>505</v>
      </c>
      <c r="F111" s="2" t="s">
        <v>506</v>
      </c>
      <c r="G111" s="2" t="s">
        <v>500</v>
      </c>
      <c r="H111" s="2" t="s">
        <v>507</v>
      </c>
      <c r="I111" s="2" t="s">
        <v>508</v>
      </c>
      <c r="J111" s="25" t="s">
        <v>509</v>
      </c>
      <c r="K111" s="25"/>
      <c r="L111" s="25"/>
    </row>
    <row r="112" customFormat="false" ht="16.4" hidden="false" customHeight="false" outlineLevel="0" collapsed="false">
      <c r="B112" s="53" t="str">
        <f aca="false">VLOOKUP(D112,Lookup!$B$5:$C$78,2,FALSE())</f>
        <v>continent</v>
      </c>
      <c r="C112" s="54"/>
      <c r="D112" s="55" t="s">
        <v>510</v>
      </c>
      <c r="E112" s="8" t="s">
        <v>92</v>
      </c>
      <c r="F112" s="2" t="s">
        <v>506</v>
      </c>
      <c r="G112" s="2" t="s">
        <v>500</v>
      </c>
      <c r="H112" s="15" t="s">
        <v>93</v>
      </c>
      <c r="I112" s="2" t="s">
        <v>508</v>
      </c>
      <c r="J112" s="25" t="s">
        <v>509</v>
      </c>
      <c r="K112" s="25"/>
      <c r="L112" s="25"/>
    </row>
    <row r="113" customFormat="false" ht="46.25" hidden="false" customHeight="false" outlineLevel="0" collapsed="false">
      <c r="B113" s="53" t="str">
        <f aca="false">VLOOKUP(D113,Lookup!$B$5:$C$78,2,FALSE())</f>
        <v>dist_cat</v>
      </c>
      <c r="C113" s="54"/>
      <c r="D113" s="55" t="s">
        <v>511</v>
      </c>
      <c r="E113" s="8" t="s">
        <v>512</v>
      </c>
      <c r="F113" s="2" t="s">
        <v>296</v>
      </c>
      <c r="G113" s="2" t="s">
        <v>513</v>
      </c>
      <c r="H113" s="55" t="s">
        <v>514</v>
      </c>
      <c r="I113" s="2" t="s">
        <v>297</v>
      </c>
      <c r="J113" s="25" t="s">
        <v>515</v>
      </c>
      <c r="K113" s="25"/>
      <c r="L113" s="25"/>
    </row>
    <row r="114" customFormat="false" ht="31.3" hidden="false" customHeight="false" outlineLevel="0" collapsed="false">
      <c r="B114" s="53" t="str">
        <f aca="false">VLOOKUP(D114,Lookup!$B$5:$C$78,2,FALSE())</f>
        <v>age_range</v>
      </c>
      <c r="C114" s="54"/>
      <c r="D114" s="55" t="s">
        <v>516</v>
      </c>
      <c r="E114" s="8" t="s">
        <v>517</v>
      </c>
      <c r="F114" s="2" t="s">
        <v>296</v>
      </c>
      <c r="G114" s="2" t="s">
        <v>513</v>
      </c>
      <c r="H114" s="2" t="s">
        <v>518</v>
      </c>
      <c r="I114" s="2" t="s">
        <v>297</v>
      </c>
      <c r="J114" s="25" t="s">
        <v>519</v>
      </c>
      <c r="K114" s="25"/>
      <c r="L114" s="25"/>
    </row>
    <row r="115" customFormat="false" ht="15" hidden="false" customHeight="false" outlineLevel="0" collapsed="false">
      <c r="C115" s="55"/>
      <c r="D115" s="55"/>
      <c r="F115" s="55"/>
    </row>
    <row r="116" customFormat="false" ht="15" hidden="false" customHeight="false" outlineLevel="0" collapsed="false">
      <c r="C116" s="55"/>
    </row>
  </sheetData>
  <mergeCells count="14">
    <mergeCell ref="C5:C27"/>
    <mergeCell ref="E8:E16"/>
    <mergeCell ref="F8:F16"/>
    <mergeCell ref="E18:E26"/>
    <mergeCell ref="F18:F26"/>
    <mergeCell ref="C29:C40"/>
    <mergeCell ref="C42:C90"/>
    <mergeCell ref="E71:E90"/>
    <mergeCell ref="F71:F90"/>
    <mergeCell ref="I71:I89"/>
    <mergeCell ref="C92:C94"/>
    <mergeCell ref="C96:C106"/>
    <mergeCell ref="C108:C109"/>
    <mergeCell ref="C111:C114"/>
  </mergeCells>
  <hyperlinks>
    <hyperlink ref="J5" r:id="rId1" display="https://www.who.int/publications/m/item/who-air-quality-database-2022 "/>
    <hyperlink ref="J8" r:id="rId2" display="https://edgar.jrc.ec.europa.eu/, obtained values based on private correspondence"/>
    <hyperlink ref="J9" r:id="rId3" display="https://edgar.jrc.ec.europa.eu/, obtained values based on private correspondence"/>
    <hyperlink ref="J10" r:id="rId4" display="https://edgar.jrc.ec.europa.eu/, obtained values based on private correspondence"/>
    <hyperlink ref="J11" r:id="rId5" display="https://edgar.jrc.ec.europa.eu/, obtained values based on private correspondence"/>
    <hyperlink ref="J12" r:id="rId6" display="https://edgar.jrc.ec.europa.eu/, obtained values based on private correspondence"/>
    <hyperlink ref="J13" r:id="rId7" display="https://edgar.jrc.ec.europa.eu/, obtained values based on private correspondence"/>
    <hyperlink ref="J14" r:id="rId8" display="https://edgar.jrc.ec.europa.eu/, obtained values based on private correspondence"/>
    <hyperlink ref="J15" r:id="rId9" display="https://edgar.jrc.ec.europa.eu/, obtained values based on private correspondence"/>
    <hyperlink ref="J16" r:id="rId10" display="https://edgar.jrc.ec.europa.eu/, obtained values based on private correspondence"/>
    <hyperlink ref="J18" r:id="rId11" display="https://edgar.jrc.ec.europa.eu/, obtained values based on private correspondence"/>
    <hyperlink ref="J19" r:id="rId12" display="https://edgar.jrc.ec.europa.eu/, obtained values based on private correspondence"/>
    <hyperlink ref="J20" r:id="rId13" display="https://edgar.jrc.ec.europa.eu/, obtained values based on private correspondence"/>
    <hyperlink ref="J21" r:id="rId14" display="https://edgar.jrc.ec.europa.eu/, obtained values based on private correspondence"/>
    <hyperlink ref="J22" r:id="rId15" display="https://edgar.jrc.ec.europa.eu/, obtained values based on private correspondence"/>
    <hyperlink ref="J23" r:id="rId16" display="https://edgar.jrc.ec.europa.eu/, obtained values based on private correspondence"/>
    <hyperlink ref="J24" r:id="rId17" display="https://edgar.jrc.ec.europa.eu/, obtained values based on private correspondence"/>
    <hyperlink ref="J25" r:id="rId18" display="https://edgar.jrc.ec.europa.eu/, obtained values based on private correspondence"/>
    <hyperlink ref="J26" r:id="rId19" display="https://edgar.jrc.ec.europa.eu/, obtained values based on private correspondence"/>
    <hyperlink ref="J46" r:id="rId20" display="https://www.autofact.com.co/blog/mi-carro/actividades/carpooling-colombia "/>
    <hyperlink ref="J60" r:id="rId21" display="https://scioteca.caf.com/bitstream/handle/123456789/754/CAF%20LIBRO%20motos%20digital.pdf?sequence=1&amp;isAllowed=y "/>
    <hyperlink ref="J61" r:id="rId22" display="www.despacio.org/hacemos "/>
    <hyperlink ref="J62" r:id="rId23" display="https://www.transmilenio.gov.co/publicaciones/146291/si-hay-empleo-para-ser-operadores-de-transmilenio/"/>
    <hyperlink ref="J63" r:id="rId24" display="https://www.transmilenio.gov.co/publicaciones/146291/si-hay-empleo-para-ser-operadores-de-transmilenio/"/>
    <hyperlink ref="J67" r:id="rId25" display="https://scioteca.caf.com/bitstream/handle/123456789/754/CAF%20LIBRO%20motos%20digital.pdf?sequence=1&amp;isAllowed=y "/>
    <hyperlink ref="J68" r:id="rId26" display="https://scioteca.caf.com/bitstream/handle/123456789/754/CAF%20LIBRO%20motos%20digital.pdf?sequence=1&amp;isAllowed=y "/>
    <hyperlink ref="J69" r:id="rId27" display="https://scioteca.caf.com/bitstream/handle/123456789/754/CAF%20LIBRO%20motos%20digital.pdf?sequence=1&amp;isAllowed=y "/>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34" activeCellId="0" sqref="M34"/>
    </sheetView>
  </sheetViews>
  <sheetFormatPr defaultColWidth="8.59765625" defaultRowHeight="15" zeroHeight="false" outlineLevelRow="0" outlineLevelCol="0"/>
  <sheetData>
    <row r="4" customFormat="false" ht="15" hidden="false" customHeight="false" outlineLevel="0" collapsed="false">
      <c r="B4" s="14" t="s">
        <v>520</v>
      </c>
    </row>
    <row r="7" customFormat="false" ht="16.4" hidden="false" customHeight="false" outlineLevel="0" collapsed="false">
      <c r="B7" s="2" t="s">
        <v>521</v>
      </c>
      <c r="L7" s="50" t="s">
        <v>522</v>
      </c>
    </row>
    <row r="11" customFormat="false" ht="15" hidden="false" customHeight="false" outlineLevel="0" collapsed="false">
      <c r="B11" s="14" t="s">
        <v>297</v>
      </c>
    </row>
    <row r="13" customFormat="false" ht="15" hidden="false" customHeight="false" outlineLevel="0" collapsed="false">
      <c r="B13" s="2" t="s">
        <v>523</v>
      </c>
      <c r="E13" s="2" t="s">
        <v>524</v>
      </c>
      <c r="K13" s="2" t="s">
        <v>525</v>
      </c>
    </row>
    <row r="16" customFormat="false" ht="15" hidden="false" customHeight="false" outlineLevel="0" collapsed="false">
      <c r="B16" s="14" t="s">
        <v>526</v>
      </c>
    </row>
    <row r="18" customFormat="false" ht="15" hidden="false" customHeight="false" outlineLevel="0" collapsed="false">
      <c r="B18" s="2" t="s">
        <v>527</v>
      </c>
      <c r="E18" s="2" t="s">
        <v>528</v>
      </c>
      <c r="K18" s="2" t="s">
        <v>529</v>
      </c>
    </row>
    <row r="20" customFormat="false" ht="15" hidden="false" customHeight="false" outlineLevel="0" collapsed="false">
      <c r="B20" s="2" t="s">
        <v>530</v>
      </c>
      <c r="E20" s="2" t="s">
        <v>531</v>
      </c>
    </row>
    <row r="22" customFormat="false" ht="15" hidden="false" customHeight="false" outlineLevel="0" collapsed="false">
      <c r="B22" s="2" t="s">
        <v>532</v>
      </c>
      <c r="E22" s="2" t="s">
        <v>533</v>
      </c>
    </row>
    <row r="24" customFormat="false" ht="15" hidden="false" customHeight="false" outlineLevel="0" collapsed="false">
      <c r="B24" s="2" t="s">
        <v>534</v>
      </c>
      <c r="E24" s="2" t="s">
        <v>535</v>
      </c>
    </row>
    <row r="26" customFormat="false" ht="15" hidden="false" customHeight="false" outlineLevel="0" collapsed="false">
      <c r="B26" s="2" t="s">
        <v>536</v>
      </c>
      <c r="E26" s="2" t="s">
        <v>537</v>
      </c>
    </row>
  </sheetData>
  <hyperlinks>
    <hyperlink ref="L7" r:id="rId1" display="Methods and Processes – Dropbo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0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59" activeCellId="0" sqref="L59"/>
    </sheetView>
  </sheetViews>
  <sheetFormatPr defaultColWidth="8.59765625" defaultRowHeight="15" zeroHeight="false" outlineLevelRow="0" outlineLevelCol="0"/>
  <cols>
    <col collapsed="false" customWidth="true" hidden="false" outlineLevel="0" max="4" min="4" style="2" width="22.14"/>
    <col collapsed="false" customWidth="true" hidden="false" outlineLevel="0" max="5" min="5" style="2" width="19.43"/>
    <col collapsed="false" customWidth="true" hidden="false" outlineLevel="0" max="6" min="6" style="2" width="4.43"/>
    <col collapsed="false" customWidth="true" hidden="false" outlineLevel="0" max="7" min="7" style="2" width="17.43"/>
    <col collapsed="false" customWidth="true" hidden="false" outlineLevel="0" max="8" min="8" style="2" width="16.43"/>
  </cols>
  <sheetData>
    <row r="2" customFormat="false" ht="15" hidden="false" customHeight="false" outlineLevel="0" collapsed="false">
      <c r="B2" s="2" t="s">
        <v>538</v>
      </c>
    </row>
    <row r="3" customFormat="false" ht="15" hidden="false" customHeight="false" outlineLevel="0" collapsed="false">
      <c r="B3" s="2" t="s">
        <v>539</v>
      </c>
    </row>
    <row r="4" customFormat="false" ht="15" hidden="false" customHeight="false" outlineLevel="0" collapsed="false">
      <c r="B4" s="2" t="s">
        <v>540</v>
      </c>
    </row>
    <row r="5" customFormat="false" ht="15" hidden="false" customHeight="false" outlineLevel="0" collapsed="false">
      <c r="E5" s="14"/>
      <c r="F5" s="14"/>
    </row>
    <row r="6" customFormat="false" ht="15" hidden="false" customHeight="false" outlineLevel="0" collapsed="false">
      <c r="C6" s="14" t="s">
        <v>541</v>
      </c>
      <c r="D6" s="14" t="s">
        <v>102</v>
      </c>
      <c r="E6" s="14" t="s">
        <v>508</v>
      </c>
      <c r="F6" s="14" t="s">
        <v>542</v>
      </c>
      <c r="G6" s="14" t="s">
        <v>543</v>
      </c>
    </row>
    <row r="7" customFormat="false" ht="15" hidden="false" customHeight="false" outlineLevel="0" collapsed="false">
      <c r="C7" s="21" t="str">
        <f aca="false">D7&amp;"_"&amp;E7</f>
        <v>PM_emission_inventories_bogota</v>
      </c>
      <c r="D7" s="52" t="s">
        <v>79</v>
      </c>
      <c r="E7" s="52" t="s">
        <v>65</v>
      </c>
      <c r="F7" s="52" t="n">
        <f aca="false">MATCH(C7,All_city_list!$D:$D,0)</f>
        <v>16</v>
      </c>
      <c r="G7" s="27" t="str">
        <f aca="false">"All_city_list!L"&amp;$F7</f>
        <v>All_city_list!L16</v>
      </c>
      <c r="H7" s="27" t="str">
        <f aca="false">"All_city_list!M"&amp;$F7</f>
        <v>All_city_list!M16</v>
      </c>
      <c r="I7" s="27" t="str">
        <f aca="false">"All_city_list!N"&amp;$F7</f>
        <v>All_city_list!N16</v>
      </c>
    </row>
    <row r="8" customFormat="false" ht="15" hidden="false" customHeight="false" outlineLevel="0" collapsed="false">
      <c r="C8" s="21" t="str">
        <f aca="false">D8&amp;"_"&amp;E8</f>
        <v>PM_emission_inventories_city2</v>
      </c>
      <c r="D8" s="2" t="s">
        <v>79</v>
      </c>
      <c r="E8" s="2" t="s">
        <v>544</v>
      </c>
      <c r="G8" s="2" t="str">
        <f aca="false">G7</f>
        <v>All_city_list!L16</v>
      </c>
      <c r="H8" s="2" t="str">
        <f aca="false">H7</f>
        <v>All_city_list!M16</v>
      </c>
      <c r="I8" s="2" t="str">
        <f aca="false">I7</f>
        <v>All_city_list!N16</v>
      </c>
    </row>
    <row r="9" customFormat="false" ht="15" hidden="false" customHeight="false" outlineLevel="0" collapsed="false">
      <c r="C9" s="21" t="str">
        <f aca="false">D9&amp;"_"&amp;E9</f>
        <v>chronic_disease_scalar_bogota</v>
      </c>
      <c r="D9" s="52" t="s">
        <v>545</v>
      </c>
      <c r="E9" s="52" t="s">
        <v>65</v>
      </c>
      <c r="F9" s="52" t="e">
        <f aca="false">MATCH(C9,All_city_list!$D:$D,0)</f>
        <v>#N/A</v>
      </c>
      <c r="G9" s="27" t="e">
        <f aca="false">"All_city_list!L"&amp;F9</f>
        <v>#N/A</v>
      </c>
      <c r="H9" s="27" t="e">
        <f aca="false">"All_city_list!M"&amp;$F9</f>
        <v>#N/A</v>
      </c>
      <c r="I9" s="27" t="e">
        <f aca="false">"All_city_list!N"&amp;$F9</f>
        <v>#N/A</v>
      </c>
    </row>
    <row r="10" customFormat="false" ht="15" hidden="false" customHeight="false" outlineLevel="0" collapsed="false">
      <c r="C10" s="21" t="str">
        <f aca="false">D10&amp;"_"&amp;E10</f>
        <v>chronic_disease_scalar_city2</v>
      </c>
      <c r="D10" s="2" t="s">
        <v>545</v>
      </c>
      <c r="E10" s="2" t="s">
        <v>544</v>
      </c>
      <c r="G10" s="2" t="e">
        <f aca="false">G9</f>
        <v>#N/A</v>
      </c>
      <c r="H10" s="2" t="e">
        <f aca="false">H9</f>
        <v>#N/A</v>
      </c>
      <c r="I10" s="2" t="e">
        <f aca="false">I9</f>
        <v>#N/A</v>
      </c>
    </row>
    <row r="11" customFormat="false" ht="15" hidden="false" customHeight="false" outlineLevel="0" collapsed="false">
      <c r="C11" s="21" t="str">
        <f aca="false">D11&amp;"_"&amp;E11</f>
        <v>pm_conc_base_bogota</v>
      </c>
      <c r="D11" s="52" t="s">
        <v>82</v>
      </c>
      <c r="E11" s="52" t="s">
        <v>65</v>
      </c>
      <c r="F11" s="52" t="n">
        <f aca="false">MATCH(C11,All_city_list!$D:$D,0)</f>
        <v>25</v>
      </c>
      <c r="G11" s="27" t="str">
        <f aca="false">"All_city_list!L"&amp;F11</f>
        <v>All_city_list!L25</v>
      </c>
      <c r="H11" s="27" t="str">
        <f aca="false">"All_city_list!M"&amp;$F11</f>
        <v>All_city_list!M25</v>
      </c>
      <c r="I11" s="27" t="str">
        <f aca="false">"All_city_list!N"&amp;$F11</f>
        <v>All_city_list!N25</v>
      </c>
    </row>
    <row r="12" customFormat="false" ht="15" hidden="false" customHeight="false" outlineLevel="0" collapsed="false">
      <c r="C12" s="21" t="str">
        <f aca="false">D12&amp;"_"&amp;E12</f>
        <v>pm_conc_base_city2</v>
      </c>
      <c r="D12" s="2" t="s">
        <v>82</v>
      </c>
      <c r="E12" s="2" t="s">
        <v>544</v>
      </c>
      <c r="G12" s="2" t="str">
        <f aca="false">G11</f>
        <v>All_city_list!L25</v>
      </c>
      <c r="H12" s="2" t="str">
        <f aca="false">H11</f>
        <v>All_city_list!M25</v>
      </c>
      <c r="I12" s="2" t="str">
        <f aca="false">I11</f>
        <v>All_city_list!N25</v>
      </c>
    </row>
    <row r="13" customFormat="false" ht="15" hidden="false" customHeight="false" outlineLevel="0" collapsed="false">
      <c r="C13" s="21" t="str">
        <f aca="false">D13&amp;"_"&amp;E13</f>
        <v>pm_trans_share_bogota</v>
      </c>
      <c r="D13" s="52" t="s">
        <v>86</v>
      </c>
      <c r="E13" s="52" t="s">
        <v>65</v>
      </c>
      <c r="F13" s="52" t="n">
        <f aca="false">MATCH(C13,All_city_list!$D:$D,0)</f>
        <v>28</v>
      </c>
      <c r="G13" s="27" t="str">
        <f aca="false">"All_city_list!L"&amp;F13</f>
        <v>All_city_list!L28</v>
      </c>
      <c r="H13" s="27" t="str">
        <f aca="false">"All_city_list!M"&amp;$F13</f>
        <v>All_city_list!M28</v>
      </c>
      <c r="I13" s="27" t="str">
        <f aca="false">"All_city_list!N"&amp;$F13</f>
        <v>All_city_list!N28</v>
      </c>
    </row>
    <row r="14" customFormat="false" ht="15" hidden="false" customHeight="false" outlineLevel="0" collapsed="false">
      <c r="C14" s="21" t="str">
        <f aca="false">D14&amp;"_"&amp;E14</f>
        <v>pm_trans_share_city2</v>
      </c>
      <c r="D14" s="2" t="s">
        <v>86</v>
      </c>
      <c r="E14" s="2" t="s">
        <v>544</v>
      </c>
      <c r="G14" s="2" t="str">
        <f aca="false">G13</f>
        <v>All_city_list!L28</v>
      </c>
      <c r="H14" s="2" t="str">
        <f aca="false">H13</f>
        <v>All_city_list!M28</v>
      </c>
      <c r="I14" s="2" t="str">
        <f aca="false">I13</f>
        <v>All_city_list!N28</v>
      </c>
    </row>
    <row r="15" customFormat="false" ht="15" hidden="false" customHeight="false" outlineLevel="0" collapsed="false">
      <c r="C15" s="21" t="str">
        <f aca="false">D15&amp;"_"&amp;E15</f>
        <v>background_pa_scalar_bogota</v>
      </c>
      <c r="D15" s="52" t="s">
        <v>546</v>
      </c>
      <c r="E15" s="52" t="s">
        <v>65</v>
      </c>
      <c r="F15" s="52" t="e">
        <f aca="false">MATCH(C15,All_city_list!$D:$D,0)</f>
        <v>#N/A</v>
      </c>
      <c r="G15" s="27" t="e">
        <f aca="false">"All_city_list!L"&amp;F15</f>
        <v>#N/A</v>
      </c>
      <c r="H15" s="27" t="e">
        <f aca="false">"All_city_list!M"&amp;$F15</f>
        <v>#N/A</v>
      </c>
      <c r="I15" s="27" t="e">
        <f aca="false">"All_city_list!N"&amp;$F15</f>
        <v>#N/A</v>
      </c>
    </row>
    <row r="16" customFormat="false" ht="15" hidden="false" customHeight="false" outlineLevel="0" collapsed="false">
      <c r="C16" s="21" t="str">
        <f aca="false">D16&amp;"_"&amp;E16</f>
        <v>background_pa_scalar_city2</v>
      </c>
      <c r="D16" s="2" t="s">
        <v>546</v>
      </c>
      <c r="E16" s="2" t="s">
        <v>544</v>
      </c>
      <c r="G16" s="2" t="e">
        <f aca="false">G15</f>
        <v>#N/A</v>
      </c>
      <c r="H16" s="2" t="e">
        <f aca="false">H15</f>
        <v>#N/A</v>
      </c>
      <c r="I16" s="2" t="e">
        <f aca="false">I15</f>
        <v>#N/A</v>
      </c>
    </row>
    <row r="17" customFormat="false" ht="15" hidden="false" customHeight="false" outlineLevel="0" collapsed="false">
      <c r="C17" s="21" t="str">
        <f aca="false">D17&amp;"_"&amp;E17</f>
        <v>bus_to_passenger_ratio_bogota</v>
      </c>
      <c r="D17" s="52" t="s">
        <v>547</v>
      </c>
      <c r="E17" s="52" t="s">
        <v>65</v>
      </c>
      <c r="F17" s="52" t="e">
        <f aca="false">MATCH(C17,All_city_list!$D:$D,0)</f>
        <v>#N/A</v>
      </c>
      <c r="G17" s="27" t="e">
        <f aca="false">"All_city_list!L"&amp;F17</f>
        <v>#N/A</v>
      </c>
      <c r="H17" s="27" t="e">
        <f aca="false">"All_city_list!M"&amp;$F17</f>
        <v>#N/A</v>
      </c>
      <c r="I17" s="27" t="e">
        <f aca="false">"All_city_list!N"&amp;$F17</f>
        <v>#N/A</v>
      </c>
    </row>
    <row r="18" customFormat="false" ht="15" hidden="false" customHeight="false" outlineLevel="0" collapsed="false">
      <c r="C18" s="21" t="str">
        <f aca="false">D18&amp;"_"&amp;E18</f>
        <v>bus_to_passenger_ratio_city2</v>
      </c>
      <c r="D18" s="2" t="s">
        <v>547</v>
      </c>
      <c r="E18" s="2" t="s">
        <v>544</v>
      </c>
      <c r="G18" s="2" t="e">
        <f aca="false">G17</f>
        <v>#N/A</v>
      </c>
      <c r="H18" s="2" t="e">
        <f aca="false">H17</f>
        <v>#N/A</v>
      </c>
      <c r="I18" s="2" t="e">
        <f aca="false">I17</f>
        <v>#N/A</v>
      </c>
    </row>
    <row r="19" customFormat="false" ht="15" hidden="false" customHeight="false" outlineLevel="0" collapsed="false">
      <c r="C19" s="21" t="str">
        <f aca="false">D19&amp;"_"&amp;E19</f>
        <v>truck_to_car_ratio_bogota</v>
      </c>
      <c r="D19" s="52" t="s">
        <v>548</v>
      </c>
      <c r="E19" s="52" t="s">
        <v>65</v>
      </c>
      <c r="F19" s="52" t="e">
        <f aca="false">MATCH(C19,All_city_list!$D:$D,0)</f>
        <v>#N/A</v>
      </c>
      <c r="G19" s="27" t="e">
        <f aca="false">"All_city_list!L"&amp;F19</f>
        <v>#N/A</v>
      </c>
      <c r="H19" s="27" t="e">
        <f aca="false">"All_city_list!M"&amp;$F19</f>
        <v>#N/A</v>
      </c>
      <c r="I19" s="27" t="e">
        <f aca="false">"All_city_list!N"&amp;$F19</f>
        <v>#N/A</v>
      </c>
    </row>
    <row r="20" customFormat="false" ht="15" hidden="false" customHeight="false" outlineLevel="0" collapsed="false">
      <c r="C20" s="21" t="str">
        <f aca="false">D20&amp;"_"&amp;E20</f>
        <v>truck_to_car_ratio_city2</v>
      </c>
      <c r="D20" s="2" t="s">
        <v>548</v>
      </c>
      <c r="E20" s="2" t="s">
        <v>544</v>
      </c>
      <c r="G20" s="2" t="e">
        <f aca="false">G19</f>
        <v>#N/A</v>
      </c>
      <c r="H20" s="2" t="e">
        <f aca="false">H19</f>
        <v>#N/A</v>
      </c>
      <c r="I20" s="2" t="e">
        <f aca="false">I19</f>
        <v>#N/A</v>
      </c>
    </row>
    <row r="21" customFormat="false" ht="15" hidden="false" customHeight="false" outlineLevel="0" collapsed="false">
      <c r="C21" s="21" t="str">
        <f aca="false">D21&amp;"_"&amp;E21</f>
        <v>distance_scalar_car_taxi_bogota</v>
      </c>
      <c r="D21" s="52" t="s">
        <v>549</v>
      </c>
      <c r="E21" s="52" t="s">
        <v>65</v>
      </c>
      <c r="F21" s="52" t="e">
        <f aca="false">MATCH(C21,All_city_list!$D:$D,0)</f>
        <v>#N/A</v>
      </c>
      <c r="G21" s="27" t="e">
        <f aca="false">"All_city_list!L"&amp;F21</f>
        <v>#N/A</v>
      </c>
      <c r="H21" s="27" t="e">
        <f aca="false">"All_city_list!M"&amp;$F21</f>
        <v>#N/A</v>
      </c>
      <c r="I21" s="27" t="e">
        <f aca="false">"All_city_list!N"&amp;$F21</f>
        <v>#N/A</v>
      </c>
    </row>
    <row r="22" customFormat="false" ht="15" hidden="false" customHeight="false" outlineLevel="0" collapsed="false">
      <c r="C22" s="21" t="str">
        <f aca="false">D22&amp;"_"&amp;E22</f>
        <v>distance_scalar_car_taxi_city2</v>
      </c>
      <c r="D22" s="2" t="s">
        <v>549</v>
      </c>
      <c r="E22" s="2" t="s">
        <v>544</v>
      </c>
      <c r="G22" s="2" t="e">
        <f aca="false">G21</f>
        <v>#N/A</v>
      </c>
      <c r="H22" s="2" t="e">
        <f aca="false">H21</f>
        <v>#N/A</v>
      </c>
      <c r="I22" s="2" t="e">
        <f aca="false">I21</f>
        <v>#N/A</v>
      </c>
    </row>
    <row r="23" customFormat="false" ht="15" hidden="false" customHeight="false" outlineLevel="0" collapsed="false">
      <c r="C23" s="21" t="str">
        <f aca="false">D23&amp;"_"&amp;E23</f>
        <v>distance_scalar_motorcycle_bogota</v>
      </c>
      <c r="D23" s="52" t="s">
        <v>550</v>
      </c>
      <c r="E23" s="52" t="s">
        <v>65</v>
      </c>
      <c r="F23" s="52" t="e">
        <f aca="false">MATCH(C23,All_city_list!$D:$D,0)</f>
        <v>#N/A</v>
      </c>
      <c r="G23" s="27" t="e">
        <f aca="false">"All_city_list!L"&amp;F23</f>
        <v>#N/A</v>
      </c>
      <c r="H23" s="27" t="e">
        <f aca="false">"All_city_list!M"&amp;$F23</f>
        <v>#N/A</v>
      </c>
      <c r="I23" s="27" t="e">
        <f aca="false">"All_city_list!N"&amp;$F23</f>
        <v>#N/A</v>
      </c>
    </row>
    <row r="24" customFormat="false" ht="15" hidden="false" customHeight="false" outlineLevel="0" collapsed="false">
      <c r="C24" s="21" t="str">
        <f aca="false">D24&amp;"_"&amp;E24</f>
        <v>distance_scalar_motorcycle_city2</v>
      </c>
      <c r="D24" s="2" t="s">
        <v>550</v>
      </c>
      <c r="E24" s="2" t="s">
        <v>544</v>
      </c>
      <c r="G24" s="2" t="e">
        <f aca="false">G23</f>
        <v>#N/A</v>
      </c>
      <c r="H24" s="2" t="e">
        <f aca="false">H23</f>
        <v>#N/A</v>
      </c>
      <c r="I24" s="2" t="e">
        <f aca="false">I23</f>
        <v>#N/A</v>
      </c>
    </row>
    <row r="25" customFormat="false" ht="15" hidden="false" customHeight="false" outlineLevel="0" collapsed="false">
      <c r="C25" s="21" t="str">
        <f aca="false">D25&amp;"_"&amp;E25</f>
        <v>distance_scalar_pt_bogota</v>
      </c>
      <c r="D25" s="52" t="s">
        <v>551</v>
      </c>
      <c r="E25" s="52" t="s">
        <v>65</v>
      </c>
      <c r="F25" s="52" t="e">
        <f aca="false">MATCH(C25,All_city_list!$D:$D,0)</f>
        <v>#N/A</v>
      </c>
      <c r="G25" s="27" t="e">
        <f aca="false">"All_city_list!L"&amp;F25</f>
        <v>#N/A</v>
      </c>
      <c r="H25" s="27" t="e">
        <f aca="false">"All_city_list!M"&amp;$F25</f>
        <v>#N/A</v>
      </c>
      <c r="I25" s="27" t="e">
        <f aca="false">"All_city_list!N"&amp;$F25</f>
        <v>#N/A</v>
      </c>
    </row>
    <row r="26" customFormat="false" ht="15" hidden="false" customHeight="false" outlineLevel="0" collapsed="false">
      <c r="C26" s="21" t="str">
        <f aca="false">D26&amp;"_"&amp;E26</f>
        <v>distance_scalar_pt_city2</v>
      </c>
      <c r="D26" s="2" t="s">
        <v>551</v>
      </c>
      <c r="E26" s="2" t="s">
        <v>544</v>
      </c>
      <c r="G26" s="2" t="e">
        <f aca="false">G25</f>
        <v>#N/A</v>
      </c>
      <c r="H26" s="2" t="e">
        <f aca="false">H25</f>
        <v>#N/A</v>
      </c>
      <c r="I26" s="2" t="e">
        <f aca="false">I25</f>
        <v>#N/A</v>
      </c>
    </row>
    <row r="27" customFormat="false" ht="15" hidden="false" customHeight="false" outlineLevel="0" collapsed="false">
      <c r="C27" s="21" t="str">
        <f aca="false">D27&amp;"_"&amp;E27</f>
        <v>distance_scalar_walking_bogota</v>
      </c>
      <c r="D27" s="52" t="s">
        <v>552</v>
      </c>
      <c r="E27" s="52" t="s">
        <v>65</v>
      </c>
      <c r="F27" s="52" t="e">
        <f aca="false">MATCH(C27,All_city_list!$D:$D,0)</f>
        <v>#N/A</v>
      </c>
      <c r="G27" s="27" t="e">
        <f aca="false">"All_city_list!L"&amp;F27</f>
        <v>#N/A</v>
      </c>
      <c r="H27" s="27" t="e">
        <f aca="false">"All_city_list!M"&amp;$F27</f>
        <v>#N/A</v>
      </c>
      <c r="I27" s="27" t="e">
        <f aca="false">"All_city_list!N"&amp;$F27</f>
        <v>#N/A</v>
      </c>
    </row>
    <row r="28" customFormat="false" ht="15" hidden="false" customHeight="false" outlineLevel="0" collapsed="false">
      <c r="C28" s="21" t="str">
        <f aca="false">D28&amp;"_"&amp;E28</f>
        <v>distance_scalar_walking_city2</v>
      </c>
      <c r="D28" s="2" t="s">
        <v>552</v>
      </c>
      <c r="E28" s="2" t="s">
        <v>544</v>
      </c>
      <c r="G28" s="2" t="e">
        <f aca="false">G27</f>
        <v>#N/A</v>
      </c>
      <c r="H28" s="2" t="e">
        <f aca="false">H27</f>
        <v>#N/A</v>
      </c>
      <c r="I28" s="2" t="e">
        <f aca="false">I27</f>
        <v>#N/A</v>
      </c>
    </row>
    <row r="29" customFormat="false" ht="15" hidden="false" customHeight="false" outlineLevel="0" collapsed="false">
      <c r="C29" s="21" t="str">
        <f aca="false">D29&amp;"_"&amp;E29</f>
        <v>distance_scalar_cycling_bogota</v>
      </c>
      <c r="D29" s="52" t="s">
        <v>553</v>
      </c>
      <c r="E29" s="52" t="s">
        <v>65</v>
      </c>
      <c r="F29" s="52" t="e">
        <f aca="false">MATCH(C29,All_city_list!$D:$D,0)</f>
        <v>#N/A</v>
      </c>
      <c r="G29" s="27" t="e">
        <f aca="false">"All_city_list!L"&amp;F29</f>
        <v>#N/A</v>
      </c>
      <c r="H29" s="27" t="e">
        <f aca="false">"All_city_list!M"&amp;$F29</f>
        <v>#N/A</v>
      </c>
      <c r="I29" s="27" t="e">
        <f aca="false">"All_city_list!N"&amp;$F29</f>
        <v>#N/A</v>
      </c>
    </row>
    <row r="30" customFormat="false" ht="15" hidden="false" customHeight="false" outlineLevel="0" collapsed="false">
      <c r="C30" s="21" t="str">
        <f aca="false">D30&amp;"_"&amp;E30</f>
        <v>distance_scalar_cycling_city2</v>
      </c>
      <c r="D30" s="2" t="s">
        <v>553</v>
      </c>
      <c r="E30" s="2" t="s">
        <v>544</v>
      </c>
      <c r="G30" s="2" t="e">
        <f aca="false">G29</f>
        <v>#N/A</v>
      </c>
      <c r="H30" s="2" t="e">
        <f aca="false">H29</f>
        <v>#N/A</v>
      </c>
      <c r="I30" s="2" t="e">
        <f aca="false">I29</f>
        <v>#N/A</v>
      </c>
    </row>
    <row r="31" customFormat="false" ht="15" hidden="false" customHeight="false" outlineLevel="0" collapsed="false">
      <c r="C31" s="21" t="str">
        <f aca="false">D31&amp;"_"&amp;E31</f>
        <v>injury_reporting_rate_bogota</v>
      </c>
      <c r="D31" s="52" t="s">
        <v>554</v>
      </c>
      <c r="E31" s="52" t="s">
        <v>65</v>
      </c>
      <c r="F31" s="52" t="e">
        <f aca="false">MATCH(C31,All_city_list!$D:$D,0)</f>
        <v>#N/A</v>
      </c>
      <c r="G31" s="27" t="e">
        <f aca="false">"All_city_list!L"&amp;F31</f>
        <v>#N/A</v>
      </c>
      <c r="H31" s="27" t="e">
        <f aca="false">"All_city_list!M"&amp;$F31</f>
        <v>#N/A</v>
      </c>
      <c r="I31" s="27" t="e">
        <f aca="false">"All_city_list!N"&amp;$F31</f>
        <v>#N/A</v>
      </c>
    </row>
    <row r="32" customFormat="false" ht="15" hidden="false" customHeight="false" outlineLevel="0" collapsed="false">
      <c r="C32" s="21" t="str">
        <f aca="false">D32&amp;"_"&amp;E32</f>
        <v>injury_reporting_rate_city2</v>
      </c>
      <c r="D32" s="2" t="s">
        <v>554</v>
      </c>
      <c r="E32" s="2" t="s">
        <v>544</v>
      </c>
      <c r="G32" s="2" t="e">
        <f aca="false">G31</f>
        <v>#N/A</v>
      </c>
      <c r="H32" s="2" t="e">
        <f aca="false">H31</f>
        <v>#N/A</v>
      </c>
      <c r="I32" s="2" t="e">
        <f aca="false">I31</f>
        <v>#N/A</v>
      </c>
    </row>
    <row r="33" customFormat="false" ht="15" hidden="false" customHeight="false" outlineLevel="0" collapsed="false">
      <c r="C33" s="21" t="str">
        <f aca="false">D33&amp;"_"&amp;E33</f>
        <v>car_occupancy_ratio_bogota</v>
      </c>
      <c r="D33" s="52" t="s">
        <v>345</v>
      </c>
      <c r="E33" s="52" t="s">
        <v>65</v>
      </c>
      <c r="F33" s="52" t="e">
        <f aca="false">MATCH(C33,All_city_list!$D:$D,0)</f>
        <v>#N/A</v>
      </c>
      <c r="G33" s="27" t="e">
        <f aca="false">"All_city_list!L"&amp;F33</f>
        <v>#N/A</v>
      </c>
      <c r="H33" s="27" t="e">
        <f aca="false">"All_city_list!M"&amp;$F33</f>
        <v>#N/A</v>
      </c>
      <c r="I33" s="27" t="e">
        <f aca="false">"All_city_list!N"&amp;$F33</f>
        <v>#N/A</v>
      </c>
    </row>
    <row r="34" customFormat="false" ht="15" hidden="false" customHeight="false" outlineLevel="0" collapsed="false">
      <c r="C34" s="21" t="str">
        <f aca="false">D34&amp;"_"&amp;E34</f>
        <v>car_occupancy_ratio_city2</v>
      </c>
      <c r="D34" s="2" t="s">
        <v>345</v>
      </c>
      <c r="E34" s="2" t="s">
        <v>544</v>
      </c>
      <c r="G34" s="2" t="e">
        <f aca="false">G33</f>
        <v>#N/A</v>
      </c>
      <c r="H34" s="2" t="e">
        <f aca="false">H33</f>
        <v>#N/A</v>
      </c>
      <c r="I34" s="2" t="e">
        <f aca="false">I33</f>
        <v>#N/A</v>
      </c>
    </row>
    <row r="35" customFormat="false" ht="15" hidden="false" customHeight="false" outlineLevel="0" collapsed="false">
      <c r="C35" s="21" t="str">
        <f aca="false">D35&amp;"_"&amp;E35</f>
        <v>bus_walk_time_bogota</v>
      </c>
      <c r="D35" s="52" t="s">
        <v>555</v>
      </c>
      <c r="E35" s="52" t="s">
        <v>65</v>
      </c>
      <c r="F35" s="52" t="e">
        <f aca="false">MATCH(C35,All_city_list!$D:$D,0)</f>
        <v>#N/A</v>
      </c>
      <c r="G35" s="27" t="e">
        <f aca="false">"All_city_list!L"&amp;F35</f>
        <v>#N/A</v>
      </c>
      <c r="H35" s="27" t="e">
        <f aca="false">"All_city_list!M"&amp;$F35</f>
        <v>#N/A</v>
      </c>
      <c r="I35" s="27" t="e">
        <f aca="false">"All_city_list!N"&amp;$F35</f>
        <v>#N/A</v>
      </c>
    </row>
    <row r="36" customFormat="false" ht="15" hidden="false" customHeight="false" outlineLevel="0" collapsed="false">
      <c r="C36" s="21" t="str">
        <f aca="false">D36&amp;"_"&amp;E36</f>
        <v>bus_walk_time_city2</v>
      </c>
      <c r="D36" s="2" t="s">
        <v>555</v>
      </c>
      <c r="E36" s="2" t="s">
        <v>544</v>
      </c>
      <c r="G36" s="2" t="e">
        <f aca="false">G35</f>
        <v>#N/A</v>
      </c>
      <c r="H36" s="2" t="e">
        <f aca="false">H35</f>
        <v>#N/A</v>
      </c>
      <c r="I36" s="2" t="e">
        <f aca="false">I35</f>
        <v>#N/A</v>
      </c>
    </row>
    <row r="37" customFormat="false" ht="15" hidden="false" customHeight="false" outlineLevel="0" collapsed="false">
      <c r="C37" s="21" t="str">
        <f aca="false">D37&amp;"_"&amp;E37</f>
        <v>rail_walk_time_bogota</v>
      </c>
      <c r="D37" s="52" t="s">
        <v>556</v>
      </c>
      <c r="E37" s="52" t="s">
        <v>65</v>
      </c>
      <c r="F37" s="52" t="e">
        <f aca="false">MATCH(C37,All_city_list!$D:$D,0)</f>
        <v>#N/A</v>
      </c>
      <c r="G37" s="27" t="e">
        <f aca="false">"All_city_list!L"&amp;F37</f>
        <v>#N/A</v>
      </c>
      <c r="H37" s="27" t="e">
        <f aca="false">"All_city_list!M"&amp;$F37</f>
        <v>#N/A</v>
      </c>
      <c r="I37" s="27" t="e">
        <f aca="false">"All_city_list!N"&amp;$F37</f>
        <v>#N/A</v>
      </c>
    </row>
    <row r="38" customFormat="false" ht="15" hidden="false" customHeight="false" outlineLevel="0" collapsed="false">
      <c r="C38" s="21" t="str">
        <f aca="false">D38&amp;"_"&amp;E38</f>
        <v>rail_walk_time_city2</v>
      </c>
      <c r="D38" s="2" t="s">
        <v>556</v>
      </c>
      <c r="E38" s="2" t="s">
        <v>544</v>
      </c>
      <c r="G38" s="2" t="e">
        <f aca="false">G37</f>
        <v>#N/A</v>
      </c>
      <c r="H38" s="2" t="e">
        <f aca="false">H37</f>
        <v>#N/A</v>
      </c>
      <c r="I38" s="2" t="e">
        <f aca="false">I37</f>
        <v>#N/A</v>
      </c>
    </row>
    <row r="39" customFormat="false" ht="15" hidden="false" customHeight="false" outlineLevel="0" collapsed="false">
      <c r="C39" s="21" t="str">
        <f aca="false">D39&amp;"_"&amp;E39</f>
        <v>add_motorcycle_fleet_bogota</v>
      </c>
      <c r="D39" s="52" t="s">
        <v>557</v>
      </c>
      <c r="E39" s="52" t="s">
        <v>65</v>
      </c>
      <c r="F39" s="52" t="e">
        <f aca="false">MATCH(C39,All_city_list!$D:$D,0)</f>
        <v>#N/A</v>
      </c>
      <c r="G39" s="27" t="e">
        <f aca="false">"All_city_list!L"&amp;F39</f>
        <v>#N/A</v>
      </c>
      <c r="H39" s="27" t="e">
        <f aca="false">"All_city_list!M"&amp;$F39</f>
        <v>#N/A</v>
      </c>
      <c r="I39" s="27" t="e">
        <f aca="false">"All_city_list!N"&amp;$F39</f>
        <v>#N/A</v>
      </c>
    </row>
    <row r="40" customFormat="false" ht="15" hidden="false" customHeight="false" outlineLevel="0" collapsed="false">
      <c r="C40" s="21" t="str">
        <f aca="false">D40&amp;"_"&amp;E40</f>
        <v>add_motorcycle_fleet_city2</v>
      </c>
      <c r="D40" s="2" t="s">
        <v>557</v>
      </c>
      <c r="E40" s="2" t="s">
        <v>544</v>
      </c>
      <c r="G40" s="2" t="e">
        <f aca="false">G39</f>
        <v>#N/A</v>
      </c>
      <c r="H40" s="2" t="e">
        <f aca="false">H39</f>
        <v>#N/A</v>
      </c>
      <c r="I40" s="2" t="e">
        <f aca="false">I39</f>
        <v>#N/A</v>
      </c>
    </row>
    <row r="41" customFormat="false" ht="15" hidden="false" customHeight="false" outlineLevel="0" collapsed="false">
      <c r="C41" s="21" t="str">
        <f aca="false">D41&amp;"_"&amp;E41</f>
        <v>fleet_to_motorcycle_ratio_bogota</v>
      </c>
      <c r="D41" s="52" t="s">
        <v>558</v>
      </c>
      <c r="E41" s="52" t="s">
        <v>65</v>
      </c>
      <c r="F41" s="52" t="e">
        <f aca="false">MATCH(C41,All_city_list!$D:$D,0)</f>
        <v>#N/A</v>
      </c>
      <c r="G41" s="27" t="e">
        <f aca="false">"All_city_list!L"&amp;F41</f>
        <v>#N/A</v>
      </c>
      <c r="H41" s="27" t="e">
        <f aca="false">"All_city_list!M"&amp;$F41</f>
        <v>#N/A</v>
      </c>
      <c r="I41" s="27" t="e">
        <f aca="false">"All_city_list!N"&amp;$F41</f>
        <v>#N/A</v>
      </c>
    </row>
    <row r="42" customFormat="false" ht="15" hidden="false" customHeight="false" outlineLevel="0" collapsed="false">
      <c r="C42" s="21" t="str">
        <f aca="false">D42&amp;"_"&amp;E42</f>
        <v>fleet_to_motorcycle_ratio_city2</v>
      </c>
      <c r="D42" s="2" t="s">
        <v>558</v>
      </c>
      <c r="E42" s="2" t="s">
        <v>544</v>
      </c>
      <c r="G42" s="2" t="e">
        <f aca="false">G41</f>
        <v>#N/A</v>
      </c>
      <c r="H42" s="2" t="e">
        <f aca="false">H41</f>
        <v>#N/A</v>
      </c>
      <c r="I42" s="2" t="e">
        <f aca="false">I41</f>
        <v>#N/A</v>
      </c>
    </row>
    <row r="43" customFormat="false" ht="15" hidden="false" customHeight="false" outlineLevel="0" collapsed="false">
      <c r="C43" s="21" t="str">
        <f aca="false">D43&amp;"_"&amp;E43</f>
        <v>add_personal_motorcycle_trips_bogota</v>
      </c>
      <c r="D43" s="52" t="s">
        <v>559</v>
      </c>
      <c r="E43" s="52" t="s">
        <v>65</v>
      </c>
      <c r="F43" s="52" t="e">
        <f aca="false">MATCH(C43,All_city_list!$D:$D,0)</f>
        <v>#N/A</v>
      </c>
      <c r="G43" s="27" t="e">
        <f aca="false">"All_city_list!L"&amp;F43</f>
        <v>#N/A</v>
      </c>
      <c r="H43" s="27" t="e">
        <f aca="false">"All_city_list!M"&amp;$F43</f>
        <v>#N/A</v>
      </c>
      <c r="I43" s="27" t="e">
        <f aca="false">"All_city_list!N"&amp;$F43</f>
        <v>#N/A</v>
      </c>
    </row>
    <row r="44" customFormat="false" ht="15" hidden="false" customHeight="false" outlineLevel="0" collapsed="false">
      <c r="C44" s="21" t="str">
        <f aca="false">D44&amp;"_"&amp;E44</f>
        <v>add_personal_motorcycle_trips_city2</v>
      </c>
      <c r="D44" s="2" t="s">
        <v>559</v>
      </c>
      <c r="E44" s="2" t="s">
        <v>544</v>
      </c>
      <c r="G44" s="2" t="e">
        <f aca="false">G43</f>
        <v>#N/A</v>
      </c>
      <c r="H44" s="2" t="e">
        <f aca="false">H43</f>
        <v>#N/A</v>
      </c>
      <c r="I44" s="2" t="e">
        <f aca="false">I43</f>
        <v>#N/A</v>
      </c>
    </row>
    <row r="45" customFormat="false" ht="15" hidden="false" customHeight="false" outlineLevel="0" collapsed="false">
      <c r="C45" s="21" t="str">
        <f aca="false">D45&amp;"_"&amp;E45</f>
        <v>proportion_motorcycle_trips_bogota</v>
      </c>
      <c r="D45" s="52" t="s">
        <v>560</v>
      </c>
      <c r="E45" s="52" t="s">
        <v>65</v>
      </c>
      <c r="F45" s="52" t="e">
        <f aca="false">MATCH(C45,All_city_list!$D:$D,0)</f>
        <v>#N/A</v>
      </c>
      <c r="G45" s="27" t="e">
        <f aca="false">"All_city_list!L"&amp;F45</f>
        <v>#N/A</v>
      </c>
      <c r="H45" s="27" t="e">
        <f aca="false">"All_city_list!M"&amp;$F45</f>
        <v>#N/A</v>
      </c>
      <c r="I45" s="27" t="e">
        <f aca="false">"All_city_list!N"&amp;$F45</f>
        <v>#N/A</v>
      </c>
    </row>
    <row r="46" customFormat="false" ht="15" hidden="false" customHeight="false" outlineLevel="0" collapsed="false">
      <c r="C46" s="21" t="str">
        <f aca="false">D46&amp;"_"&amp;E46</f>
        <v>proportion_motorcycle_trips_city2</v>
      </c>
      <c r="D46" s="2" t="s">
        <v>560</v>
      </c>
      <c r="E46" s="2" t="s">
        <v>544</v>
      </c>
      <c r="G46" s="2" t="e">
        <f aca="false">G45</f>
        <v>#N/A</v>
      </c>
      <c r="H46" s="2" t="e">
        <f aca="false">H45</f>
        <v>#N/A</v>
      </c>
      <c r="I46" s="2" t="e">
        <f aca="false">I45</f>
        <v>#N/A</v>
      </c>
    </row>
    <row r="47" customFormat="false" ht="15" hidden="false" customHeight="false" outlineLevel="0" collapsed="false">
      <c r="C47" s="21" t="str">
        <f aca="false">D47&amp;"_"&amp;E47</f>
        <v>speeds_bogota</v>
      </c>
      <c r="D47" s="52" t="s">
        <v>66</v>
      </c>
      <c r="E47" s="52" t="s">
        <v>65</v>
      </c>
      <c r="F47" s="52" t="n">
        <f aca="false">MATCH(C47,All_city_list!$D:$D,0)</f>
        <v>4</v>
      </c>
      <c r="G47" s="27" t="str">
        <f aca="false">"All_city_list!L"&amp;F47</f>
        <v>All_city_list!L4</v>
      </c>
      <c r="H47" s="27" t="str">
        <f aca="false">"All_city_list!M"&amp;$F47</f>
        <v>All_city_list!M4</v>
      </c>
      <c r="I47" s="27" t="str">
        <f aca="false">"All_city_list!N"&amp;$F47</f>
        <v>All_city_list!N4</v>
      </c>
    </row>
    <row r="48" customFormat="false" ht="15" hidden="false" customHeight="false" outlineLevel="0" collapsed="false">
      <c r="C48" s="21" t="str">
        <f aca="false">D48&amp;"_"&amp;E48</f>
        <v>speeds_city2</v>
      </c>
      <c r="D48" s="2" t="s">
        <v>66</v>
      </c>
      <c r="E48" s="2" t="s">
        <v>544</v>
      </c>
      <c r="G48" s="2" t="str">
        <f aca="false">G47</f>
        <v>All_city_list!L4</v>
      </c>
      <c r="H48" s="2" t="str">
        <f aca="false">H47</f>
        <v>All_city_list!M4</v>
      </c>
      <c r="I48" s="2" t="str">
        <f aca="false">I47</f>
        <v>All_city_list!N4</v>
      </c>
    </row>
    <row r="49" customFormat="false" ht="15" hidden="false" customHeight="false" outlineLevel="0" collapsed="false">
      <c r="C49" s="21" t="str">
        <f aca="false">D49&amp;"_"&amp;E49</f>
        <v>bus_driver_prop_male_bogota</v>
      </c>
      <c r="D49" s="52" t="s">
        <v>386</v>
      </c>
      <c r="E49" s="52" t="s">
        <v>65</v>
      </c>
      <c r="F49" s="52" t="e">
        <f aca="false">MATCH(C49,All_city_list!$D:$D,0)</f>
        <v>#N/A</v>
      </c>
      <c r="G49" s="27" t="e">
        <f aca="false">"All_city_list!L"&amp;F49</f>
        <v>#N/A</v>
      </c>
      <c r="H49" s="27" t="e">
        <f aca="false">"All_city_list!M"&amp;$F49</f>
        <v>#N/A</v>
      </c>
      <c r="I49" s="27" t="e">
        <f aca="false">"All_city_list!N"&amp;$F49</f>
        <v>#N/A</v>
      </c>
    </row>
    <row r="50" customFormat="false" ht="15" hidden="false" customHeight="false" outlineLevel="0" collapsed="false">
      <c r="C50" s="21" t="str">
        <f aca="false">D50&amp;"_"&amp;E50</f>
        <v>bus_driver_prop_male_city2</v>
      </c>
      <c r="D50" s="2" t="s">
        <v>386</v>
      </c>
      <c r="E50" s="2" t="s">
        <v>544</v>
      </c>
      <c r="G50" s="2" t="e">
        <f aca="false">G49</f>
        <v>#N/A</v>
      </c>
      <c r="H50" s="2" t="e">
        <f aca="false">H49</f>
        <v>#N/A</v>
      </c>
      <c r="I50" s="2" t="e">
        <f aca="false">I49</f>
        <v>#N/A</v>
      </c>
    </row>
    <row r="51" customFormat="false" ht="15" hidden="false" customHeight="false" outlineLevel="0" collapsed="false">
      <c r="C51" s="21" t="str">
        <f aca="false">D51&amp;"_"&amp;E51</f>
        <v>bus_driver_male_agerange_bogota</v>
      </c>
      <c r="D51" s="52" t="s">
        <v>391</v>
      </c>
      <c r="E51" s="52" t="s">
        <v>65</v>
      </c>
      <c r="F51" s="52" t="e">
        <f aca="false">MATCH(C51,All_city_list!$D:$D,0)</f>
        <v>#N/A</v>
      </c>
      <c r="G51" s="27" t="e">
        <f aca="false">"All_city_list!L"&amp;F51</f>
        <v>#N/A</v>
      </c>
      <c r="H51" s="27" t="e">
        <f aca="false">"All_city_list!M"&amp;$F51</f>
        <v>#N/A</v>
      </c>
      <c r="I51" s="27" t="e">
        <f aca="false">"All_city_list!N"&amp;$F51</f>
        <v>#N/A</v>
      </c>
    </row>
    <row r="52" customFormat="false" ht="15" hidden="false" customHeight="false" outlineLevel="0" collapsed="false">
      <c r="C52" s="21" t="str">
        <f aca="false">D52&amp;"_"&amp;E52</f>
        <v>bus_driver_male_agerange_city2</v>
      </c>
      <c r="D52" s="2" t="s">
        <v>391</v>
      </c>
      <c r="E52" s="2" t="s">
        <v>544</v>
      </c>
      <c r="G52" s="2" t="e">
        <f aca="false">G51</f>
        <v>#N/A</v>
      </c>
      <c r="H52" s="2" t="e">
        <f aca="false">H51</f>
        <v>#N/A</v>
      </c>
      <c r="I52" s="2" t="e">
        <f aca="false">I51</f>
        <v>#N/A</v>
      </c>
    </row>
    <row r="53" customFormat="false" ht="15" hidden="false" customHeight="false" outlineLevel="0" collapsed="false">
      <c r="C53" s="21" t="str">
        <f aca="false">D53&amp;"_"&amp;E53</f>
        <v>bus_driver_female_agerange_bogota</v>
      </c>
      <c r="D53" s="52" t="s">
        <v>397</v>
      </c>
      <c r="E53" s="52" t="s">
        <v>65</v>
      </c>
      <c r="F53" s="52" t="e">
        <f aca="false">MATCH(C53,All_city_list!$D:$D,0)</f>
        <v>#N/A</v>
      </c>
      <c r="G53" s="27" t="e">
        <f aca="false">"All_city_list!L"&amp;F53</f>
        <v>#N/A</v>
      </c>
      <c r="H53" s="27" t="e">
        <f aca="false">"All_city_list!M"&amp;$F53</f>
        <v>#N/A</v>
      </c>
      <c r="I53" s="27" t="e">
        <f aca="false">"All_city_list!N"&amp;$F53</f>
        <v>#N/A</v>
      </c>
    </row>
    <row r="54" customFormat="false" ht="15" hidden="false" customHeight="false" outlineLevel="0" collapsed="false">
      <c r="C54" s="21" t="str">
        <f aca="false">D54&amp;"_"&amp;E54</f>
        <v>bus_driver_female_agerange_city2</v>
      </c>
      <c r="D54" s="2" t="s">
        <v>397</v>
      </c>
      <c r="E54" s="2" t="s">
        <v>544</v>
      </c>
      <c r="G54" s="2" t="e">
        <f aca="false">G53</f>
        <v>#N/A</v>
      </c>
      <c r="H54" s="2" t="e">
        <f aca="false">H53</f>
        <v>#N/A</v>
      </c>
      <c r="I54" s="2" t="e">
        <f aca="false">I53</f>
        <v>#N/A</v>
      </c>
    </row>
    <row r="55" customFormat="false" ht="15" hidden="false" customHeight="false" outlineLevel="0" collapsed="false">
      <c r="C55" s="21" t="str">
        <f aca="false">D55&amp;"_"&amp;E55</f>
        <v>truck_driver_prop_male_bogota</v>
      </c>
      <c r="D55" s="52" t="s">
        <v>400</v>
      </c>
      <c r="E55" s="52" t="s">
        <v>65</v>
      </c>
      <c r="F55" s="52" t="e">
        <f aca="false">MATCH(C55,All_city_list!$D:$D,0)</f>
        <v>#N/A</v>
      </c>
      <c r="G55" s="27" t="e">
        <f aca="false">"All_city_list!L"&amp;F55</f>
        <v>#N/A</v>
      </c>
      <c r="H55" s="27" t="e">
        <f aca="false">"All_city_list!M"&amp;$F55</f>
        <v>#N/A</v>
      </c>
      <c r="I55" s="27" t="e">
        <f aca="false">"All_city_list!N"&amp;$F55</f>
        <v>#N/A</v>
      </c>
    </row>
    <row r="56" customFormat="false" ht="15" hidden="false" customHeight="false" outlineLevel="0" collapsed="false">
      <c r="C56" s="21" t="str">
        <f aca="false">D56&amp;"_"&amp;E56</f>
        <v>truck_driver_prop_male_city2</v>
      </c>
      <c r="D56" s="2" t="s">
        <v>400</v>
      </c>
      <c r="E56" s="2" t="s">
        <v>544</v>
      </c>
      <c r="G56" s="2" t="e">
        <f aca="false">G55</f>
        <v>#N/A</v>
      </c>
      <c r="H56" s="2" t="e">
        <f aca="false">H55</f>
        <v>#N/A</v>
      </c>
      <c r="I56" s="2" t="e">
        <f aca="false">I55</f>
        <v>#N/A</v>
      </c>
    </row>
    <row r="57" customFormat="false" ht="15" hidden="false" customHeight="false" outlineLevel="0" collapsed="false">
      <c r="C57" s="21" t="str">
        <f aca="false">D57&amp;"_"&amp;E57</f>
        <v>truck_driver_male_agerange_bogota</v>
      </c>
      <c r="D57" s="52" t="s">
        <v>404</v>
      </c>
      <c r="E57" s="52" t="s">
        <v>65</v>
      </c>
      <c r="F57" s="52" t="e">
        <f aca="false">MATCH(C57,All_city_list!$D:$D,0)</f>
        <v>#N/A</v>
      </c>
      <c r="G57" s="27" t="e">
        <f aca="false">"All_city_list!L"&amp;F57</f>
        <v>#N/A</v>
      </c>
      <c r="H57" s="27" t="e">
        <f aca="false">"All_city_list!M"&amp;$F57</f>
        <v>#N/A</v>
      </c>
      <c r="I57" s="27" t="e">
        <f aca="false">"All_city_list!N"&amp;$F57</f>
        <v>#N/A</v>
      </c>
    </row>
    <row r="58" customFormat="false" ht="15" hidden="false" customHeight="false" outlineLevel="0" collapsed="false">
      <c r="C58" s="21" t="str">
        <f aca="false">D58&amp;"_"&amp;E58</f>
        <v>truck_driver_male_agerange_city2</v>
      </c>
      <c r="D58" s="2" t="s">
        <v>404</v>
      </c>
      <c r="E58" s="2" t="s">
        <v>544</v>
      </c>
      <c r="G58" s="2" t="e">
        <f aca="false">G57</f>
        <v>#N/A</v>
      </c>
      <c r="H58" s="2" t="e">
        <f aca="false">H57</f>
        <v>#N/A</v>
      </c>
      <c r="I58" s="2" t="e">
        <f aca="false">I57</f>
        <v>#N/A</v>
      </c>
    </row>
    <row r="59" customFormat="false" ht="15" hidden="false" customHeight="false" outlineLevel="0" collapsed="false">
      <c r="C59" s="21" t="str">
        <f aca="false">D59&amp;"_"&amp;E59</f>
        <v>truck_driver_female_agerange_bogota</v>
      </c>
      <c r="D59" s="52" t="s">
        <v>409</v>
      </c>
      <c r="E59" s="52" t="s">
        <v>65</v>
      </c>
      <c r="F59" s="52" t="e">
        <f aca="false">MATCH(C59,All_city_list!$D:$D,0)</f>
        <v>#N/A</v>
      </c>
      <c r="G59" s="27" t="e">
        <f aca="false">"All_city_list!L"&amp;F59</f>
        <v>#N/A</v>
      </c>
      <c r="H59" s="27" t="e">
        <f aca="false">"All_city_list!M"&amp;$F59</f>
        <v>#N/A</v>
      </c>
      <c r="I59" s="27" t="e">
        <f aca="false">"All_city_list!N"&amp;$F59</f>
        <v>#N/A</v>
      </c>
    </row>
    <row r="60" customFormat="false" ht="15" hidden="false" customHeight="false" outlineLevel="0" collapsed="false">
      <c r="C60" s="21" t="str">
        <f aca="false">D60&amp;"_"&amp;E60</f>
        <v>truck_driver_female_agerange_city2</v>
      </c>
      <c r="D60" s="2" t="s">
        <v>409</v>
      </c>
      <c r="E60" s="2" t="s">
        <v>544</v>
      </c>
      <c r="G60" s="2" t="e">
        <f aca="false">G59</f>
        <v>#N/A</v>
      </c>
      <c r="H60" s="2" t="e">
        <f aca="false">H59</f>
        <v>#N/A</v>
      </c>
      <c r="I60" s="2" t="e">
        <f aca="false">I59</f>
        <v>#N/A</v>
      </c>
    </row>
    <row r="61" customFormat="false" ht="15" hidden="false" customHeight="false" outlineLevel="0" collapsed="false">
      <c r="C61" s="21" t="str">
        <f aca="false">D61&amp;"_"&amp;E61</f>
        <v>commerical_mbike_prop_male_bogota</v>
      </c>
      <c r="D61" s="52" t="s">
        <v>413</v>
      </c>
      <c r="E61" s="52" t="s">
        <v>65</v>
      </c>
      <c r="F61" s="52" t="e">
        <f aca="false">MATCH(C61,All_city_list!$D:$D,0)</f>
        <v>#N/A</v>
      </c>
      <c r="G61" s="27" t="e">
        <f aca="false">"All_city_list!L"&amp;F61</f>
        <v>#N/A</v>
      </c>
      <c r="H61" s="27" t="e">
        <f aca="false">"All_city_list!M"&amp;$F61</f>
        <v>#N/A</v>
      </c>
      <c r="I61" s="27" t="e">
        <f aca="false">"All_city_list!N"&amp;$F61</f>
        <v>#N/A</v>
      </c>
    </row>
    <row r="62" customFormat="false" ht="15" hidden="false" customHeight="false" outlineLevel="0" collapsed="false">
      <c r="C62" s="21" t="str">
        <f aca="false">D62&amp;"_"&amp;E62</f>
        <v>commerical_mbike_prop_male_city2</v>
      </c>
      <c r="D62" s="2" t="s">
        <v>413</v>
      </c>
      <c r="E62" s="2" t="s">
        <v>544</v>
      </c>
      <c r="G62" s="2" t="e">
        <f aca="false">G61</f>
        <v>#N/A</v>
      </c>
      <c r="H62" s="2" t="e">
        <f aca="false">H61</f>
        <v>#N/A</v>
      </c>
      <c r="I62" s="2" t="e">
        <f aca="false">I61</f>
        <v>#N/A</v>
      </c>
    </row>
    <row r="63" customFormat="false" ht="15" hidden="false" customHeight="false" outlineLevel="0" collapsed="false">
      <c r="C63" s="21" t="str">
        <f aca="false">D63&amp;"_"&amp;E63</f>
        <v>commerical_mbike_male_agerange_bogota</v>
      </c>
      <c r="D63" s="52" t="s">
        <v>416</v>
      </c>
      <c r="E63" s="52" t="s">
        <v>65</v>
      </c>
      <c r="F63" s="52" t="e">
        <f aca="false">MATCH(C63,All_city_list!$D:$D,0)</f>
        <v>#N/A</v>
      </c>
      <c r="G63" s="27" t="e">
        <f aca="false">"All_city_list!L"&amp;F63</f>
        <v>#N/A</v>
      </c>
      <c r="H63" s="27" t="e">
        <f aca="false">"All_city_list!M"&amp;$F63</f>
        <v>#N/A</v>
      </c>
      <c r="I63" s="27" t="e">
        <f aca="false">"All_city_list!N"&amp;$F63</f>
        <v>#N/A</v>
      </c>
    </row>
    <row r="64" customFormat="false" ht="15" hidden="false" customHeight="false" outlineLevel="0" collapsed="false">
      <c r="C64" s="21" t="str">
        <f aca="false">D64&amp;"_"&amp;E64</f>
        <v>commerical_mbike_male_agerange_city2</v>
      </c>
      <c r="D64" s="2" t="s">
        <v>416</v>
      </c>
      <c r="E64" s="2" t="s">
        <v>544</v>
      </c>
      <c r="G64" s="2" t="e">
        <f aca="false">G63</f>
        <v>#N/A</v>
      </c>
      <c r="H64" s="2" t="e">
        <f aca="false">H63</f>
        <v>#N/A</v>
      </c>
      <c r="I64" s="2" t="e">
        <f aca="false">I63</f>
        <v>#N/A</v>
      </c>
    </row>
    <row r="65" customFormat="false" ht="15" hidden="false" customHeight="false" outlineLevel="0" collapsed="false">
      <c r="C65" s="21" t="str">
        <f aca="false">D65&amp;"_"&amp;E65</f>
        <v>commerical_mbike_female_agerange_bogota</v>
      </c>
      <c r="D65" s="52" t="s">
        <v>420</v>
      </c>
      <c r="E65" s="52" t="s">
        <v>65</v>
      </c>
      <c r="F65" s="52" t="e">
        <f aca="false">MATCH(C65,All_city_list!$D:$D,0)</f>
        <v>#N/A</v>
      </c>
      <c r="G65" s="27" t="e">
        <f aca="false">"All_city_list!L"&amp;F65</f>
        <v>#N/A</v>
      </c>
      <c r="H65" s="27" t="e">
        <f aca="false">"All_city_list!M"&amp;$F65</f>
        <v>#N/A</v>
      </c>
      <c r="I65" s="27" t="e">
        <f aca="false">"All_city_list!N"&amp;$F65</f>
        <v>#N/A</v>
      </c>
    </row>
    <row r="66" customFormat="false" ht="15" hidden="false" customHeight="false" outlineLevel="0" collapsed="false">
      <c r="C66" s="21" t="str">
        <f aca="false">D66&amp;"_"&amp;E66</f>
        <v>commerical_mbike_female_agerange_city2</v>
      </c>
      <c r="D66" s="2" t="s">
        <v>420</v>
      </c>
      <c r="E66" s="2" t="s">
        <v>544</v>
      </c>
      <c r="G66" s="2" t="e">
        <f aca="false">G65</f>
        <v>#N/A</v>
      </c>
      <c r="H66" s="2" t="e">
        <f aca="false">H65</f>
        <v>#N/A</v>
      </c>
      <c r="I66" s="2" t="e">
        <f aca="false">I65</f>
        <v>#N/A</v>
      </c>
    </row>
    <row r="67" customFormat="false" ht="15" hidden="false" customHeight="false" outlineLevel="0" collapsed="false">
      <c r="C67" s="21" t="str">
        <f aca="false">D67&amp;"_"&amp;E67</f>
        <v>add_walk_to_pt_trips_bogota</v>
      </c>
      <c r="D67" s="52" t="s">
        <v>561</v>
      </c>
      <c r="E67" s="52" t="s">
        <v>65</v>
      </c>
      <c r="F67" s="52" t="e">
        <f aca="false">MATCH(C67,All_city_list!$D:$D,0)</f>
        <v>#N/A</v>
      </c>
      <c r="G67" s="27" t="e">
        <f aca="false">"All_city_list!L"&amp;F67</f>
        <v>#N/A</v>
      </c>
      <c r="H67" s="27" t="e">
        <f aca="false">"All_city_list!M"&amp;$F67</f>
        <v>#N/A</v>
      </c>
      <c r="I67" s="27" t="e">
        <f aca="false">"All_city_list!N"&amp;$F67</f>
        <v>#N/A</v>
      </c>
    </row>
    <row r="68" customFormat="false" ht="15" hidden="false" customHeight="false" outlineLevel="0" collapsed="false">
      <c r="C68" s="21" t="str">
        <f aca="false">D68&amp;"_"&amp;E68</f>
        <v>add_walk_to_pt_trips_city2</v>
      </c>
      <c r="D68" s="2" t="s">
        <v>561</v>
      </c>
      <c r="E68" s="2" t="s">
        <v>544</v>
      </c>
      <c r="G68" s="2" t="e">
        <f aca="false">G67</f>
        <v>#N/A</v>
      </c>
      <c r="H68" s="2" t="e">
        <f aca="false">H67</f>
        <v>#N/A</v>
      </c>
      <c r="I68" s="2" t="e">
        <f aca="false">I67</f>
        <v>#N/A</v>
      </c>
    </row>
    <row r="69" customFormat="false" ht="15" hidden="false" customHeight="false" outlineLevel="0" collapsed="false">
      <c r="C69" s="21" t="str">
        <f aca="false">D69&amp;"_"&amp;E69</f>
        <v>CO2_emission_inventories_bogota</v>
      </c>
      <c r="D69" s="52" t="s">
        <v>89</v>
      </c>
      <c r="E69" s="52" t="s">
        <v>65</v>
      </c>
      <c r="F69" s="52" t="n">
        <f aca="false">MATCH(C69,All_city_list!$D:$D,0)</f>
        <v>31</v>
      </c>
      <c r="G69" s="27" t="str">
        <f aca="false">"All_city_list!L"&amp;$F69</f>
        <v>All_city_list!L31</v>
      </c>
      <c r="H69" s="27" t="str">
        <f aca="false">"All_city_list!M"&amp;$F69</f>
        <v>All_city_list!M31</v>
      </c>
      <c r="I69" s="27" t="str">
        <f aca="false">"All_city_list!N"&amp;$F69</f>
        <v>All_city_list!N31</v>
      </c>
    </row>
    <row r="70" customFormat="false" ht="15" hidden="false" customHeight="false" outlineLevel="0" collapsed="false">
      <c r="C70" s="21" t="str">
        <f aca="false">D70&amp;"_"&amp;E70</f>
        <v>CO2_emission_inventories_city2</v>
      </c>
      <c r="D70" s="2" t="s">
        <v>89</v>
      </c>
      <c r="E70" s="2" t="s">
        <v>544</v>
      </c>
      <c r="G70" s="2" t="str">
        <f aca="false">G69</f>
        <v>All_city_list!L31</v>
      </c>
      <c r="H70" s="2" t="str">
        <f aca="false">H69</f>
        <v>All_city_list!M31</v>
      </c>
      <c r="I70" s="2" t="str">
        <f aca="false">I69</f>
        <v>All_city_list!N31</v>
      </c>
    </row>
    <row r="71" customFormat="false" ht="15" hidden="false" customHeight="false" outlineLevel="0" collapsed="false">
      <c r="C71" s="21"/>
    </row>
    <row r="72" customFormat="false" ht="15" hidden="false" customHeight="false" outlineLevel="0" collapsed="false">
      <c r="C72" s="21"/>
    </row>
    <row r="73" customFormat="false" ht="15" hidden="false" customHeight="false" outlineLevel="0" collapsed="false">
      <c r="C73" s="21"/>
    </row>
    <row r="74" customFormat="false" ht="15" hidden="false" customHeight="false" outlineLevel="0" collapsed="false">
      <c r="C74" s="21"/>
    </row>
    <row r="75" customFormat="false" ht="15" hidden="false" customHeight="false" outlineLevel="0" collapsed="false">
      <c r="C75" s="21"/>
    </row>
    <row r="76" customFormat="false" ht="15" hidden="false" customHeight="false" outlineLevel="0" collapsed="false">
      <c r="C76" s="21"/>
    </row>
    <row r="77" customFormat="false" ht="15" hidden="false" customHeight="false" outlineLevel="0" collapsed="false">
      <c r="C77" s="21"/>
    </row>
    <row r="78" customFormat="false" ht="15" hidden="false" customHeight="false" outlineLevel="0" collapsed="false">
      <c r="C78" s="21"/>
    </row>
    <row r="79" customFormat="false" ht="15" hidden="false" customHeight="false" outlineLevel="0" collapsed="false">
      <c r="C79" s="21"/>
    </row>
    <row r="80" customFormat="false" ht="15" hidden="false" customHeight="false" outlineLevel="0" collapsed="false">
      <c r="C80" s="21"/>
    </row>
    <row r="81" customFormat="false" ht="15" hidden="false" customHeight="false" outlineLevel="0" collapsed="false">
      <c r="C81" s="21"/>
    </row>
    <row r="82" customFormat="false" ht="15" hidden="false" customHeight="false" outlineLevel="0" collapsed="false">
      <c r="C82" s="21"/>
    </row>
    <row r="83" customFormat="false" ht="15" hidden="false" customHeight="false" outlineLevel="0" collapsed="false">
      <c r="C83" s="21"/>
    </row>
    <row r="84" customFormat="false" ht="15" hidden="false" customHeight="false" outlineLevel="0" collapsed="false">
      <c r="C84" s="21"/>
    </row>
    <row r="85" customFormat="false" ht="15" hidden="false" customHeight="false" outlineLevel="0" collapsed="false">
      <c r="C85" s="21"/>
    </row>
    <row r="86" customFormat="false" ht="15" hidden="false" customHeight="false" outlineLevel="0" collapsed="false">
      <c r="C86" s="21"/>
    </row>
    <row r="87" customFormat="false" ht="15" hidden="false" customHeight="false" outlineLevel="0" collapsed="false">
      <c r="C87" s="21"/>
    </row>
    <row r="88" customFormat="false" ht="15" hidden="false" customHeight="false" outlineLevel="0" collapsed="false">
      <c r="C88" s="21"/>
    </row>
    <row r="89" customFormat="false" ht="15" hidden="false" customHeight="false" outlineLevel="0" collapsed="false">
      <c r="C89" s="21"/>
    </row>
    <row r="90" customFormat="false" ht="15" hidden="false" customHeight="false" outlineLevel="0" collapsed="false">
      <c r="C90" s="21"/>
      <c r="F90" s="14"/>
    </row>
    <row r="91" customFormat="false" ht="15" hidden="false" customHeight="false" outlineLevel="0" collapsed="false">
      <c r="C91" s="21"/>
      <c r="F91" s="14"/>
    </row>
    <row r="92" customFormat="false" ht="15" hidden="false" customHeight="false" outlineLevel="0" collapsed="false">
      <c r="C92" s="21"/>
      <c r="F92" s="14"/>
    </row>
    <row r="93" customFormat="false" ht="15" hidden="false" customHeight="false" outlineLevel="0" collapsed="false">
      <c r="E93" s="14"/>
      <c r="F93" s="14"/>
    </row>
    <row r="94" customFormat="false" ht="15" hidden="false" customHeight="false" outlineLevel="0" collapsed="false">
      <c r="E94" s="14"/>
      <c r="F94" s="14"/>
    </row>
    <row r="95" customFormat="false" ht="15" hidden="false" customHeight="false" outlineLevel="0" collapsed="false">
      <c r="E95" s="14"/>
      <c r="F95" s="14"/>
    </row>
    <row r="96" customFormat="false" ht="15" hidden="false" customHeight="false" outlineLevel="0" collapsed="false">
      <c r="E96" s="14"/>
      <c r="F96" s="14"/>
    </row>
    <row r="97" customFormat="false" ht="15" hidden="false" customHeight="false" outlineLevel="0" collapsed="false">
      <c r="E97" s="14"/>
      <c r="F97" s="14"/>
    </row>
    <row r="98" customFormat="false" ht="15" hidden="false" customHeight="false" outlineLevel="0" collapsed="false">
      <c r="E98" s="14"/>
      <c r="F98" s="14"/>
    </row>
    <row r="99" customFormat="false" ht="15" hidden="false" customHeight="false" outlineLevel="0" collapsed="false">
      <c r="E99" s="14"/>
      <c r="F99" s="14"/>
    </row>
    <row r="100" customFormat="false" ht="15" hidden="false" customHeight="false" outlineLevel="0" collapsed="false">
      <c r="E100" s="14"/>
      <c r="F100" s="14"/>
    </row>
    <row r="101" customFormat="false" ht="15" hidden="false" customHeight="false" outlineLevel="0" collapsed="false">
      <c r="E101" s="14"/>
      <c r="F101" s="14"/>
    </row>
    <row r="102" customFormat="false" ht="15" hidden="false" customHeight="false" outlineLevel="0" collapsed="false">
      <c r="E102" s="14"/>
      <c r="F102" s="14"/>
    </row>
    <row r="103" customFormat="false" ht="15" hidden="false" customHeight="false" outlineLevel="0" collapsed="false">
      <c r="E103" s="14"/>
      <c r="F103" s="14"/>
    </row>
    <row r="104" customFormat="false" ht="15" hidden="false" customHeight="false" outlineLevel="0" collapsed="false">
      <c r="E104" s="14"/>
      <c r="F104" s="14"/>
    </row>
    <row r="105" customFormat="false" ht="15" hidden="false" customHeight="false" outlineLevel="0" collapsed="false">
      <c r="E105" s="14"/>
      <c r="F105" s="14"/>
    </row>
    <row r="106" customFormat="false" ht="15" hidden="false" customHeight="false" outlineLevel="0" collapsed="false">
      <c r="E106" s="14"/>
      <c r="F106" s="14"/>
    </row>
    <row r="107" customFormat="false" ht="15" hidden="false" customHeight="false" outlineLevel="0" collapsed="false">
      <c r="E107" s="14"/>
      <c r="F107" s="14"/>
    </row>
    <row r="108" customFormat="false" ht="15" hidden="false" customHeight="false" outlineLevel="0" collapsed="false">
      <c r="E108" s="14"/>
      <c r="F108" s="14"/>
    </row>
    <row r="109" customFormat="false" ht="15" hidden="false" customHeight="false" outlineLevel="0" collapsed="false">
      <c r="E109" s="14"/>
      <c r="F109" s="14"/>
    </row>
    <row r="110" customFormat="false" ht="15" hidden="false" customHeight="false" outlineLevel="0" collapsed="false">
      <c r="E110" s="14"/>
      <c r="F110" s="14"/>
    </row>
    <row r="111" customFormat="false" ht="15" hidden="false" customHeight="false" outlineLevel="0" collapsed="false">
      <c r="E111" s="14"/>
      <c r="F111" s="14"/>
    </row>
    <row r="112" customFormat="false" ht="15" hidden="false" customHeight="false" outlineLevel="0" collapsed="false">
      <c r="E112" s="14"/>
      <c r="F112" s="14"/>
    </row>
    <row r="113" customFormat="false" ht="15" hidden="false" customHeight="false" outlineLevel="0" collapsed="false">
      <c r="E113" s="14"/>
      <c r="F113" s="14"/>
    </row>
    <row r="114" customFormat="false" ht="15" hidden="false" customHeight="false" outlineLevel="0" collapsed="false">
      <c r="E114" s="14"/>
      <c r="F114" s="14"/>
    </row>
    <row r="115" customFormat="false" ht="15" hidden="false" customHeight="false" outlineLevel="0" collapsed="false">
      <c r="E115" s="14"/>
      <c r="F115" s="14"/>
    </row>
    <row r="116" customFormat="false" ht="15" hidden="false" customHeight="false" outlineLevel="0" collapsed="false">
      <c r="E116" s="14"/>
      <c r="F116" s="14"/>
    </row>
    <row r="117" customFormat="false" ht="15" hidden="false" customHeight="false" outlineLevel="0" collapsed="false">
      <c r="E117" s="14"/>
      <c r="F117" s="14"/>
    </row>
    <row r="118" customFormat="false" ht="15" hidden="false" customHeight="false" outlineLevel="0" collapsed="false">
      <c r="E118" s="14"/>
      <c r="F118" s="14"/>
    </row>
    <row r="119" customFormat="false" ht="15" hidden="false" customHeight="false" outlineLevel="0" collapsed="false">
      <c r="E119" s="14"/>
      <c r="F119" s="14"/>
    </row>
    <row r="120" customFormat="false" ht="15" hidden="false" customHeight="false" outlineLevel="0" collapsed="false">
      <c r="E120" s="14"/>
      <c r="F120" s="14"/>
    </row>
    <row r="121" customFormat="false" ht="15" hidden="false" customHeight="false" outlineLevel="0" collapsed="false">
      <c r="E121" s="14"/>
      <c r="F121" s="14"/>
    </row>
    <row r="122" customFormat="false" ht="15" hidden="false" customHeight="false" outlineLevel="0" collapsed="false">
      <c r="E122" s="14"/>
      <c r="F122" s="14"/>
    </row>
    <row r="123" customFormat="false" ht="15" hidden="false" customHeight="false" outlineLevel="0" collapsed="false">
      <c r="E123" s="14"/>
      <c r="F123" s="14"/>
    </row>
    <row r="124" customFormat="false" ht="15" hidden="false" customHeight="false" outlineLevel="0" collapsed="false">
      <c r="E124" s="14"/>
      <c r="F124" s="14"/>
    </row>
    <row r="125" customFormat="false" ht="15" hidden="false" customHeight="false" outlineLevel="0" collapsed="false">
      <c r="E125" s="14"/>
      <c r="F125" s="14"/>
    </row>
    <row r="126" customFormat="false" ht="15" hidden="false" customHeight="false" outlineLevel="0" collapsed="false">
      <c r="E126" s="14"/>
      <c r="F126" s="14"/>
    </row>
    <row r="127" customFormat="false" ht="15" hidden="false" customHeight="false" outlineLevel="0" collapsed="false">
      <c r="E127" s="14"/>
      <c r="F127" s="14"/>
    </row>
    <row r="128" customFormat="false" ht="15" hidden="false" customHeight="false" outlineLevel="0" collapsed="false">
      <c r="E128" s="14"/>
      <c r="F128" s="14"/>
    </row>
    <row r="129" customFormat="false" ht="15" hidden="false" customHeight="false" outlineLevel="0" collapsed="false">
      <c r="E129" s="14"/>
      <c r="F129" s="14"/>
    </row>
    <row r="130" customFormat="false" ht="15" hidden="false" customHeight="false" outlineLevel="0" collapsed="false">
      <c r="E130" s="14"/>
      <c r="F130" s="14"/>
    </row>
    <row r="131" customFormat="false" ht="15" hidden="false" customHeight="false" outlineLevel="0" collapsed="false">
      <c r="E131" s="14"/>
      <c r="F131" s="14"/>
    </row>
    <row r="132" customFormat="false" ht="15" hidden="false" customHeight="false" outlineLevel="0" collapsed="false">
      <c r="E132" s="14"/>
      <c r="F132" s="14"/>
    </row>
    <row r="133" customFormat="false" ht="15" hidden="false" customHeight="false" outlineLevel="0" collapsed="false">
      <c r="E133" s="14"/>
      <c r="F133" s="14"/>
    </row>
    <row r="134" customFormat="false" ht="15" hidden="false" customHeight="false" outlineLevel="0" collapsed="false">
      <c r="E134" s="14"/>
      <c r="F134" s="14"/>
    </row>
    <row r="135" customFormat="false" ht="15" hidden="false" customHeight="false" outlineLevel="0" collapsed="false">
      <c r="E135" s="14"/>
      <c r="F135" s="14"/>
    </row>
    <row r="136" customFormat="false" ht="15" hidden="false" customHeight="false" outlineLevel="0" collapsed="false">
      <c r="E136" s="14"/>
      <c r="F136" s="14"/>
    </row>
    <row r="137" customFormat="false" ht="15" hidden="false" customHeight="false" outlineLevel="0" collapsed="false">
      <c r="E137" s="14"/>
      <c r="F137" s="14"/>
    </row>
    <row r="138" customFormat="false" ht="15" hidden="false" customHeight="false" outlineLevel="0" collapsed="false">
      <c r="E138" s="14"/>
      <c r="F138" s="14"/>
    </row>
    <row r="139" customFormat="false" ht="15" hidden="false" customHeight="false" outlineLevel="0" collapsed="false">
      <c r="E139" s="14"/>
      <c r="F139" s="14"/>
    </row>
    <row r="140" customFormat="false" ht="15" hidden="false" customHeight="false" outlineLevel="0" collapsed="false">
      <c r="E140" s="14"/>
      <c r="F140" s="14"/>
    </row>
    <row r="141" customFormat="false" ht="15" hidden="false" customHeight="false" outlineLevel="0" collapsed="false">
      <c r="E141" s="14"/>
      <c r="F141" s="14"/>
    </row>
    <row r="142" customFormat="false" ht="15" hidden="false" customHeight="false" outlineLevel="0" collapsed="false">
      <c r="E142" s="14"/>
      <c r="F142" s="14"/>
    </row>
    <row r="143" customFormat="false" ht="15" hidden="false" customHeight="false" outlineLevel="0" collapsed="false">
      <c r="E143" s="14"/>
      <c r="F143" s="14"/>
    </row>
    <row r="144" customFormat="false" ht="15" hidden="false" customHeight="false" outlineLevel="0" collapsed="false">
      <c r="E144" s="14"/>
      <c r="F144" s="14"/>
    </row>
    <row r="145" customFormat="false" ht="15" hidden="false" customHeight="false" outlineLevel="0" collapsed="false">
      <c r="E145" s="14"/>
      <c r="F145" s="14"/>
    </row>
    <row r="146" customFormat="false" ht="15" hidden="false" customHeight="false" outlineLevel="0" collapsed="false">
      <c r="E146" s="14"/>
      <c r="F146" s="14"/>
    </row>
    <row r="147" customFormat="false" ht="15" hidden="false" customHeight="false" outlineLevel="0" collapsed="false">
      <c r="E147" s="14"/>
      <c r="F147" s="14"/>
    </row>
    <row r="148" customFormat="false" ht="15" hidden="false" customHeight="false" outlineLevel="0" collapsed="false">
      <c r="E148" s="14"/>
      <c r="F148" s="14"/>
    </row>
    <row r="149" customFormat="false" ht="15" hidden="false" customHeight="false" outlineLevel="0" collapsed="false">
      <c r="E149" s="14"/>
      <c r="F149" s="14"/>
    </row>
    <row r="150" customFormat="false" ht="15" hidden="false" customHeight="false" outlineLevel="0" collapsed="false">
      <c r="E150" s="14"/>
      <c r="F150" s="14"/>
    </row>
    <row r="151" customFormat="false" ht="15" hidden="false" customHeight="false" outlineLevel="0" collapsed="false">
      <c r="E151" s="14"/>
      <c r="F151" s="14"/>
    </row>
    <row r="152" customFormat="false" ht="15" hidden="false" customHeight="false" outlineLevel="0" collapsed="false">
      <c r="E152" s="14"/>
      <c r="F152" s="14"/>
    </row>
    <row r="153" customFormat="false" ht="15" hidden="false" customHeight="false" outlineLevel="0" collapsed="false">
      <c r="E153" s="14"/>
      <c r="F153" s="14"/>
    </row>
    <row r="154" customFormat="false" ht="15" hidden="false" customHeight="false" outlineLevel="0" collapsed="false">
      <c r="E154" s="14"/>
      <c r="F154" s="14"/>
    </row>
    <row r="155" customFormat="false" ht="15" hidden="false" customHeight="false" outlineLevel="0" collapsed="false">
      <c r="E155" s="14"/>
      <c r="F155" s="14"/>
    </row>
    <row r="156" customFormat="false" ht="15" hidden="false" customHeight="false" outlineLevel="0" collapsed="false">
      <c r="E156" s="14"/>
      <c r="F156" s="14"/>
    </row>
    <row r="157" customFormat="false" ht="15" hidden="false" customHeight="false" outlineLevel="0" collapsed="false">
      <c r="E157" s="14"/>
      <c r="F157" s="14"/>
    </row>
    <row r="158" customFormat="false" ht="15" hidden="false" customHeight="false" outlineLevel="0" collapsed="false">
      <c r="E158" s="14"/>
      <c r="F158" s="14"/>
    </row>
    <row r="159" customFormat="false" ht="15" hidden="false" customHeight="false" outlineLevel="0" collapsed="false">
      <c r="E159" s="14"/>
      <c r="F159" s="14"/>
    </row>
    <row r="160" customFormat="false" ht="15" hidden="false" customHeight="false" outlineLevel="0" collapsed="false">
      <c r="E160" s="14"/>
      <c r="F160" s="14"/>
    </row>
    <row r="161" customFormat="false" ht="15" hidden="false" customHeight="false" outlineLevel="0" collapsed="false">
      <c r="E161" s="14"/>
      <c r="F161" s="14"/>
    </row>
    <row r="162" customFormat="false" ht="15" hidden="false" customHeight="false" outlineLevel="0" collapsed="false">
      <c r="E162" s="14"/>
      <c r="F162" s="14"/>
    </row>
    <row r="163" customFormat="false" ht="15" hidden="false" customHeight="false" outlineLevel="0" collapsed="false">
      <c r="E163" s="14"/>
      <c r="F163" s="14"/>
    </row>
    <row r="164" customFormat="false" ht="15" hidden="false" customHeight="false" outlineLevel="0" collapsed="false">
      <c r="E164" s="14"/>
      <c r="F164" s="14"/>
    </row>
    <row r="165" customFormat="false" ht="15" hidden="false" customHeight="false" outlineLevel="0" collapsed="false">
      <c r="E165" s="14"/>
      <c r="F165" s="14"/>
    </row>
    <row r="166" customFormat="false" ht="15" hidden="false" customHeight="false" outlineLevel="0" collapsed="false">
      <c r="E166" s="14"/>
      <c r="F166" s="14"/>
    </row>
    <row r="167" customFormat="false" ht="15" hidden="false" customHeight="false" outlineLevel="0" collapsed="false">
      <c r="E167" s="14"/>
      <c r="F167" s="14"/>
    </row>
    <row r="168" customFormat="false" ht="15" hidden="false" customHeight="false" outlineLevel="0" collapsed="false">
      <c r="E168" s="14"/>
      <c r="F168" s="14"/>
    </row>
    <row r="169" customFormat="false" ht="15" hidden="false" customHeight="false" outlineLevel="0" collapsed="false">
      <c r="E169" s="14"/>
      <c r="F169" s="14"/>
    </row>
    <row r="170" customFormat="false" ht="15" hidden="false" customHeight="false" outlineLevel="0" collapsed="false">
      <c r="E170" s="14"/>
      <c r="F170" s="14"/>
    </row>
    <row r="171" customFormat="false" ht="15" hidden="false" customHeight="false" outlineLevel="0" collapsed="false">
      <c r="E171" s="14"/>
      <c r="F171" s="14"/>
    </row>
    <row r="172" customFormat="false" ht="15" hidden="false" customHeight="false" outlineLevel="0" collapsed="false">
      <c r="E172" s="14"/>
      <c r="F172" s="14"/>
    </row>
    <row r="173" customFormat="false" ht="15" hidden="false" customHeight="false" outlineLevel="0" collapsed="false">
      <c r="E173" s="14"/>
      <c r="F173" s="14"/>
    </row>
    <row r="174" customFormat="false" ht="15" hidden="false" customHeight="false" outlineLevel="0" collapsed="false">
      <c r="E174" s="14"/>
      <c r="F174" s="14"/>
    </row>
    <row r="175" customFormat="false" ht="15" hidden="false" customHeight="false" outlineLevel="0" collapsed="false">
      <c r="E175" s="14"/>
      <c r="F175" s="14"/>
    </row>
    <row r="176" customFormat="false" ht="15" hidden="false" customHeight="false" outlineLevel="0" collapsed="false">
      <c r="E176" s="14"/>
      <c r="F176" s="14"/>
    </row>
    <row r="177" customFormat="false" ht="15" hidden="false" customHeight="false" outlineLevel="0" collapsed="false">
      <c r="E177" s="14"/>
      <c r="F177" s="14"/>
    </row>
    <row r="178" customFormat="false" ht="15" hidden="false" customHeight="false" outlineLevel="0" collapsed="false">
      <c r="E178" s="14"/>
      <c r="F178" s="14"/>
    </row>
    <row r="179" customFormat="false" ht="15" hidden="false" customHeight="false" outlineLevel="0" collapsed="false">
      <c r="E179" s="14"/>
      <c r="F179" s="14"/>
    </row>
    <row r="180" customFormat="false" ht="15" hidden="false" customHeight="false" outlineLevel="0" collapsed="false">
      <c r="E180" s="14"/>
      <c r="F180" s="14"/>
    </row>
    <row r="181" customFormat="false" ht="15" hidden="false" customHeight="false" outlineLevel="0" collapsed="false">
      <c r="E181" s="14"/>
      <c r="F181" s="14"/>
    </row>
    <row r="182" customFormat="false" ht="15" hidden="false" customHeight="false" outlineLevel="0" collapsed="false">
      <c r="E182" s="14"/>
      <c r="F182" s="14"/>
    </row>
    <row r="183" customFormat="false" ht="15" hidden="false" customHeight="false" outlineLevel="0" collapsed="false">
      <c r="E183" s="14"/>
      <c r="F183" s="14"/>
    </row>
    <row r="184" customFormat="false" ht="15" hidden="false" customHeight="false" outlineLevel="0" collapsed="false">
      <c r="E184" s="14"/>
      <c r="F184" s="14"/>
    </row>
    <row r="185" customFormat="false" ht="15" hidden="false" customHeight="false" outlineLevel="0" collapsed="false">
      <c r="E185" s="14"/>
      <c r="F185" s="14"/>
    </row>
    <row r="186" customFormat="false" ht="15" hidden="false" customHeight="false" outlineLevel="0" collapsed="false">
      <c r="E186" s="14"/>
      <c r="F186" s="14"/>
    </row>
    <row r="187" customFormat="false" ht="15" hidden="false" customHeight="false" outlineLevel="0" collapsed="false">
      <c r="E187" s="14"/>
      <c r="F187" s="14"/>
    </row>
    <row r="188" customFormat="false" ht="15" hidden="false" customHeight="false" outlineLevel="0" collapsed="false">
      <c r="E188" s="14"/>
      <c r="F188" s="14"/>
    </row>
    <row r="189" customFormat="false" ht="15" hidden="false" customHeight="false" outlineLevel="0" collapsed="false">
      <c r="E189" s="14"/>
      <c r="F189" s="14"/>
    </row>
    <row r="190" customFormat="false" ht="15" hidden="false" customHeight="false" outlineLevel="0" collapsed="false">
      <c r="E190" s="14"/>
      <c r="F190" s="14"/>
    </row>
    <row r="191" customFormat="false" ht="15" hidden="false" customHeight="false" outlineLevel="0" collapsed="false">
      <c r="E191" s="14"/>
      <c r="F191" s="14"/>
    </row>
    <row r="192" customFormat="false" ht="15" hidden="false" customHeight="false" outlineLevel="0" collapsed="false">
      <c r="E192" s="14"/>
      <c r="F192" s="14"/>
    </row>
    <row r="193" customFormat="false" ht="15" hidden="false" customHeight="false" outlineLevel="0" collapsed="false">
      <c r="E193" s="14"/>
      <c r="F193" s="14"/>
    </row>
    <row r="194" customFormat="false" ht="15" hidden="false" customHeight="false" outlineLevel="0" collapsed="false">
      <c r="E194" s="14"/>
      <c r="F194" s="14"/>
    </row>
    <row r="195" customFormat="false" ht="15" hidden="false" customHeight="false" outlineLevel="0" collapsed="false">
      <c r="E195" s="14"/>
      <c r="F195" s="14"/>
    </row>
    <row r="196" customFormat="false" ht="15" hidden="false" customHeight="false" outlineLevel="0" collapsed="false">
      <c r="E196" s="14"/>
      <c r="F196" s="14"/>
    </row>
    <row r="197" customFormat="false" ht="15" hidden="false" customHeight="false" outlineLevel="0" collapsed="false">
      <c r="E197" s="14"/>
      <c r="F197" s="14"/>
    </row>
    <row r="198" customFormat="false" ht="15" hidden="false" customHeight="false" outlineLevel="0" collapsed="false">
      <c r="E198" s="14"/>
      <c r="F198" s="14"/>
    </row>
    <row r="199" customFormat="false" ht="15" hidden="false" customHeight="false" outlineLevel="0" collapsed="false">
      <c r="E199" s="14"/>
      <c r="F199" s="14"/>
    </row>
    <row r="200" customFormat="false" ht="15" hidden="false" customHeight="false" outlineLevel="0" collapsed="false">
      <c r="E200" s="14"/>
      <c r="F200" s="14"/>
    </row>
    <row r="201" customFormat="false" ht="15" hidden="false" customHeight="false" outlineLevel="0" collapsed="false">
      <c r="E201" s="14"/>
      <c r="F201" s="14"/>
    </row>
    <row r="202" customFormat="false" ht="15" hidden="false" customHeight="false" outlineLevel="0" collapsed="false">
      <c r="E202" s="14"/>
      <c r="F202" s="14"/>
    </row>
    <row r="203" customFormat="false" ht="15" hidden="false" customHeight="false" outlineLevel="0" collapsed="false">
      <c r="E203" s="14"/>
      <c r="F203" s="14"/>
    </row>
    <row r="204" customFormat="false" ht="15" hidden="false" customHeight="false" outlineLevel="0" collapsed="false">
      <c r="E204" s="14"/>
      <c r="F204" s="14"/>
    </row>
    <row r="205" customFormat="false" ht="15" hidden="false" customHeight="false" outlineLevel="0" collapsed="false">
      <c r="E205" s="14"/>
      <c r="F205" s="14"/>
    </row>
    <row r="206" customFormat="false" ht="15" hidden="false" customHeight="false" outlineLevel="0" collapsed="false">
      <c r="E206" s="14"/>
      <c r="F206" s="14"/>
    </row>
    <row r="207" customFormat="false" ht="15" hidden="false" customHeight="false" outlineLevel="0" collapsed="false">
      <c r="E207" s="14"/>
      <c r="F207" s="14"/>
    </row>
    <row r="208" customFormat="false" ht="15" hidden="false" customHeight="false" outlineLevel="0" collapsed="false">
      <c r="E208" s="14"/>
      <c r="F208" s="14"/>
    </row>
    <row r="209" customFormat="false" ht="15" hidden="false" customHeight="false" outlineLevel="0" collapsed="false">
      <c r="E209" s="14"/>
      <c r="F209" s="14"/>
    </row>
    <row r="210" customFormat="false" ht="15" hidden="false" customHeight="false" outlineLevel="0" collapsed="false">
      <c r="E210" s="14"/>
      <c r="F210" s="14"/>
    </row>
    <row r="211" customFormat="false" ht="15" hidden="false" customHeight="false" outlineLevel="0" collapsed="false">
      <c r="E211" s="14"/>
      <c r="F211" s="14"/>
    </row>
    <row r="212" customFormat="false" ht="15" hidden="false" customHeight="false" outlineLevel="0" collapsed="false">
      <c r="E212" s="14"/>
      <c r="F212" s="14"/>
    </row>
    <row r="213" customFormat="false" ht="15" hidden="false" customHeight="false" outlineLevel="0" collapsed="false">
      <c r="E213" s="14"/>
      <c r="F213" s="14"/>
    </row>
    <row r="214" customFormat="false" ht="15" hidden="false" customHeight="false" outlineLevel="0" collapsed="false">
      <c r="E214" s="14"/>
      <c r="F214" s="14"/>
    </row>
    <row r="215" customFormat="false" ht="15" hidden="false" customHeight="false" outlineLevel="0" collapsed="false">
      <c r="E215" s="14"/>
      <c r="F215" s="14"/>
    </row>
    <row r="216" customFormat="false" ht="15" hidden="false" customHeight="false" outlineLevel="0" collapsed="false">
      <c r="E216" s="14"/>
      <c r="F216" s="14"/>
    </row>
    <row r="217" customFormat="false" ht="15" hidden="false" customHeight="false" outlineLevel="0" collapsed="false">
      <c r="E217" s="14"/>
      <c r="F217" s="14"/>
    </row>
    <row r="218" customFormat="false" ht="15" hidden="false" customHeight="false" outlineLevel="0" collapsed="false">
      <c r="E218" s="14"/>
      <c r="F218" s="14"/>
    </row>
    <row r="219" customFormat="false" ht="15" hidden="false" customHeight="false" outlineLevel="0" collapsed="false">
      <c r="E219" s="14"/>
      <c r="F219" s="14"/>
    </row>
    <row r="220" customFormat="false" ht="15" hidden="false" customHeight="false" outlineLevel="0" collapsed="false">
      <c r="E220" s="14"/>
      <c r="F220" s="14"/>
    </row>
    <row r="221" customFormat="false" ht="15" hidden="false" customHeight="false" outlineLevel="0" collapsed="false">
      <c r="E221" s="14"/>
      <c r="F221" s="14"/>
    </row>
    <row r="222" customFormat="false" ht="15" hidden="false" customHeight="false" outlineLevel="0" collapsed="false">
      <c r="E222" s="14"/>
      <c r="F222" s="14"/>
    </row>
    <row r="223" customFormat="false" ht="15" hidden="false" customHeight="false" outlineLevel="0" collapsed="false">
      <c r="E223" s="14"/>
      <c r="F223" s="14"/>
    </row>
    <row r="224" customFormat="false" ht="15" hidden="false" customHeight="false" outlineLevel="0" collapsed="false">
      <c r="E224" s="14"/>
      <c r="F224" s="14"/>
    </row>
    <row r="225" customFormat="false" ht="15" hidden="false" customHeight="false" outlineLevel="0" collapsed="false">
      <c r="E225" s="14"/>
      <c r="F225" s="14"/>
    </row>
    <row r="226" customFormat="false" ht="15" hidden="false" customHeight="false" outlineLevel="0" collapsed="false">
      <c r="E226" s="14"/>
      <c r="F226" s="14"/>
    </row>
    <row r="227" customFormat="false" ht="15" hidden="false" customHeight="false" outlineLevel="0" collapsed="false">
      <c r="E227" s="14"/>
      <c r="F227" s="14"/>
    </row>
    <row r="228" customFormat="false" ht="15" hidden="false" customHeight="false" outlineLevel="0" collapsed="false">
      <c r="E228" s="14"/>
      <c r="F228" s="14"/>
    </row>
    <row r="229" customFormat="false" ht="15" hidden="false" customHeight="false" outlineLevel="0" collapsed="false">
      <c r="E229" s="14"/>
      <c r="F229" s="14"/>
    </row>
    <row r="230" customFormat="false" ht="15" hidden="false" customHeight="false" outlineLevel="0" collapsed="false">
      <c r="E230" s="14"/>
      <c r="F230" s="14"/>
    </row>
    <row r="231" customFormat="false" ht="15" hidden="false" customHeight="false" outlineLevel="0" collapsed="false">
      <c r="E231" s="14"/>
      <c r="F231" s="14"/>
    </row>
    <row r="232" customFormat="false" ht="15" hidden="false" customHeight="false" outlineLevel="0" collapsed="false">
      <c r="E232" s="14"/>
      <c r="F232" s="14"/>
    </row>
    <row r="233" customFormat="false" ht="15" hidden="false" customHeight="false" outlineLevel="0" collapsed="false">
      <c r="E233" s="14"/>
      <c r="F233" s="14"/>
    </row>
    <row r="234" customFormat="false" ht="15" hidden="false" customHeight="false" outlineLevel="0" collapsed="false">
      <c r="E234" s="14"/>
      <c r="F234" s="14"/>
    </row>
    <row r="235" customFormat="false" ht="15" hidden="false" customHeight="false" outlineLevel="0" collapsed="false">
      <c r="E235" s="14"/>
      <c r="F235" s="14"/>
    </row>
    <row r="236" customFormat="false" ht="15" hidden="false" customHeight="false" outlineLevel="0" collapsed="false">
      <c r="E236" s="14"/>
      <c r="F236" s="14"/>
    </row>
    <row r="237" customFormat="false" ht="15" hidden="false" customHeight="false" outlineLevel="0" collapsed="false">
      <c r="E237" s="14"/>
      <c r="F237" s="14"/>
    </row>
    <row r="238" customFormat="false" ht="15" hidden="false" customHeight="false" outlineLevel="0" collapsed="false">
      <c r="E238" s="14"/>
      <c r="F238" s="14"/>
    </row>
    <row r="239" customFormat="false" ht="15" hidden="false" customHeight="false" outlineLevel="0" collapsed="false">
      <c r="E239" s="14"/>
      <c r="F239" s="14"/>
    </row>
    <row r="240" customFormat="false" ht="15" hidden="false" customHeight="false" outlineLevel="0" collapsed="false">
      <c r="E240" s="14"/>
      <c r="F240" s="14"/>
    </row>
    <row r="241" customFormat="false" ht="15" hidden="false" customHeight="false" outlineLevel="0" collapsed="false">
      <c r="E241" s="14"/>
      <c r="F241" s="14"/>
    </row>
    <row r="242" customFormat="false" ht="15" hidden="false" customHeight="false" outlineLevel="0" collapsed="false">
      <c r="E242" s="14"/>
      <c r="F242" s="14"/>
    </row>
    <row r="243" customFormat="false" ht="15" hidden="false" customHeight="false" outlineLevel="0" collapsed="false">
      <c r="E243" s="14"/>
      <c r="F243" s="14"/>
    </row>
    <row r="244" customFormat="false" ht="15" hidden="false" customHeight="false" outlineLevel="0" collapsed="false">
      <c r="E244" s="14"/>
      <c r="F244" s="14"/>
    </row>
    <row r="245" customFormat="false" ht="15" hidden="false" customHeight="false" outlineLevel="0" collapsed="false">
      <c r="E245" s="14"/>
      <c r="F245" s="14"/>
    </row>
    <row r="246" customFormat="false" ht="15" hidden="false" customHeight="false" outlineLevel="0" collapsed="false">
      <c r="E246" s="14"/>
      <c r="F246" s="14"/>
    </row>
    <row r="247" customFormat="false" ht="15" hidden="false" customHeight="false" outlineLevel="0" collapsed="false">
      <c r="E247" s="14"/>
      <c r="F247" s="14"/>
    </row>
    <row r="248" customFormat="false" ht="15" hidden="false" customHeight="false" outlineLevel="0" collapsed="false">
      <c r="E248" s="14"/>
      <c r="F248" s="14"/>
    </row>
    <row r="249" customFormat="false" ht="15" hidden="false" customHeight="false" outlineLevel="0" collapsed="false">
      <c r="E249" s="14"/>
      <c r="F249" s="14"/>
    </row>
    <row r="250" customFormat="false" ht="15" hidden="false" customHeight="false" outlineLevel="0" collapsed="false">
      <c r="E250" s="14"/>
      <c r="F250" s="14"/>
    </row>
    <row r="251" customFormat="false" ht="15" hidden="false" customHeight="false" outlineLevel="0" collapsed="false">
      <c r="E251" s="14"/>
      <c r="F251" s="14"/>
    </row>
    <row r="252" customFormat="false" ht="15" hidden="false" customHeight="false" outlineLevel="0" collapsed="false">
      <c r="E252" s="14"/>
      <c r="F252" s="14"/>
    </row>
    <row r="253" customFormat="false" ht="15" hidden="false" customHeight="false" outlineLevel="0" collapsed="false">
      <c r="E253" s="14"/>
      <c r="F253" s="14"/>
    </row>
    <row r="254" customFormat="false" ht="15" hidden="false" customHeight="false" outlineLevel="0" collapsed="false">
      <c r="E254" s="14"/>
      <c r="F254" s="14"/>
    </row>
    <row r="255" customFormat="false" ht="15" hidden="false" customHeight="false" outlineLevel="0" collapsed="false">
      <c r="E255" s="14"/>
      <c r="F255" s="14"/>
    </row>
    <row r="256" customFormat="false" ht="15" hidden="false" customHeight="false" outlineLevel="0" collapsed="false">
      <c r="E256" s="14"/>
      <c r="F256" s="14"/>
    </row>
    <row r="257" customFormat="false" ht="15" hidden="false" customHeight="false" outlineLevel="0" collapsed="false">
      <c r="E257" s="14"/>
      <c r="F257" s="14"/>
    </row>
    <row r="258" customFormat="false" ht="15" hidden="false" customHeight="false" outlineLevel="0" collapsed="false">
      <c r="E258" s="14"/>
      <c r="F258" s="14"/>
    </row>
    <row r="259" customFormat="false" ht="15" hidden="false" customHeight="false" outlineLevel="0" collapsed="false">
      <c r="E259" s="14"/>
      <c r="F259" s="14"/>
    </row>
    <row r="260" customFormat="false" ht="15" hidden="false" customHeight="false" outlineLevel="0" collapsed="false">
      <c r="E260" s="14"/>
      <c r="F260" s="14"/>
    </row>
    <row r="261" customFormat="false" ht="15" hidden="false" customHeight="false" outlineLevel="0" collapsed="false">
      <c r="E261" s="14"/>
      <c r="F261" s="14"/>
    </row>
    <row r="262" customFormat="false" ht="15" hidden="false" customHeight="false" outlineLevel="0" collapsed="false">
      <c r="E262" s="14"/>
      <c r="F262" s="14"/>
    </row>
    <row r="263" customFormat="false" ht="15" hidden="false" customHeight="false" outlineLevel="0" collapsed="false">
      <c r="E263" s="14"/>
      <c r="F263" s="14"/>
    </row>
    <row r="264" customFormat="false" ht="15" hidden="false" customHeight="false" outlineLevel="0" collapsed="false">
      <c r="E264" s="14"/>
      <c r="F264" s="14"/>
    </row>
    <row r="265" customFormat="false" ht="15" hidden="false" customHeight="false" outlineLevel="0" collapsed="false">
      <c r="E265" s="14"/>
      <c r="F265" s="14"/>
    </row>
    <row r="266" customFormat="false" ht="15" hidden="false" customHeight="false" outlineLevel="0" collapsed="false">
      <c r="E266" s="14"/>
      <c r="F266" s="14"/>
    </row>
    <row r="267" customFormat="false" ht="15" hidden="false" customHeight="false" outlineLevel="0" collapsed="false">
      <c r="E267" s="14"/>
      <c r="F267" s="14"/>
    </row>
    <row r="268" customFormat="false" ht="15" hidden="false" customHeight="false" outlineLevel="0" collapsed="false">
      <c r="E268" s="14"/>
      <c r="F268" s="14"/>
    </row>
    <row r="269" customFormat="false" ht="15" hidden="false" customHeight="false" outlineLevel="0" collapsed="false">
      <c r="E269" s="14"/>
      <c r="F269" s="14"/>
    </row>
    <row r="270" customFormat="false" ht="15" hidden="false" customHeight="false" outlineLevel="0" collapsed="false">
      <c r="E270" s="14"/>
      <c r="F270" s="14"/>
    </row>
    <row r="271" customFormat="false" ht="15" hidden="false" customHeight="false" outlineLevel="0" collapsed="false">
      <c r="E271" s="14"/>
      <c r="F271" s="14"/>
    </row>
    <row r="272" customFormat="false" ht="15" hidden="false" customHeight="false" outlineLevel="0" collapsed="false">
      <c r="E272" s="14"/>
      <c r="F272" s="14"/>
    </row>
    <row r="273" customFormat="false" ht="15" hidden="false" customHeight="false" outlineLevel="0" collapsed="false">
      <c r="E273" s="14"/>
      <c r="F273" s="14"/>
    </row>
    <row r="274" customFormat="false" ht="15" hidden="false" customHeight="false" outlineLevel="0" collapsed="false">
      <c r="E274" s="14"/>
      <c r="F274" s="14"/>
    </row>
    <row r="275" customFormat="false" ht="15" hidden="false" customHeight="false" outlineLevel="0" collapsed="false">
      <c r="E275" s="14"/>
      <c r="F275" s="14"/>
    </row>
    <row r="276" customFormat="false" ht="15" hidden="false" customHeight="false" outlineLevel="0" collapsed="false">
      <c r="E276" s="14"/>
      <c r="F276" s="14"/>
    </row>
    <row r="277" customFormat="false" ht="15" hidden="false" customHeight="false" outlineLevel="0" collapsed="false">
      <c r="E277" s="14"/>
      <c r="F277" s="14"/>
    </row>
    <row r="278" customFormat="false" ht="15" hidden="false" customHeight="false" outlineLevel="0" collapsed="false">
      <c r="E278" s="14"/>
      <c r="F278" s="14"/>
    </row>
    <row r="279" customFormat="false" ht="15" hidden="false" customHeight="false" outlineLevel="0" collapsed="false">
      <c r="E279" s="14"/>
      <c r="F279" s="14"/>
    </row>
    <row r="280" customFormat="false" ht="15" hidden="false" customHeight="false" outlineLevel="0" collapsed="false">
      <c r="E280" s="14"/>
      <c r="F280" s="14"/>
    </row>
    <row r="281" customFormat="false" ht="15" hidden="false" customHeight="false" outlineLevel="0" collapsed="false">
      <c r="E281" s="14"/>
      <c r="F281" s="14"/>
    </row>
    <row r="282" customFormat="false" ht="15" hidden="false" customHeight="false" outlineLevel="0" collapsed="false">
      <c r="E282" s="14"/>
      <c r="F282" s="14"/>
    </row>
    <row r="283" customFormat="false" ht="15" hidden="false" customHeight="false" outlineLevel="0" collapsed="false">
      <c r="E283" s="14"/>
      <c r="F283" s="14"/>
    </row>
    <row r="284" customFormat="false" ht="15" hidden="false" customHeight="false" outlineLevel="0" collapsed="false">
      <c r="E284" s="14"/>
      <c r="F284" s="14"/>
    </row>
    <row r="285" customFormat="false" ht="15" hidden="false" customHeight="false" outlineLevel="0" collapsed="false">
      <c r="E285" s="14"/>
      <c r="F285" s="14"/>
    </row>
    <row r="286" customFormat="false" ht="15" hidden="false" customHeight="false" outlineLevel="0" collapsed="false">
      <c r="E286" s="14"/>
      <c r="F286" s="14"/>
    </row>
    <row r="287" customFormat="false" ht="15" hidden="false" customHeight="false" outlineLevel="0" collapsed="false">
      <c r="E287" s="14"/>
      <c r="F287" s="14"/>
    </row>
    <row r="288" customFormat="false" ht="15" hidden="false" customHeight="false" outlineLevel="0" collapsed="false">
      <c r="E288" s="14"/>
      <c r="F288" s="14"/>
    </row>
    <row r="289" customFormat="false" ht="15" hidden="false" customHeight="false" outlineLevel="0" collapsed="false">
      <c r="E289" s="14"/>
      <c r="F289" s="14"/>
    </row>
    <row r="290" customFormat="false" ht="15" hidden="false" customHeight="false" outlineLevel="0" collapsed="false">
      <c r="E290" s="14"/>
      <c r="F290" s="14"/>
    </row>
    <row r="291" customFormat="false" ht="15" hidden="false" customHeight="false" outlineLevel="0" collapsed="false">
      <c r="E291" s="14"/>
      <c r="F291" s="14"/>
    </row>
    <row r="292" customFormat="false" ht="15" hidden="false" customHeight="false" outlineLevel="0" collapsed="false">
      <c r="E292" s="14"/>
      <c r="F292" s="14"/>
    </row>
    <row r="293" customFormat="false" ht="15" hidden="false" customHeight="false" outlineLevel="0" collapsed="false">
      <c r="E293" s="14"/>
      <c r="F293" s="14"/>
    </row>
    <row r="294" customFormat="false" ht="15" hidden="false" customHeight="false" outlineLevel="0" collapsed="false">
      <c r="E294" s="14"/>
      <c r="F294" s="14"/>
    </row>
    <row r="295" customFormat="false" ht="15" hidden="false" customHeight="false" outlineLevel="0" collapsed="false">
      <c r="E295" s="14"/>
      <c r="F295" s="14"/>
    </row>
    <row r="296" customFormat="false" ht="15" hidden="false" customHeight="false" outlineLevel="0" collapsed="false">
      <c r="E296" s="14"/>
      <c r="F296" s="14"/>
    </row>
    <row r="297" customFormat="false" ht="15" hidden="false" customHeight="false" outlineLevel="0" collapsed="false">
      <c r="E297" s="14"/>
      <c r="F297" s="14"/>
    </row>
    <row r="298" customFormat="false" ht="15" hidden="false" customHeight="false" outlineLevel="0" collapsed="false">
      <c r="E298" s="14"/>
      <c r="F298" s="14"/>
    </row>
    <row r="299" customFormat="false" ht="15" hidden="false" customHeight="false" outlineLevel="0" collapsed="false">
      <c r="E299" s="14"/>
      <c r="F299" s="14"/>
    </row>
    <row r="300" customFormat="false" ht="15" hidden="false" customHeight="false" outlineLevel="0" collapsed="false">
      <c r="E300" s="14"/>
      <c r="F300" s="14"/>
    </row>
    <row r="301" customFormat="false" ht="15" hidden="false" customHeight="false" outlineLevel="0" collapsed="false">
      <c r="E301" s="14"/>
      <c r="F301" s="14"/>
    </row>
    <row r="302" customFormat="false" ht="15" hidden="false" customHeight="false" outlineLevel="0" collapsed="false">
      <c r="E302" s="14"/>
      <c r="F302" s="14"/>
    </row>
    <row r="303" customFormat="false" ht="15" hidden="false" customHeight="false" outlineLevel="0" collapsed="false">
      <c r="E303" s="14"/>
      <c r="F303" s="14"/>
    </row>
    <row r="304" customFormat="false" ht="15" hidden="false" customHeight="false" outlineLevel="0" collapsed="false">
      <c r="E304" s="14"/>
      <c r="F304" s="14"/>
    </row>
    <row r="305" customFormat="false" ht="15" hidden="false" customHeight="false" outlineLevel="0" collapsed="false">
      <c r="E305" s="14"/>
      <c r="F305" s="14"/>
    </row>
    <row r="306" customFormat="false" ht="15" hidden="false" customHeight="false" outlineLevel="0" collapsed="false">
      <c r="E306" s="14"/>
      <c r="F306" s="14"/>
    </row>
    <row r="307" customFormat="false" ht="15" hidden="false" customHeight="false" outlineLevel="0" collapsed="false">
      <c r="E307" s="14"/>
      <c r="F307" s="14"/>
    </row>
    <row r="308" customFormat="false" ht="15" hidden="false" customHeight="false" outlineLevel="0" collapsed="false">
      <c r="E308" s="14"/>
      <c r="F308" s="14"/>
    </row>
    <row r="309" customFormat="false" ht="15" hidden="false" customHeight="false" outlineLevel="0" collapsed="false">
      <c r="E309" s="14"/>
      <c r="F309" s="14"/>
    </row>
    <row r="310" customFormat="false" ht="15" hidden="false" customHeight="false" outlineLevel="0" collapsed="false">
      <c r="E310" s="14"/>
      <c r="F310" s="14"/>
    </row>
    <row r="311" customFormat="false" ht="15" hidden="false" customHeight="false" outlineLevel="0" collapsed="false">
      <c r="E311" s="14"/>
      <c r="F311" s="14"/>
    </row>
    <row r="312" customFormat="false" ht="15" hidden="false" customHeight="false" outlineLevel="0" collapsed="false">
      <c r="E312" s="14"/>
      <c r="F312" s="14"/>
    </row>
    <row r="313" customFormat="false" ht="15" hidden="false" customHeight="false" outlineLevel="0" collapsed="false">
      <c r="E313" s="14"/>
      <c r="F313" s="14"/>
    </row>
    <row r="314" customFormat="false" ht="15" hidden="false" customHeight="false" outlineLevel="0" collapsed="false">
      <c r="E314" s="14"/>
      <c r="F314" s="14"/>
    </row>
    <row r="315" customFormat="false" ht="15" hidden="false" customHeight="false" outlineLevel="0" collapsed="false">
      <c r="E315" s="14"/>
      <c r="F315" s="14"/>
    </row>
    <row r="316" customFormat="false" ht="15" hidden="false" customHeight="false" outlineLevel="0" collapsed="false">
      <c r="E316" s="14"/>
      <c r="F316" s="14"/>
    </row>
    <row r="317" customFormat="false" ht="15" hidden="false" customHeight="false" outlineLevel="0" collapsed="false">
      <c r="E317" s="14"/>
      <c r="F317" s="14"/>
    </row>
    <row r="318" customFormat="false" ht="15" hidden="false" customHeight="false" outlineLevel="0" collapsed="false">
      <c r="E318" s="14"/>
      <c r="F318" s="14"/>
    </row>
    <row r="319" customFormat="false" ht="15" hidden="false" customHeight="false" outlineLevel="0" collapsed="false">
      <c r="E319" s="14"/>
      <c r="F319" s="14"/>
    </row>
    <row r="320" customFormat="false" ht="15" hidden="false" customHeight="false" outlineLevel="0" collapsed="false">
      <c r="E320" s="14"/>
      <c r="F320" s="14"/>
    </row>
    <row r="321" customFormat="false" ht="15" hidden="false" customHeight="false" outlineLevel="0" collapsed="false">
      <c r="E321" s="14"/>
      <c r="F321" s="14"/>
    </row>
    <row r="322" customFormat="false" ht="15" hidden="false" customHeight="false" outlineLevel="0" collapsed="false">
      <c r="E322" s="14"/>
      <c r="F322" s="14"/>
    </row>
    <row r="323" customFormat="false" ht="15" hidden="false" customHeight="false" outlineLevel="0" collapsed="false">
      <c r="E323" s="14"/>
      <c r="F323" s="14"/>
    </row>
    <row r="324" customFormat="false" ht="15" hidden="false" customHeight="false" outlineLevel="0" collapsed="false">
      <c r="E324" s="14"/>
      <c r="F324" s="14"/>
    </row>
    <row r="325" customFormat="false" ht="15" hidden="false" customHeight="false" outlineLevel="0" collapsed="false">
      <c r="E325" s="14"/>
      <c r="F325" s="14"/>
    </row>
    <row r="326" customFormat="false" ht="15" hidden="false" customHeight="false" outlineLevel="0" collapsed="false">
      <c r="E326" s="14"/>
      <c r="F326" s="14"/>
    </row>
    <row r="327" customFormat="false" ht="15" hidden="false" customHeight="false" outlineLevel="0" collapsed="false">
      <c r="E327" s="14"/>
      <c r="F327" s="14"/>
    </row>
    <row r="328" customFormat="false" ht="15" hidden="false" customHeight="false" outlineLevel="0" collapsed="false">
      <c r="E328" s="14"/>
      <c r="F328" s="14"/>
    </row>
    <row r="329" customFormat="false" ht="15" hidden="false" customHeight="false" outlineLevel="0" collapsed="false">
      <c r="E329" s="14"/>
      <c r="F329" s="14"/>
    </row>
    <row r="330" customFormat="false" ht="15" hidden="false" customHeight="false" outlineLevel="0" collapsed="false">
      <c r="E330" s="14"/>
      <c r="F330" s="14"/>
    </row>
    <row r="331" customFormat="false" ht="15" hidden="false" customHeight="false" outlineLevel="0" collapsed="false">
      <c r="E331" s="14"/>
      <c r="F331" s="14"/>
    </row>
    <row r="332" customFormat="false" ht="15" hidden="false" customHeight="false" outlineLevel="0" collapsed="false">
      <c r="E332" s="14"/>
      <c r="F332" s="14"/>
    </row>
    <row r="333" customFormat="false" ht="15" hidden="false" customHeight="false" outlineLevel="0" collapsed="false">
      <c r="E333" s="14"/>
      <c r="F333" s="14"/>
    </row>
    <row r="334" customFormat="false" ht="15" hidden="false" customHeight="false" outlineLevel="0" collapsed="false">
      <c r="E334" s="14"/>
      <c r="F334" s="14"/>
    </row>
    <row r="335" customFormat="false" ht="15" hidden="false" customHeight="false" outlineLevel="0" collapsed="false">
      <c r="E335" s="14"/>
      <c r="F335" s="14"/>
    </row>
    <row r="336" customFormat="false" ht="15" hidden="false" customHeight="false" outlineLevel="0" collapsed="false">
      <c r="E336" s="14"/>
      <c r="F336" s="14"/>
    </row>
    <row r="337" customFormat="false" ht="15" hidden="false" customHeight="false" outlineLevel="0" collapsed="false">
      <c r="E337" s="14"/>
      <c r="F337" s="14"/>
    </row>
    <row r="338" customFormat="false" ht="15" hidden="false" customHeight="false" outlineLevel="0" collapsed="false">
      <c r="E338" s="14"/>
      <c r="F338" s="14"/>
    </row>
    <row r="339" customFormat="false" ht="15" hidden="false" customHeight="false" outlineLevel="0" collapsed="false">
      <c r="E339" s="14"/>
      <c r="F339" s="14"/>
    </row>
    <row r="340" customFormat="false" ht="15" hidden="false" customHeight="false" outlineLevel="0" collapsed="false">
      <c r="E340" s="14"/>
      <c r="F340" s="14"/>
    </row>
    <row r="341" customFormat="false" ht="15" hidden="false" customHeight="false" outlineLevel="0" collapsed="false">
      <c r="E341" s="14"/>
      <c r="F341" s="14"/>
    </row>
    <row r="342" customFormat="false" ht="15" hidden="false" customHeight="false" outlineLevel="0" collapsed="false">
      <c r="E342" s="14"/>
      <c r="F342" s="14"/>
    </row>
    <row r="343" customFormat="false" ht="15" hidden="false" customHeight="false" outlineLevel="0" collapsed="false">
      <c r="E343" s="14"/>
      <c r="F343" s="14"/>
    </row>
    <row r="344" customFormat="false" ht="15" hidden="false" customHeight="false" outlineLevel="0" collapsed="false">
      <c r="E344" s="14"/>
      <c r="F344" s="14"/>
    </row>
    <row r="345" customFormat="false" ht="15" hidden="false" customHeight="false" outlineLevel="0" collapsed="false">
      <c r="E345" s="14"/>
      <c r="F345" s="14"/>
    </row>
    <row r="346" customFormat="false" ht="15" hidden="false" customHeight="false" outlineLevel="0" collapsed="false">
      <c r="E346" s="14"/>
      <c r="F346" s="14"/>
    </row>
    <row r="347" customFormat="false" ht="15" hidden="false" customHeight="false" outlineLevel="0" collapsed="false">
      <c r="E347" s="14"/>
      <c r="F347" s="14"/>
    </row>
    <row r="348" customFormat="false" ht="15" hidden="false" customHeight="false" outlineLevel="0" collapsed="false">
      <c r="E348" s="14"/>
      <c r="F348" s="14"/>
    </row>
    <row r="349" customFormat="false" ht="15" hidden="false" customHeight="false" outlineLevel="0" collapsed="false">
      <c r="E349" s="14"/>
      <c r="F349" s="14"/>
    </row>
    <row r="350" customFormat="false" ht="15" hidden="false" customHeight="false" outlineLevel="0" collapsed="false">
      <c r="E350" s="14"/>
      <c r="F350" s="14"/>
    </row>
    <row r="351" customFormat="false" ht="15" hidden="false" customHeight="false" outlineLevel="0" collapsed="false">
      <c r="E351" s="14"/>
      <c r="F351" s="14"/>
    </row>
    <row r="352" customFormat="false" ht="15" hidden="false" customHeight="false" outlineLevel="0" collapsed="false">
      <c r="E352" s="14"/>
      <c r="F352" s="14"/>
    </row>
    <row r="353" customFormat="false" ht="15" hidden="false" customHeight="false" outlineLevel="0" collapsed="false">
      <c r="E353" s="14"/>
      <c r="F353" s="14"/>
    </row>
    <row r="354" customFormat="false" ht="15" hidden="false" customHeight="false" outlineLevel="0" collapsed="false">
      <c r="E354" s="14"/>
      <c r="F354" s="14"/>
    </row>
    <row r="355" customFormat="false" ht="15" hidden="false" customHeight="false" outlineLevel="0" collapsed="false">
      <c r="E355" s="14"/>
      <c r="F355" s="14"/>
    </row>
    <row r="356" customFormat="false" ht="15" hidden="false" customHeight="false" outlineLevel="0" collapsed="false">
      <c r="E356" s="14"/>
      <c r="F356" s="14"/>
    </row>
    <row r="357" customFormat="false" ht="15" hidden="false" customHeight="false" outlineLevel="0" collapsed="false">
      <c r="E357" s="14"/>
      <c r="F357" s="14"/>
    </row>
    <row r="358" customFormat="false" ht="15" hidden="false" customHeight="false" outlineLevel="0" collapsed="false">
      <c r="E358" s="14"/>
      <c r="F358" s="14"/>
    </row>
    <row r="359" customFormat="false" ht="15" hidden="false" customHeight="false" outlineLevel="0" collapsed="false">
      <c r="E359" s="14"/>
      <c r="F359" s="14"/>
    </row>
    <row r="360" customFormat="false" ht="15" hidden="false" customHeight="false" outlineLevel="0" collapsed="false">
      <c r="E360" s="14"/>
      <c r="F360" s="14"/>
    </row>
    <row r="361" customFormat="false" ht="15" hidden="false" customHeight="false" outlineLevel="0" collapsed="false">
      <c r="E361" s="14"/>
      <c r="F361" s="14"/>
    </row>
    <row r="362" customFormat="false" ht="15" hidden="false" customHeight="false" outlineLevel="0" collapsed="false">
      <c r="E362" s="14"/>
      <c r="F362" s="14"/>
    </row>
    <row r="363" customFormat="false" ht="15" hidden="false" customHeight="false" outlineLevel="0" collapsed="false">
      <c r="E363" s="14"/>
      <c r="F363" s="14"/>
    </row>
    <row r="364" customFormat="false" ht="15" hidden="false" customHeight="false" outlineLevel="0" collapsed="false">
      <c r="E364" s="14"/>
      <c r="F364" s="14"/>
    </row>
    <row r="365" customFormat="false" ht="15" hidden="false" customHeight="false" outlineLevel="0" collapsed="false">
      <c r="E365" s="14"/>
      <c r="F365" s="14"/>
    </row>
    <row r="366" customFormat="false" ht="15" hidden="false" customHeight="false" outlineLevel="0" collapsed="false">
      <c r="E366" s="14"/>
      <c r="F366" s="14"/>
    </row>
    <row r="367" customFormat="false" ht="15" hidden="false" customHeight="false" outlineLevel="0" collapsed="false">
      <c r="E367" s="14"/>
      <c r="F367" s="14"/>
    </row>
    <row r="368" customFormat="false" ht="15" hidden="false" customHeight="false" outlineLevel="0" collapsed="false">
      <c r="E368" s="14"/>
      <c r="F368" s="14"/>
    </row>
    <row r="369" customFormat="false" ht="15" hidden="false" customHeight="false" outlineLevel="0" collapsed="false">
      <c r="E369" s="14"/>
      <c r="F369" s="14"/>
    </row>
    <row r="370" customFormat="false" ht="15" hidden="false" customHeight="false" outlineLevel="0" collapsed="false">
      <c r="E370" s="14"/>
      <c r="F370" s="14"/>
    </row>
    <row r="371" customFormat="false" ht="15" hidden="false" customHeight="false" outlineLevel="0" collapsed="false">
      <c r="E371" s="14"/>
      <c r="F371" s="14"/>
    </row>
    <row r="372" customFormat="false" ht="15" hidden="false" customHeight="false" outlineLevel="0" collapsed="false">
      <c r="E372" s="14"/>
      <c r="F372" s="14"/>
    </row>
    <row r="373" customFormat="false" ht="15" hidden="false" customHeight="false" outlineLevel="0" collapsed="false">
      <c r="E373" s="14"/>
      <c r="F373" s="14"/>
    </row>
    <row r="374" customFormat="false" ht="15" hidden="false" customHeight="false" outlineLevel="0" collapsed="false">
      <c r="E374" s="14"/>
      <c r="F374" s="14"/>
    </row>
    <row r="375" customFormat="false" ht="15" hidden="false" customHeight="false" outlineLevel="0" collapsed="false">
      <c r="E375" s="14"/>
      <c r="F375" s="14"/>
    </row>
    <row r="376" customFormat="false" ht="15" hidden="false" customHeight="false" outlineLevel="0" collapsed="false">
      <c r="E376" s="14"/>
      <c r="F376" s="14"/>
    </row>
    <row r="377" customFormat="false" ht="15" hidden="false" customHeight="false" outlineLevel="0" collapsed="false">
      <c r="E377" s="14"/>
      <c r="F377" s="14"/>
    </row>
    <row r="378" customFormat="false" ht="15" hidden="false" customHeight="false" outlineLevel="0" collapsed="false">
      <c r="E378" s="14"/>
      <c r="F378" s="14"/>
    </row>
    <row r="379" customFormat="false" ht="15" hidden="false" customHeight="false" outlineLevel="0" collapsed="false">
      <c r="E379" s="14"/>
      <c r="F379" s="14"/>
    </row>
    <row r="380" customFormat="false" ht="15" hidden="false" customHeight="false" outlineLevel="0" collapsed="false">
      <c r="E380" s="14"/>
      <c r="F380" s="14"/>
    </row>
    <row r="381" customFormat="false" ht="15" hidden="false" customHeight="false" outlineLevel="0" collapsed="false">
      <c r="E381" s="14"/>
      <c r="F381" s="14"/>
    </row>
    <row r="382" customFormat="false" ht="15" hidden="false" customHeight="false" outlineLevel="0" collapsed="false">
      <c r="E382" s="14"/>
      <c r="F382" s="14"/>
    </row>
    <row r="383" customFormat="false" ht="15" hidden="false" customHeight="false" outlineLevel="0" collapsed="false">
      <c r="E383" s="14"/>
      <c r="F383" s="14"/>
    </row>
    <row r="384" customFormat="false" ht="15" hidden="false" customHeight="false" outlineLevel="0" collapsed="false">
      <c r="E384" s="14"/>
      <c r="F384" s="14"/>
    </row>
    <row r="385" customFormat="false" ht="15" hidden="false" customHeight="false" outlineLevel="0" collapsed="false">
      <c r="E385" s="14"/>
      <c r="F385" s="14"/>
    </row>
    <row r="386" customFormat="false" ht="15" hidden="false" customHeight="false" outlineLevel="0" collapsed="false">
      <c r="E386" s="14"/>
      <c r="F386" s="14"/>
    </row>
    <row r="387" customFormat="false" ht="15" hidden="false" customHeight="false" outlineLevel="0" collapsed="false">
      <c r="E387" s="14"/>
      <c r="F387" s="14"/>
    </row>
    <row r="388" customFormat="false" ht="15" hidden="false" customHeight="false" outlineLevel="0" collapsed="false">
      <c r="E388" s="14"/>
      <c r="F388" s="14"/>
    </row>
    <row r="389" customFormat="false" ht="15" hidden="false" customHeight="false" outlineLevel="0" collapsed="false">
      <c r="E389" s="14"/>
      <c r="F389" s="14"/>
    </row>
    <row r="390" customFormat="false" ht="15" hidden="false" customHeight="false" outlineLevel="0" collapsed="false">
      <c r="E390" s="14"/>
      <c r="F390" s="14"/>
    </row>
    <row r="391" customFormat="false" ht="15" hidden="false" customHeight="false" outlineLevel="0" collapsed="false">
      <c r="E391" s="14"/>
      <c r="F391" s="14"/>
    </row>
    <row r="392" customFormat="false" ht="15" hidden="false" customHeight="false" outlineLevel="0" collapsed="false">
      <c r="E392" s="14"/>
      <c r="F392" s="14"/>
    </row>
    <row r="393" customFormat="false" ht="15" hidden="false" customHeight="false" outlineLevel="0" collapsed="false">
      <c r="E393" s="14"/>
      <c r="F393" s="14"/>
    </row>
    <row r="394" customFormat="false" ht="15" hidden="false" customHeight="false" outlineLevel="0" collapsed="false">
      <c r="E394" s="14"/>
      <c r="F394" s="14"/>
    </row>
    <row r="395" customFormat="false" ht="15" hidden="false" customHeight="false" outlineLevel="0" collapsed="false">
      <c r="E395" s="14"/>
      <c r="F395" s="14"/>
    </row>
    <row r="396" customFormat="false" ht="15" hidden="false" customHeight="false" outlineLevel="0" collapsed="false">
      <c r="E396" s="14"/>
      <c r="F396" s="14"/>
    </row>
    <row r="397" customFormat="false" ht="15" hidden="false" customHeight="false" outlineLevel="0" collapsed="false">
      <c r="E397" s="14"/>
      <c r="F397" s="14"/>
    </row>
    <row r="398" customFormat="false" ht="15" hidden="false" customHeight="false" outlineLevel="0" collapsed="false">
      <c r="E398" s="14"/>
      <c r="F398" s="14"/>
    </row>
    <row r="399" customFormat="false" ht="15" hidden="false" customHeight="false" outlineLevel="0" collapsed="false">
      <c r="E399" s="14"/>
      <c r="F399" s="14"/>
    </row>
    <row r="400" customFormat="false" ht="15" hidden="false" customHeight="false" outlineLevel="0" collapsed="false">
      <c r="E400" s="14"/>
      <c r="F400" s="14"/>
    </row>
    <row r="401" customFormat="false" ht="15" hidden="false" customHeight="false" outlineLevel="0" collapsed="false">
      <c r="E401" s="14"/>
      <c r="F401" s="14"/>
    </row>
    <row r="402" customFormat="false" ht="15" hidden="false" customHeight="false" outlineLevel="0" collapsed="false">
      <c r="E402" s="14"/>
      <c r="F402" s="14"/>
    </row>
    <row r="403" customFormat="false" ht="15" hidden="false" customHeight="false" outlineLevel="0" collapsed="false">
      <c r="E403" s="14"/>
      <c r="F403" s="14"/>
    </row>
    <row r="404" customFormat="false" ht="15" hidden="false" customHeight="false" outlineLevel="0" collapsed="false">
      <c r="E404" s="14"/>
      <c r="F404" s="14"/>
    </row>
    <row r="405" customFormat="false" ht="15" hidden="false" customHeight="false" outlineLevel="0" collapsed="false">
      <c r="E405" s="14"/>
      <c r="F405" s="14"/>
    </row>
    <row r="406" customFormat="false" ht="15" hidden="false" customHeight="false" outlineLevel="0" collapsed="false">
      <c r="E406" s="14"/>
      <c r="F406" s="14"/>
    </row>
    <row r="407" customFormat="false" ht="15" hidden="false" customHeight="false" outlineLevel="0" collapsed="false">
      <c r="E407" s="14"/>
      <c r="F407" s="14"/>
    </row>
    <row r="408" customFormat="false" ht="15" hidden="false" customHeight="false" outlineLevel="0" collapsed="false">
      <c r="E408" s="14"/>
      <c r="F408" s="14"/>
    </row>
    <row r="409" customFormat="false" ht="15" hidden="false" customHeight="false" outlineLevel="0" collapsed="false">
      <c r="E409" s="14"/>
      <c r="F409" s="14"/>
    </row>
    <row r="410" customFormat="false" ht="15" hidden="false" customHeight="false" outlineLevel="0" collapsed="false">
      <c r="E410" s="14"/>
      <c r="F410" s="14"/>
    </row>
    <row r="411" customFormat="false" ht="15" hidden="false" customHeight="false" outlineLevel="0" collapsed="false">
      <c r="E411" s="14"/>
      <c r="F411" s="14"/>
    </row>
    <row r="412" customFormat="false" ht="15" hidden="false" customHeight="false" outlineLevel="0" collapsed="false">
      <c r="E412" s="14"/>
      <c r="F412" s="14"/>
    </row>
    <row r="413" customFormat="false" ht="15" hidden="false" customHeight="false" outlineLevel="0" collapsed="false">
      <c r="E413" s="14"/>
      <c r="F413" s="14"/>
    </row>
    <row r="414" customFormat="false" ht="15" hidden="false" customHeight="false" outlineLevel="0" collapsed="false">
      <c r="E414" s="14"/>
      <c r="F414" s="14"/>
    </row>
    <row r="415" customFormat="false" ht="15" hidden="false" customHeight="false" outlineLevel="0" collapsed="false">
      <c r="E415" s="14"/>
      <c r="F415" s="14"/>
    </row>
    <row r="416" customFormat="false" ht="15" hidden="false" customHeight="false" outlineLevel="0" collapsed="false">
      <c r="E416" s="14"/>
      <c r="F416" s="14"/>
    </row>
    <row r="417" customFormat="false" ht="15" hidden="false" customHeight="false" outlineLevel="0" collapsed="false">
      <c r="E417" s="14"/>
      <c r="F417" s="14"/>
    </row>
    <row r="418" customFormat="false" ht="15" hidden="false" customHeight="false" outlineLevel="0" collapsed="false">
      <c r="E418" s="14"/>
      <c r="F418" s="14"/>
    </row>
    <row r="419" customFormat="false" ht="15" hidden="false" customHeight="false" outlineLevel="0" collapsed="false">
      <c r="E419" s="14"/>
      <c r="F419" s="14"/>
    </row>
    <row r="420" customFormat="false" ht="15" hidden="false" customHeight="false" outlineLevel="0" collapsed="false">
      <c r="E420" s="14"/>
      <c r="F420" s="14"/>
    </row>
    <row r="421" customFormat="false" ht="15" hidden="false" customHeight="false" outlineLevel="0" collapsed="false">
      <c r="E421" s="14"/>
      <c r="F421" s="14"/>
    </row>
    <row r="422" customFormat="false" ht="15" hidden="false" customHeight="false" outlineLevel="0" collapsed="false">
      <c r="E422" s="14"/>
      <c r="F422" s="14"/>
    </row>
    <row r="423" customFormat="false" ht="15" hidden="false" customHeight="false" outlineLevel="0" collapsed="false">
      <c r="E423" s="14"/>
      <c r="F423" s="14"/>
    </row>
    <row r="424" customFormat="false" ht="15" hidden="false" customHeight="false" outlineLevel="0" collapsed="false">
      <c r="E424" s="14"/>
      <c r="F424" s="14"/>
    </row>
    <row r="425" customFormat="false" ht="15" hidden="false" customHeight="false" outlineLevel="0" collapsed="false">
      <c r="E425" s="14"/>
      <c r="F425" s="14"/>
    </row>
    <row r="426" customFormat="false" ht="15" hidden="false" customHeight="false" outlineLevel="0" collapsed="false">
      <c r="E426" s="14"/>
      <c r="F426" s="14"/>
    </row>
    <row r="427" customFormat="false" ht="15" hidden="false" customHeight="false" outlineLevel="0" collapsed="false">
      <c r="E427" s="14"/>
      <c r="F427" s="14"/>
    </row>
    <row r="428" customFormat="false" ht="15" hidden="false" customHeight="false" outlineLevel="0" collapsed="false">
      <c r="E428" s="14"/>
      <c r="F428" s="14"/>
    </row>
    <row r="429" customFormat="false" ht="15" hidden="false" customHeight="false" outlineLevel="0" collapsed="false">
      <c r="E429" s="14"/>
      <c r="F429" s="14"/>
    </row>
    <row r="430" customFormat="false" ht="15" hidden="false" customHeight="false" outlineLevel="0" collapsed="false">
      <c r="E430" s="14"/>
      <c r="F430" s="14"/>
    </row>
    <row r="431" customFormat="false" ht="15" hidden="false" customHeight="false" outlineLevel="0" collapsed="false">
      <c r="E431" s="14"/>
      <c r="F431" s="14"/>
    </row>
    <row r="432" customFormat="false" ht="15" hidden="false" customHeight="false" outlineLevel="0" collapsed="false">
      <c r="E432" s="14"/>
      <c r="F432" s="14"/>
    </row>
    <row r="433" customFormat="false" ht="15" hidden="false" customHeight="false" outlineLevel="0" collapsed="false">
      <c r="E433" s="14"/>
      <c r="F433" s="14"/>
    </row>
    <row r="434" customFormat="false" ht="15" hidden="false" customHeight="false" outlineLevel="0" collapsed="false">
      <c r="E434" s="14"/>
      <c r="F434" s="14"/>
    </row>
    <row r="435" customFormat="false" ht="15" hidden="false" customHeight="false" outlineLevel="0" collapsed="false">
      <c r="E435" s="14"/>
      <c r="F435" s="14"/>
    </row>
    <row r="436" customFormat="false" ht="15" hidden="false" customHeight="false" outlineLevel="0" collapsed="false">
      <c r="E436" s="14"/>
      <c r="F436" s="14"/>
    </row>
    <row r="437" customFormat="false" ht="15" hidden="false" customHeight="false" outlineLevel="0" collapsed="false">
      <c r="E437" s="14"/>
      <c r="F437" s="14"/>
    </row>
    <row r="438" customFormat="false" ht="15" hidden="false" customHeight="false" outlineLevel="0" collapsed="false">
      <c r="E438" s="14"/>
      <c r="F438" s="14"/>
    </row>
    <row r="439" customFormat="false" ht="15" hidden="false" customHeight="false" outlineLevel="0" collapsed="false">
      <c r="E439" s="14"/>
      <c r="F439" s="14"/>
    </row>
    <row r="440" customFormat="false" ht="15" hidden="false" customHeight="false" outlineLevel="0" collapsed="false">
      <c r="E440" s="14"/>
      <c r="F440" s="14"/>
    </row>
    <row r="441" customFormat="false" ht="15" hidden="false" customHeight="false" outlineLevel="0" collapsed="false">
      <c r="E441" s="14"/>
      <c r="F441" s="14"/>
    </row>
    <row r="442" customFormat="false" ht="15" hidden="false" customHeight="false" outlineLevel="0" collapsed="false">
      <c r="E442" s="14"/>
      <c r="F442" s="14"/>
    </row>
    <row r="443" customFormat="false" ht="15" hidden="false" customHeight="false" outlineLevel="0" collapsed="false">
      <c r="E443" s="14"/>
      <c r="F443" s="14"/>
    </row>
    <row r="444" customFormat="false" ht="15" hidden="false" customHeight="false" outlineLevel="0" collapsed="false">
      <c r="E444" s="14"/>
      <c r="F444" s="14"/>
    </row>
    <row r="445" customFormat="false" ht="15" hidden="false" customHeight="false" outlineLevel="0" collapsed="false">
      <c r="E445" s="14"/>
      <c r="F445" s="14"/>
    </row>
    <row r="446" customFormat="false" ht="15" hidden="false" customHeight="false" outlineLevel="0" collapsed="false">
      <c r="E446" s="14"/>
      <c r="F446" s="14"/>
    </row>
    <row r="447" customFormat="false" ht="15" hidden="false" customHeight="false" outlineLevel="0" collapsed="false">
      <c r="E447" s="14"/>
      <c r="F447" s="14"/>
    </row>
    <row r="448" customFormat="false" ht="15" hidden="false" customHeight="false" outlineLevel="0" collapsed="false">
      <c r="E448" s="14"/>
      <c r="F448" s="14"/>
    </row>
    <row r="449" customFormat="false" ht="15" hidden="false" customHeight="false" outlineLevel="0" collapsed="false">
      <c r="E449" s="14"/>
      <c r="F449" s="14"/>
    </row>
    <row r="450" customFormat="false" ht="15" hidden="false" customHeight="false" outlineLevel="0" collapsed="false">
      <c r="E450" s="14"/>
      <c r="F450" s="14"/>
    </row>
    <row r="451" customFormat="false" ht="15" hidden="false" customHeight="false" outlineLevel="0" collapsed="false">
      <c r="E451" s="14"/>
      <c r="F451" s="14"/>
    </row>
    <row r="452" customFormat="false" ht="15" hidden="false" customHeight="false" outlineLevel="0" collapsed="false">
      <c r="E452" s="14"/>
      <c r="F452" s="14"/>
    </row>
    <row r="453" customFormat="false" ht="15" hidden="false" customHeight="false" outlineLevel="0" collapsed="false">
      <c r="E453" s="14"/>
      <c r="F453" s="14"/>
    </row>
    <row r="454" customFormat="false" ht="15" hidden="false" customHeight="false" outlineLevel="0" collapsed="false">
      <c r="E454" s="14"/>
      <c r="F454" s="14"/>
    </row>
    <row r="455" customFormat="false" ht="15" hidden="false" customHeight="false" outlineLevel="0" collapsed="false">
      <c r="E455" s="14"/>
      <c r="F455" s="14"/>
    </row>
    <row r="456" customFormat="false" ht="15" hidden="false" customHeight="false" outlineLevel="0" collapsed="false">
      <c r="E456" s="14"/>
      <c r="F456" s="14"/>
    </row>
    <row r="457" customFormat="false" ht="15" hidden="false" customHeight="false" outlineLevel="0" collapsed="false">
      <c r="E457" s="14"/>
      <c r="F457" s="14"/>
    </row>
    <row r="458" customFormat="false" ht="15" hidden="false" customHeight="false" outlineLevel="0" collapsed="false">
      <c r="E458" s="14"/>
      <c r="F458" s="14"/>
    </row>
    <row r="459" customFormat="false" ht="15" hidden="false" customHeight="false" outlineLevel="0" collapsed="false">
      <c r="E459" s="14"/>
      <c r="F459" s="14"/>
    </row>
    <row r="460" customFormat="false" ht="15" hidden="false" customHeight="false" outlineLevel="0" collapsed="false">
      <c r="E460" s="14"/>
      <c r="F460" s="14"/>
    </row>
    <row r="461" customFormat="false" ht="15" hidden="false" customHeight="false" outlineLevel="0" collapsed="false">
      <c r="E461" s="14"/>
      <c r="F461" s="14"/>
    </row>
    <row r="462" customFormat="false" ht="15" hidden="false" customHeight="false" outlineLevel="0" collapsed="false">
      <c r="E462" s="14"/>
      <c r="F462" s="14"/>
    </row>
    <row r="463" customFormat="false" ht="15" hidden="false" customHeight="false" outlineLevel="0" collapsed="false">
      <c r="E463" s="14"/>
      <c r="F463" s="14"/>
    </row>
    <row r="464" customFormat="false" ht="15" hidden="false" customHeight="false" outlineLevel="0" collapsed="false">
      <c r="E464" s="14"/>
      <c r="F464" s="14"/>
    </row>
    <row r="465" customFormat="false" ht="15" hidden="false" customHeight="false" outlineLevel="0" collapsed="false">
      <c r="E465" s="14"/>
      <c r="F465" s="14"/>
    </row>
    <row r="466" customFormat="false" ht="15" hidden="false" customHeight="false" outlineLevel="0" collapsed="false">
      <c r="E466" s="14"/>
      <c r="F466" s="14"/>
    </row>
    <row r="467" customFormat="false" ht="15" hidden="false" customHeight="false" outlineLevel="0" collapsed="false">
      <c r="E467" s="14"/>
      <c r="F467" s="14"/>
    </row>
    <row r="468" customFormat="false" ht="15" hidden="false" customHeight="false" outlineLevel="0" collapsed="false">
      <c r="E468" s="14"/>
      <c r="F468" s="14"/>
    </row>
    <row r="469" customFormat="false" ht="15" hidden="false" customHeight="false" outlineLevel="0" collapsed="false">
      <c r="E469" s="14"/>
      <c r="F469" s="14"/>
    </row>
    <row r="470" customFormat="false" ht="15" hidden="false" customHeight="false" outlineLevel="0" collapsed="false">
      <c r="E470" s="14"/>
      <c r="F470" s="14"/>
    </row>
    <row r="471" customFormat="false" ht="15" hidden="false" customHeight="false" outlineLevel="0" collapsed="false">
      <c r="E471" s="14"/>
      <c r="F471" s="14"/>
    </row>
    <row r="472" customFormat="false" ht="15" hidden="false" customHeight="false" outlineLevel="0" collapsed="false">
      <c r="E472" s="14"/>
      <c r="F472" s="14"/>
    </row>
    <row r="473" customFormat="false" ht="15" hidden="false" customHeight="false" outlineLevel="0" collapsed="false">
      <c r="E473" s="14"/>
      <c r="F473" s="14"/>
    </row>
    <row r="474" customFormat="false" ht="15" hidden="false" customHeight="false" outlineLevel="0" collapsed="false">
      <c r="E474" s="14"/>
      <c r="F474" s="14"/>
    </row>
    <row r="475" customFormat="false" ht="15" hidden="false" customHeight="false" outlineLevel="0" collapsed="false">
      <c r="E475" s="14"/>
      <c r="F475" s="14"/>
    </row>
    <row r="476" customFormat="false" ht="15" hidden="false" customHeight="false" outlineLevel="0" collapsed="false">
      <c r="E476" s="14"/>
      <c r="F476" s="14"/>
    </row>
    <row r="477" customFormat="false" ht="15" hidden="false" customHeight="false" outlineLevel="0" collapsed="false">
      <c r="E477" s="14"/>
      <c r="F477" s="14"/>
    </row>
    <row r="478" customFormat="false" ht="15" hidden="false" customHeight="false" outlineLevel="0" collapsed="false">
      <c r="E478" s="14"/>
      <c r="F478" s="14"/>
    </row>
    <row r="479" customFormat="false" ht="15" hidden="false" customHeight="false" outlineLevel="0" collapsed="false">
      <c r="E479" s="14"/>
      <c r="F479" s="14"/>
    </row>
    <row r="480" customFormat="false" ht="15" hidden="false" customHeight="false" outlineLevel="0" collapsed="false">
      <c r="E480" s="14"/>
      <c r="F480" s="14"/>
    </row>
    <row r="481" customFormat="false" ht="15" hidden="false" customHeight="false" outlineLevel="0" collapsed="false">
      <c r="E481" s="14"/>
      <c r="F481" s="14"/>
    </row>
    <row r="482" customFormat="false" ht="15" hidden="false" customHeight="false" outlineLevel="0" collapsed="false">
      <c r="E482" s="14"/>
      <c r="F482" s="14"/>
    </row>
    <row r="483" customFormat="false" ht="15" hidden="false" customHeight="false" outlineLevel="0" collapsed="false">
      <c r="E483" s="14"/>
      <c r="F483" s="14"/>
    </row>
    <row r="484" customFormat="false" ht="15" hidden="false" customHeight="false" outlineLevel="0" collapsed="false">
      <c r="E484" s="14"/>
      <c r="F484" s="14"/>
    </row>
    <row r="485" customFormat="false" ht="15" hidden="false" customHeight="false" outlineLevel="0" collapsed="false">
      <c r="E485" s="14"/>
      <c r="F485" s="14"/>
    </row>
    <row r="486" customFormat="false" ht="15" hidden="false" customHeight="false" outlineLevel="0" collapsed="false">
      <c r="E486" s="14"/>
      <c r="F486" s="14"/>
    </row>
    <row r="487" customFormat="false" ht="15" hidden="false" customHeight="false" outlineLevel="0" collapsed="false">
      <c r="E487" s="14"/>
      <c r="F487" s="14"/>
    </row>
    <row r="488" customFormat="false" ht="15" hidden="false" customHeight="false" outlineLevel="0" collapsed="false">
      <c r="E488" s="14"/>
      <c r="F488" s="14"/>
    </row>
    <row r="489" customFormat="false" ht="15" hidden="false" customHeight="false" outlineLevel="0" collapsed="false">
      <c r="E489" s="14"/>
      <c r="F489" s="14"/>
    </row>
    <row r="490" customFormat="false" ht="15" hidden="false" customHeight="false" outlineLevel="0" collapsed="false">
      <c r="E490" s="14"/>
      <c r="F490" s="14"/>
    </row>
    <row r="491" customFormat="false" ht="15" hidden="false" customHeight="false" outlineLevel="0" collapsed="false">
      <c r="E491" s="14"/>
      <c r="F491" s="14"/>
    </row>
    <row r="492" customFormat="false" ht="15" hidden="false" customHeight="false" outlineLevel="0" collapsed="false">
      <c r="E492" s="14"/>
      <c r="F492" s="14"/>
    </row>
    <row r="493" customFormat="false" ht="15" hidden="false" customHeight="false" outlineLevel="0" collapsed="false">
      <c r="E493" s="14"/>
      <c r="F493" s="14"/>
    </row>
    <row r="494" customFormat="false" ht="15" hidden="false" customHeight="false" outlineLevel="0" collapsed="false">
      <c r="E494" s="14"/>
      <c r="F494" s="14"/>
    </row>
    <row r="495" customFormat="false" ht="15" hidden="false" customHeight="false" outlineLevel="0" collapsed="false">
      <c r="E495" s="14"/>
      <c r="F495" s="14"/>
    </row>
    <row r="496" customFormat="false" ht="15" hidden="false" customHeight="false" outlineLevel="0" collapsed="false">
      <c r="E496" s="14"/>
      <c r="F496" s="14"/>
    </row>
    <row r="497" customFormat="false" ht="15" hidden="false" customHeight="false" outlineLevel="0" collapsed="false">
      <c r="E497" s="14"/>
      <c r="F497" s="14"/>
    </row>
    <row r="498" customFormat="false" ht="15" hidden="false" customHeight="false" outlineLevel="0" collapsed="false">
      <c r="E498" s="14"/>
      <c r="F498" s="14"/>
    </row>
    <row r="499" customFormat="false" ht="15" hidden="false" customHeight="false" outlineLevel="0" collapsed="false">
      <c r="E499" s="14"/>
      <c r="F499" s="14"/>
    </row>
    <row r="500" customFormat="false" ht="15" hidden="false" customHeight="false" outlineLevel="0" collapsed="false">
      <c r="E500" s="14"/>
      <c r="F500" s="14"/>
    </row>
    <row r="501" customFormat="false" ht="15" hidden="false" customHeight="false" outlineLevel="0" collapsed="false">
      <c r="E501" s="14"/>
      <c r="F501" s="14"/>
    </row>
    <row r="502" customFormat="false" ht="15" hidden="false" customHeight="false" outlineLevel="0" collapsed="false">
      <c r="E502" s="14"/>
      <c r="F502" s="14"/>
    </row>
    <row r="503" customFormat="false" ht="15" hidden="false" customHeight="false" outlineLevel="0" collapsed="false">
      <c r="E503" s="14"/>
      <c r="F503" s="14"/>
    </row>
    <row r="504" customFormat="false" ht="15" hidden="false" customHeight="false" outlineLevel="0" collapsed="false">
      <c r="E504" s="14"/>
      <c r="F504" s="14"/>
    </row>
    <row r="505" customFormat="false" ht="15" hidden="false" customHeight="false" outlineLevel="0" collapsed="false">
      <c r="E505" s="14"/>
      <c r="F505" s="14"/>
    </row>
    <row r="506" customFormat="false" ht="15" hidden="false" customHeight="false" outlineLevel="0" collapsed="false">
      <c r="E506" s="14"/>
      <c r="F506" s="14"/>
    </row>
    <row r="507" customFormat="false" ht="15" hidden="false" customHeight="false" outlineLevel="0" collapsed="false">
      <c r="E507" s="14"/>
      <c r="F507" s="14"/>
    </row>
    <row r="508" customFormat="false" ht="15" hidden="false" customHeight="false" outlineLevel="0" collapsed="false">
      <c r="E508" s="14"/>
      <c r="F508" s="14"/>
    </row>
    <row r="509" customFormat="false" ht="15" hidden="false" customHeight="false" outlineLevel="0" collapsed="false">
      <c r="E509" s="14"/>
      <c r="F509" s="14"/>
    </row>
    <row r="510" customFormat="false" ht="15" hidden="false" customHeight="false" outlineLevel="0" collapsed="false">
      <c r="E510" s="14"/>
      <c r="F510" s="14"/>
    </row>
    <row r="511" customFormat="false" ht="15" hidden="false" customHeight="false" outlineLevel="0" collapsed="false">
      <c r="E511" s="14"/>
      <c r="F511" s="14"/>
    </row>
    <row r="512" customFormat="false" ht="15" hidden="false" customHeight="false" outlineLevel="0" collapsed="false">
      <c r="E512" s="14"/>
      <c r="F512" s="14"/>
    </row>
    <row r="513" customFormat="false" ht="15" hidden="false" customHeight="false" outlineLevel="0" collapsed="false">
      <c r="E513" s="14"/>
      <c r="F513" s="14"/>
    </row>
    <row r="514" customFormat="false" ht="15" hidden="false" customHeight="false" outlineLevel="0" collapsed="false">
      <c r="E514" s="14"/>
      <c r="F514" s="14"/>
    </row>
    <row r="515" customFormat="false" ht="15" hidden="false" customHeight="false" outlineLevel="0" collapsed="false">
      <c r="E515" s="14"/>
      <c r="F515" s="14"/>
    </row>
    <row r="516" customFormat="false" ht="15" hidden="false" customHeight="false" outlineLevel="0" collapsed="false">
      <c r="E516" s="14"/>
      <c r="F516" s="14"/>
    </row>
    <row r="517" customFormat="false" ht="15" hidden="false" customHeight="false" outlineLevel="0" collapsed="false">
      <c r="E517" s="14"/>
      <c r="F517" s="14"/>
    </row>
    <row r="518" customFormat="false" ht="15" hidden="false" customHeight="false" outlineLevel="0" collapsed="false">
      <c r="E518" s="14"/>
      <c r="F518" s="14"/>
    </row>
    <row r="519" customFormat="false" ht="15" hidden="false" customHeight="false" outlineLevel="0" collapsed="false">
      <c r="E519" s="14"/>
      <c r="F519" s="14"/>
    </row>
    <row r="520" customFormat="false" ht="15" hidden="false" customHeight="false" outlineLevel="0" collapsed="false">
      <c r="E520" s="14"/>
      <c r="F520" s="14"/>
    </row>
    <row r="521" customFormat="false" ht="15" hidden="false" customHeight="false" outlineLevel="0" collapsed="false">
      <c r="E521" s="14"/>
      <c r="F521" s="14"/>
    </row>
    <row r="522" customFormat="false" ht="15" hidden="false" customHeight="false" outlineLevel="0" collapsed="false">
      <c r="E522" s="14"/>
      <c r="F522" s="14"/>
    </row>
    <row r="523" customFormat="false" ht="15" hidden="false" customHeight="false" outlineLevel="0" collapsed="false">
      <c r="E523" s="14"/>
      <c r="F523" s="14"/>
    </row>
    <row r="524" customFormat="false" ht="15" hidden="false" customHeight="false" outlineLevel="0" collapsed="false">
      <c r="E524" s="14"/>
      <c r="F524" s="14"/>
    </row>
    <row r="525" customFormat="false" ht="15" hidden="false" customHeight="false" outlineLevel="0" collapsed="false">
      <c r="E525" s="14"/>
      <c r="F525" s="14"/>
    </row>
    <row r="526" customFormat="false" ht="15" hidden="false" customHeight="false" outlineLevel="0" collapsed="false">
      <c r="E526" s="14"/>
      <c r="F526" s="14"/>
    </row>
    <row r="527" customFormat="false" ht="15" hidden="false" customHeight="false" outlineLevel="0" collapsed="false">
      <c r="E527" s="14"/>
      <c r="F527" s="14"/>
    </row>
    <row r="528" customFormat="false" ht="15" hidden="false" customHeight="false" outlineLevel="0" collapsed="false">
      <c r="E528" s="14"/>
      <c r="F528" s="14"/>
    </row>
    <row r="529" customFormat="false" ht="15" hidden="false" customHeight="false" outlineLevel="0" collapsed="false">
      <c r="E529" s="14"/>
      <c r="F529" s="14"/>
    </row>
    <row r="530" customFormat="false" ht="15" hidden="false" customHeight="false" outlineLevel="0" collapsed="false">
      <c r="E530" s="14"/>
      <c r="F530" s="14"/>
    </row>
    <row r="531" customFormat="false" ht="15" hidden="false" customHeight="false" outlineLevel="0" collapsed="false">
      <c r="E531" s="14"/>
      <c r="F531" s="14"/>
    </row>
    <row r="532" customFormat="false" ht="15" hidden="false" customHeight="false" outlineLevel="0" collapsed="false">
      <c r="E532" s="14"/>
      <c r="F532" s="14"/>
    </row>
    <row r="533" customFormat="false" ht="15" hidden="false" customHeight="false" outlineLevel="0" collapsed="false">
      <c r="E533" s="14"/>
      <c r="F533" s="14"/>
    </row>
    <row r="534" customFormat="false" ht="15" hidden="false" customHeight="false" outlineLevel="0" collapsed="false">
      <c r="E534" s="14"/>
      <c r="F534" s="14"/>
    </row>
    <row r="535" customFormat="false" ht="15" hidden="false" customHeight="false" outlineLevel="0" collapsed="false">
      <c r="E535" s="14"/>
      <c r="F535" s="14"/>
    </row>
    <row r="536" customFormat="false" ht="15" hidden="false" customHeight="false" outlineLevel="0" collapsed="false">
      <c r="E536" s="14"/>
      <c r="F536" s="14"/>
    </row>
    <row r="537" customFormat="false" ht="15" hidden="false" customHeight="false" outlineLevel="0" collapsed="false">
      <c r="E537" s="14"/>
      <c r="F537" s="14"/>
    </row>
    <row r="538" customFormat="false" ht="15" hidden="false" customHeight="false" outlineLevel="0" collapsed="false">
      <c r="E538" s="14"/>
      <c r="F538" s="14"/>
    </row>
    <row r="539" customFormat="false" ht="15" hidden="false" customHeight="false" outlineLevel="0" collapsed="false">
      <c r="E539" s="14"/>
      <c r="F539" s="14"/>
    </row>
    <row r="540" customFormat="false" ht="15" hidden="false" customHeight="false" outlineLevel="0" collapsed="false">
      <c r="E540" s="14"/>
      <c r="F540" s="14"/>
    </row>
    <row r="541" customFormat="false" ht="15" hidden="false" customHeight="false" outlineLevel="0" collapsed="false">
      <c r="E541" s="14"/>
      <c r="F541" s="14"/>
    </row>
    <row r="542" customFormat="false" ht="15" hidden="false" customHeight="false" outlineLevel="0" collapsed="false">
      <c r="E542" s="14"/>
      <c r="F542" s="14"/>
    </row>
    <row r="543" customFormat="false" ht="15" hidden="false" customHeight="false" outlineLevel="0" collapsed="false">
      <c r="E543" s="14"/>
      <c r="F543" s="14"/>
    </row>
    <row r="544" customFormat="false" ht="15" hidden="false" customHeight="false" outlineLevel="0" collapsed="false">
      <c r="E544" s="14"/>
      <c r="F544" s="14"/>
    </row>
    <row r="545" customFormat="false" ht="15" hidden="false" customHeight="false" outlineLevel="0" collapsed="false">
      <c r="E545" s="14"/>
      <c r="F545" s="14"/>
    </row>
    <row r="546" customFormat="false" ht="15" hidden="false" customHeight="false" outlineLevel="0" collapsed="false">
      <c r="E546" s="14"/>
      <c r="F546" s="14"/>
    </row>
    <row r="547" customFormat="false" ht="15" hidden="false" customHeight="false" outlineLevel="0" collapsed="false">
      <c r="E547" s="14"/>
      <c r="F547" s="14"/>
    </row>
    <row r="548" customFormat="false" ht="15" hidden="false" customHeight="false" outlineLevel="0" collapsed="false">
      <c r="E548" s="14"/>
      <c r="F548" s="14"/>
    </row>
    <row r="549" customFormat="false" ht="15" hidden="false" customHeight="false" outlineLevel="0" collapsed="false">
      <c r="E549" s="14"/>
      <c r="F549" s="14"/>
    </row>
    <row r="550" customFormat="false" ht="15" hidden="false" customHeight="false" outlineLevel="0" collapsed="false">
      <c r="E550" s="14"/>
      <c r="F550" s="14"/>
    </row>
    <row r="551" customFormat="false" ht="15" hidden="false" customHeight="false" outlineLevel="0" collapsed="false">
      <c r="E551" s="14"/>
      <c r="F551" s="14"/>
    </row>
    <row r="552" customFormat="false" ht="15" hidden="false" customHeight="false" outlineLevel="0" collapsed="false">
      <c r="E552" s="14"/>
      <c r="F552" s="14"/>
    </row>
    <row r="553" customFormat="false" ht="15" hidden="false" customHeight="false" outlineLevel="0" collapsed="false">
      <c r="E553" s="14"/>
      <c r="F553" s="14"/>
    </row>
    <row r="554" customFormat="false" ht="15" hidden="false" customHeight="false" outlineLevel="0" collapsed="false">
      <c r="E554" s="14"/>
      <c r="F554" s="14"/>
    </row>
    <row r="555" customFormat="false" ht="15" hidden="false" customHeight="false" outlineLevel="0" collapsed="false">
      <c r="E555" s="14"/>
      <c r="F555" s="14"/>
    </row>
    <row r="556" customFormat="false" ht="15" hidden="false" customHeight="false" outlineLevel="0" collapsed="false">
      <c r="E556" s="14"/>
      <c r="F556" s="14"/>
    </row>
    <row r="557" customFormat="false" ht="15" hidden="false" customHeight="false" outlineLevel="0" collapsed="false">
      <c r="E557" s="14"/>
      <c r="F557" s="14"/>
    </row>
    <row r="558" customFormat="false" ht="15" hidden="false" customHeight="false" outlineLevel="0" collapsed="false">
      <c r="E558" s="14"/>
      <c r="F558" s="14"/>
    </row>
    <row r="559" customFormat="false" ht="15" hidden="false" customHeight="false" outlineLevel="0" collapsed="false">
      <c r="E559" s="14"/>
      <c r="F559" s="14"/>
    </row>
    <row r="560" customFormat="false" ht="15" hidden="false" customHeight="false" outlineLevel="0" collapsed="false">
      <c r="E560" s="14"/>
      <c r="F560" s="14"/>
    </row>
    <row r="561" customFormat="false" ht="15" hidden="false" customHeight="false" outlineLevel="0" collapsed="false">
      <c r="E561" s="14"/>
      <c r="F561" s="14"/>
    </row>
    <row r="562" customFormat="false" ht="15" hidden="false" customHeight="false" outlineLevel="0" collapsed="false">
      <c r="E562" s="14"/>
      <c r="F562" s="14"/>
    </row>
    <row r="563" customFormat="false" ht="15" hidden="false" customHeight="false" outlineLevel="0" collapsed="false">
      <c r="E563" s="14"/>
      <c r="F563" s="14"/>
    </row>
    <row r="564" customFormat="false" ht="15" hidden="false" customHeight="false" outlineLevel="0" collapsed="false">
      <c r="E564" s="14"/>
      <c r="F564" s="14"/>
    </row>
    <row r="565" customFormat="false" ht="15" hidden="false" customHeight="false" outlineLevel="0" collapsed="false">
      <c r="E565" s="14"/>
      <c r="F565" s="14"/>
    </row>
    <row r="566" customFormat="false" ht="15" hidden="false" customHeight="false" outlineLevel="0" collapsed="false">
      <c r="E566" s="14"/>
      <c r="F566" s="14"/>
    </row>
    <row r="567" customFormat="false" ht="15" hidden="false" customHeight="false" outlineLevel="0" collapsed="false">
      <c r="E567" s="14"/>
      <c r="F567" s="14"/>
    </row>
    <row r="568" customFormat="false" ht="15" hidden="false" customHeight="false" outlineLevel="0" collapsed="false">
      <c r="E568" s="14"/>
      <c r="F568" s="14"/>
    </row>
    <row r="569" customFormat="false" ht="15" hidden="false" customHeight="false" outlineLevel="0" collapsed="false">
      <c r="E569" s="14"/>
      <c r="F569" s="14"/>
    </row>
    <row r="570" customFormat="false" ht="15" hidden="false" customHeight="false" outlineLevel="0" collapsed="false">
      <c r="E570" s="14"/>
      <c r="F570" s="14"/>
    </row>
    <row r="571" customFormat="false" ht="15" hidden="false" customHeight="false" outlineLevel="0" collapsed="false">
      <c r="E571" s="14"/>
      <c r="F571" s="14"/>
    </row>
    <row r="572" customFormat="false" ht="15" hidden="false" customHeight="false" outlineLevel="0" collapsed="false">
      <c r="E572" s="14"/>
      <c r="F572" s="14"/>
    </row>
    <row r="573" customFormat="false" ht="15" hidden="false" customHeight="false" outlineLevel="0" collapsed="false">
      <c r="E573" s="14"/>
      <c r="F573" s="14"/>
    </row>
    <row r="574" customFormat="false" ht="15" hidden="false" customHeight="false" outlineLevel="0" collapsed="false">
      <c r="E574" s="14"/>
      <c r="F574" s="14"/>
    </row>
    <row r="575" customFormat="false" ht="15" hidden="false" customHeight="false" outlineLevel="0" collapsed="false">
      <c r="E575" s="14"/>
      <c r="F575" s="14"/>
    </row>
    <row r="576" customFormat="false" ht="15" hidden="false" customHeight="false" outlineLevel="0" collapsed="false">
      <c r="E576" s="14"/>
      <c r="F576" s="14"/>
    </row>
    <row r="577" customFormat="false" ht="15" hidden="false" customHeight="false" outlineLevel="0" collapsed="false">
      <c r="E577" s="14"/>
      <c r="F577" s="14"/>
    </row>
    <row r="578" customFormat="false" ht="15" hidden="false" customHeight="false" outlineLevel="0" collapsed="false">
      <c r="E578" s="14"/>
      <c r="F578" s="14"/>
    </row>
    <row r="579" customFormat="false" ht="15" hidden="false" customHeight="false" outlineLevel="0" collapsed="false">
      <c r="E579" s="14"/>
      <c r="F579" s="14"/>
    </row>
    <row r="580" customFormat="false" ht="15" hidden="false" customHeight="false" outlineLevel="0" collapsed="false">
      <c r="E580" s="14"/>
      <c r="F580" s="14"/>
    </row>
    <row r="581" customFormat="false" ht="15" hidden="false" customHeight="false" outlineLevel="0" collapsed="false">
      <c r="E581" s="14"/>
      <c r="F581" s="14"/>
    </row>
    <row r="582" customFormat="false" ht="15" hidden="false" customHeight="false" outlineLevel="0" collapsed="false">
      <c r="E582" s="14"/>
      <c r="F582" s="14"/>
    </row>
    <row r="583" customFormat="false" ht="15" hidden="false" customHeight="false" outlineLevel="0" collapsed="false">
      <c r="E583" s="14"/>
      <c r="F583" s="14"/>
    </row>
    <row r="584" customFormat="false" ht="15" hidden="false" customHeight="false" outlineLevel="0" collapsed="false">
      <c r="E584" s="14"/>
      <c r="F584" s="14"/>
    </row>
    <row r="585" customFormat="false" ht="15" hidden="false" customHeight="false" outlineLevel="0" collapsed="false">
      <c r="E585" s="14"/>
      <c r="F585" s="14"/>
    </row>
    <row r="586" customFormat="false" ht="15" hidden="false" customHeight="false" outlineLevel="0" collapsed="false">
      <c r="E586" s="14"/>
      <c r="F586" s="14"/>
    </row>
    <row r="587" customFormat="false" ht="15" hidden="false" customHeight="false" outlineLevel="0" collapsed="false">
      <c r="E587" s="14"/>
      <c r="F587" s="14"/>
    </row>
    <row r="588" customFormat="false" ht="15" hidden="false" customHeight="false" outlineLevel="0" collapsed="false">
      <c r="E588" s="14"/>
      <c r="F588" s="14"/>
    </row>
    <row r="589" customFormat="false" ht="15" hidden="false" customHeight="false" outlineLevel="0" collapsed="false">
      <c r="E589" s="14"/>
      <c r="F589" s="14"/>
    </row>
    <row r="590" customFormat="false" ht="15" hidden="false" customHeight="false" outlineLevel="0" collapsed="false">
      <c r="E590" s="14"/>
      <c r="F590" s="14"/>
    </row>
    <row r="591" customFormat="false" ht="15" hidden="false" customHeight="false" outlineLevel="0" collapsed="false">
      <c r="E591" s="14"/>
      <c r="F591" s="14"/>
    </row>
    <row r="592" customFormat="false" ht="15" hidden="false" customHeight="false" outlineLevel="0" collapsed="false">
      <c r="E592" s="14"/>
      <c r="F592" s="14"/>
    </row>
    <row r="593" customFormat="false" ht="15" hidden="false" customHeight="false" outlineLevel="0" collapsed="false">
      <c r="E593" s="14"/>
      <c r="F593" s="14"/>
    </row>
    <row r="594" customFormat="false" ht="15" hidden="false" customHeight="false" outlineLevel="0" collapsed="false">
      <c r="E594" s="14"/>
      <c r="F594" s="14"/>
    </row>
    <row r="595" customFormat="false" ht="15" hidden="false" customHeight="false" outlineLevel="0" collapsed="false">
      <c r="E595" s="14"/>
      <c r="F595" s="14"/>
    </row>
    <row r="596" customFormat="false" ht="15" hidden="false" customHeight="false" outlineLevel="0" collapsed="false">
      <c r="E596" s="14"/>
      <c r="F596" s="14"/>
    </row>
    <row r="597" customFormat="false" ht="15" hidden="false" customHeight="false" outlineLevel="0" collapsed="false">
      <c r="E597" s="14"/>
      <c r="F597" s="14"/>
    </row>
    <row r="598" customFormat="false" ht="15" hidden="false" customHeight="false" outlineLevel="0" collapsed="false">
      <c r="E598" s="14"/>
      <c r="F598" s="14"/>
    </row>
    <row r="599" customFormat="false" ht="15" hidden="false" customHeight="false" outlineLevel="0" collapsed="false">
      <c r="E599" s="14"/>
      <c r="F599" s="14"/>
    </row>
    <row r="600" customFormat="false" ht="15" hidden="false" customHeight="false" outlineLevel="0" collapsed="false">
      <c r="E600" s="14"/>
      <c r="F600" s="14"/>
    </row>
    <row r="601" customFormat="false" ht="15" hidden="false" customHeight="false" outlineLevel="0" collapsed="false">
      <c r="E601" s="14"/>
      <c r="F601" s="14"/>
    </row>
    <row r="602" customFormat="false" ht="15" hidden="false" customHeight="false" outlineLevel="0" collapsed="false">
      <c r="E602" s="14"/>
      <c r="F602" s="14"/>
    </row>
    <row r="603" customFormat="false" ht="15" hidden="false" customHeight="false" outlineLevel="0" collapsed="false">
      <c r="E603" s="14"/>
      <c r="F603" s="14"/>
    </row>
    <row r="604" customFormat="false" ht="15" hidden="false" customHeight="false" outlineLevel="0" collapsed="false">
      <c r="E604" s="14"/>
      <c r="F604" s="14"/>
    </row>
    <row r="605" customFormat="false" ht="15" hidden="false" customHeight="false" outlineLevel="0" collapsed="false">
      <c r="E605" s="14"/>
      <c r="F605" s="14"/>
    </row>
    <row r="606" customFormat="false" ht="15" hidden="false" customHeight="false" outlineLevel="0" collapsed="false">
      <c r="E606" s="14"/>
      <c r="F606" s="14"/>
    </row>
    <row r="607" customFormat="false" ht="15" hidden="false" customHeight="false" outlineLevel="0" collapsed="false">
      <c r="E607" s="14"/>
      <c r="F607" s="14"/>
    </row>
    <row r="608" customFormat="false" ht="15" hidden="false" customHeight="false" outlineLevel="0" collapsed="false">
      <c r="E608" s="14"/>
      <c r="F608" s="14"/>
    </row>
    <row r="609" customFormat="false" ht="15" hidden="false" customHeight="false" outlineLevel="0" collapsed="false">
      <c r="E609" s="14"/>
      <c r="F609" s="14"/>
    </row>
    <row r="610" customFormat="false" ht="15" hidden="false" customHeight="false" outlineLevel="0" collapsed="false">
      <c r="E610" s="14"/>
      <c r="F610" s="14"/>
    </row>
    <row r="611" customFormat="false" ht="15" hidden="false" customHeight="false" outlineLevel="0" collapsed="false">
      <c r="E611" s="14"/>
      <c r="F611" s="14"/>
    </row>
    <row r="612" customFormat="false" ht="15" hidden="false" customHeight="false" outlineLevel="0" collapsed="false">
      <c r="E612" s="14"/>
      <c r="F612" s="14"/>
    </row>
    <row r="613" customFormat="false" ht="15" hidden="false" customHeight="false" outlineLevel="0" collapsed="false">
      <c r="E613" s="14"/>
      <c r="F613" s="14"/>
    </row>
    <row r="614" customFormat="false" ht="15" hidden="false" customHeight="false" outlineLevel="0" collapsed="false">
      <c r="E614" s="14"/>
      <c r="F614" s="14"/>
    </row>
    <row r="615" customFormat="false" ht="15" hidden="false" customHeight="false" outlineLevel="0" collapsed="false">
      <c r="E615" s="14"/>
      <c r="F615" s="14"/>
    </row>
    <row r="616" customFormat="false" ht="15" hidden="false" customHeight="false" outlineLevel="0" collapsed="false">
      <c r="E616" s="14"/>
      <c r="F616" s="14"/>
    </row>
    <row r="617" customFormat="false" ht="15" hidden="false" customHeight="false" outlineLevel="0" collapsed="false">
      <c r="E617" s="14"/>
      <c r="F617" s="14"/>
    </row>
    <row r="618" customFormat="false" ht="15" hidden="false" customHeight="false" outlineLevel="0" collapsed="false">
      <c r="E618" s="14"/>
      <c r="F618" s="14"/>
    </row>
    <row r="619" customFormat="false" ht="15" hidden="false" customHeight="false" outlineLevel="0" collapsed="false">
      <c r="E619" s="14"/>
      <c r="F619" s="14"/>
    </row>
    <row r="620" customFormat="false" ht="15" hidden="false" customHeight="false" outlineLevel="0" collapsed="false">
      <c r="E620" s="14"/>
      <c r="F620" s="14"/>
    </row>
    <row r="621" customFormat="false" ht="15" hidden="false" customHeight="false" outlineLevel="0" collapsed="false">
      <c r="E621" s="14"/>
      <c r="F621" s="14"/>
    </row>
    <row r="622" customFormat="false" ht="15" hidden="false" customHeight="false" outlineLevel="0" collapsed="false">
      <c r="E622" s="14"/>
      <c r="F622" s="14"/>
    </row>
    <row r="623" customFormat="false" ht="15" hidden="false" customHeight="false" outlineLevel="0" collapsed="false">
      <c r="E623" s="14"/>
      <c r="F623" s="14"/>
    </row>
    <row r="624" customFormat="false" ht="15" hidden="false" customHeight="false" outlineLevel="0" collapsed="false">
      <c r="E624" s="14"/>
      <c r="F624" s="14"/>
    </row>
    <row r="625" customFormat="false" ht="15" hidden="false" customHeight="false" outlineLevel="0" collapsed="false">
      <c r="E625" s="14"/>
      <c r="F625" s="14"/>
    </row>
    <row r="626" customFormat="false" ht="15" hidden="false" customHeight="false" outlineLevel="0" collapsed="false">
      <c r="E626" s="14"/>
      <c r="F626" s="14"/>
    </row>
    <row r="627" customFormat="false" ht="15" hidden="false" customHeight="false" outlineLevel="0" collapsed="false">
      <c r="E627" s="14"/>
      <c r="F627" s="14"/>
    </row>
    <row r="628" customFormat="false" ht="15" hidden="false" customHeight="false" outlineLevel="0" collapsed="false">
      <c r="E628" s="14"/>
      <c r="F628" s="14"/>
    </row>
    <row r="629" customFormat="false" ht="15" hidden="false" customHeight="false" outlineLevel="0" collapsed="false">
      <c r="E629" s="14"/>
      <c r="F629" s="14"/>
    </row>
    <row r="630" customFormat="false" ht="15" hidden="false" customHeight="false" outlineLevel="0" collapsed="false">
      <c r="E630" s="14"/>
      <c r="F630" s="14"/>
    </row>
    <row r="631" customFormat="false" ht="15" hidden="false" customHeight="false" outlineLevel="0" collapsed="false">
      <c r="E631" s="14"/>
      <c r="F631" s="14"/>
    </row>
    <row r="632" customFormat="false" ht="15" hidden="false" customHeight="false" outlineLevel="0" collapsed="false">
      <c r="E632" s="14"/>
      <c r="F632" s="14"/>
    </row>
    <row r="633" customFormat="false" ht="15" hidden="false" customHeight="false" outlineLevel="0" collapsed="false">
      <c r="E633" s="14"/>
      <c r="F633" s="14"/>
    </row>
    <row r="634" customFormat="false" ht="15" hidden="false" customHeight="false" outlineLevel="0" collapsed="false">
      <c r="E634" s="14"/>
      <c r="F634" s="14"/>
    </row>
    <row r="635" customFormat="false" ht="15" hidden="false" customHeight="false" outlineLevel="0" collapsed="false">
      <c r="E635" s="14"/>
      <c r="F635" s="14"/>
    </row>
    <row r="636" customFormat="false" ht="15" hidden="false" customHeight="false" outlineLevel="0" collapsed="false">
      <c r="E636" s="14"/>
      <c r="F636" s="14"/>
    </row>
    <row r="637" customFormat="false" ht="15" hidden="false" customHeight="false" outlineLevel="0" collapsed="false">
      <c r="E637" s="14"/>
      <c r="F637" s="14"/>
    </row>
    <row r="638" customFormat="false" ht="15" hidden="false" customHeight="false" outlineLevel="0" collapsed="false">
      <c r="E638" s="14"/>
      <c r="F638" s="14"/>
    </row>
    <row r="639" customFormat="false" ht="15" hidden="false" customHeight="false" outlineLevel="0" collapsed="false">
      <c r="E639" s="14"/>
      <c r="F639" s="14"/>
    </row>
    <row r="640" customFormat="false" ht="15" hidden="false" customHeight="false" outlineLevel="0" collapsed="false">
      <c r="E640" s="14"/>
      <c r="F640" s="14"/>
    </row>
    <row r="641" customFormat="false" ht="15" hidden="false" customHeight="false" outlineLevel="0" collapsed="false">
      <c r="E641" s="14"/>
      <c r="F641" s="14"/>
    </row>
    <row r="642" customFormat="false" ht="15" hidden="false" customHeight="false" outlineLevel="0" collapsed="false">
      <c r="E642" s="14"/>
      <c r="F642" s="14"/>
    </row>
    <row r="643" customFormat="false" ht="15" hidden="false" customHeight="false" outlineLevel="0" collapsed="false">
      <c r="E643" s="14"/>
      <c r="F643" s="14"/>
    </row>
    <row r="644" customFormat="false" ht="15" hidden="false" customHeight="false" outlineLevel="0" collapsed="false">
      <c r="E644" s="14"/>
      <c r="F644" s="14"/>
    </row>
    <row r="645" customFormat="false" ht="15" hidden="false" customHeight="false" outlineLevel="0" collapsed="false">
      <c r="E645" s="14"/>
      <c r="F645" s="14"/>
    </row>
    <row r="646" customFormat="false" ht="15" hidden="false" customHeight="false" outlineLevel="0" collapsed="false">
      <c r="E646" s="14"/>
      <c r="F646" s="14"/>
    </row>
    <row r="647" customFormat="false" ht="15" hidden="false" customHeight="false" outlineLevel="0" collapsed="false">
      <c r="E647" s="14"/>
      <c r="F647" s="14"/>
    </row>
    <row r="648" customFormat="false" ht="15" hidden="false" customHeight="false" outlineLevel="0" collapsed="false">
      <c r="E648" s="14"/>
      <c r="F648" s="14"/>
    </row>
    <row r="649" customFormat="false" ht="15" hidden="false" customHeight="false" outlineLevel="0" collapsed="false">
      <c r="E649" s="14"/>
      <c r="F649" s="14"/>
    </row>
    <row r="650" customFormat="false" ht="15" hidden="false" customHeight="false" outlineLevel="0" collapsed="false">
      <c r="E650" s="14"/>
      <c r="F650" s="14"/>
    </row>
    <row r="651" customFormat="false" ht="15" hidden="false" customHeight="false" outlineLevel="0" collapsed="false">
      <c r="E651" s="14"/>
      <c r="F651" s="14"/>
    </row>
    <row r="652" customFormat="false" ht="15" hidden="false" customHeight="false" outlineLevel="0" collapsed="false">
      <c r="E652" s="14"/>
      <c r="F652" s="14"/>
    </row>
    <row r="653" customFormat="false" ht="15" hidden="false" customHeight="false" outlineLevel="0" collapsed="false">
      <c r="E653" s="14"/>
      <c r="F653" s="14"/>
    </row>
    <row r="654" customFormat="false" ht="15" hidden="false" customHeight="false" outlineLevel="0" collapsed="false">
      <c r="E654" s="14"/>
      <c r="F654" s="14"/>
    </row>
    <row r="655" customFormat="false" ht="15" hidden="false" customHeight="false" outlineLevel="0" collapsed="false">
      <c r="E655" s="14"/>
      <c r="F655" s="14"/>
    </row>
    <row r="656" customFormat="false" ht="15" hidden="false" customHeight="false" outlineLevel="0" collapsed="false">
      <c r="E656" s="14"/>
      <c r="F656" s="14"/>
    </row>
    <row r="657" customFormat="false" ht="15" hidden="false" customHeight="false" outlineLevel="0" collapsed="false">
      <c r="E657" s="14"/>
      <c r="F657" s="14"/>
    </row>
    <row r="658" customFormat="false" ht="15" hidden="false" customHeight="false" outlineLevel="0" collapsed="false">
      <c r="E658" s="14"/>
      <c r="F658" s="14"/>
    </row>
    <row r="659" customFormat="false" ht="15" hidden="false" customHeight="false" outlineLevel="0" collapsed="false">
      <c r="E659" s="14"/>
      <c r="F659" s="14"/>
    </row>
    <row r="660" customFormat="false" ht="15" hidden="false" customHeight="false" outlineLevel="0" collapsed="false">
      <c r="E660" s="14"/>
      <c r="F660" s="14"/>
    </row>
    <row r="661" customFormat="false" ht="15" hidden="false" customHeight="false" outlineLevel="0" collapsed="false">
      <c r="E661" s="14"/>
      <c r="F661" s="14"/>
    </row>
    <row r="662" customFormat="false" ht="15" hidden="false" customHeight="false" outlineLevel="0" collapsed="false">
      <c r="E662" s="14"/>
      <c r="F662" s="14"/>
    </row>
    <row r="663" customFormat="false" ht="15" hidden="false" customHeight="false" outlineLevel="0" collapsed="false">
      <c r="E663" s="14"/>
      <c r="F663" s="14"/>
    </row>
    <row r="664" customFormat="false" ht="15" hidden="false" customHeight="false" outlineLevel="0" collapsed="false">
      <c r="E664" s="14"/>
      <c r="F664" s="14"/>
    </row>
    <row r="665" customFormat="false" ht="15" hidden="false" customHeight="false" outlineLevel="0" collapsed="false">
      <c r="E665" s="14"/>
      <c r="F665" s="14"/>
    </row>
    <row r="666" customFormat="false" ht="15" hidden="false" customHeight="false" outlineLevel="0" collapsed="false">
      <c r="E666" s="14"/>
      <c r="F666" s="14"/>
    </row>
    <row r="667" customFormat="false" ht="15" hidden="false" customHeight="false" outlineLevel="0" collapsed="false">
      <c r="E667" s="14"/>
      <c r="F667" s="14"/>
    </row>
    <row r="668" customFormat="false" ht="15" hidden="false" customHeight="false" outlineLevel="0" collapsed="false">
      <c r="E668" s="14"/>
      <c r="F668" s="14"/>
    </row>
    <row r="669" customFormat="false" ht="15" hidden="false" customHeight="false" outlineLevel="0" collapsed="false">
      <c r="E669" s="14"/>
      <c r="F669" s="14"/>
    </row>
    <row r="670" customFormat="false" ht="15" hidden="false" customHeight="false" outlineLevel="0" collapsed="false">
      <c r="E670" s="14"/>
      <c r="F670" s="14"/>
    </row>
    <row r="671" customFormat="false" ht="15" hidden="false" customHeight="false" outlineLevel="0" collapsed="false">
      <c r="E671" s="14"/>
      <c r="F671" s="14"/>
    </row>
    <row r="672" customFormat="false" ht="15" hidden="false" customHeight="false" outlineLevel="0" collapsed="false">
      <c r="E672" s="14"/>
      <c r="F672" s="14"/>
    </row>
    <row r="673" customFormat="false" ht="15" hidden="false" customHeight="false" outlineLevel="0" collapsed="false">
      <c r="E673" s="14"/>
      <c r="F673" s="14"/>
    </row>
    <row r="674" customFormat="false" ht="15" hidden="false" customHeight="false" outlineLevel="0" collapsed="false">
      <c r="E674" s="14"/>
      <c r="F674" s="14"/>
    </row>
    <row r="675" customFormat="false" ht="15" hidden="false" customHeight="false" outlineLevel="0" collapsed="false">
      <c r="E675" s="14"/>
      <c r="F675" s="14"/>
    </row>
    <row r="676" customFormat="false" ht="15" hidden="false" customHeight="false" outlineLevel="0" collapsed="false">
      <c r="E676" s="14"/>
      <c r="F676" s="14"/>
    </row>
    <row r="677" customFormat="false" ht="15" hidden="false" customHeight="false" outlineLevel="0" collapsed="false">
      <c r="E677" s="14"/>
      <c r="F677" s="14"/>
    </row>
    <row r="678" customFormat="false" ht="15" hidden="false" customHeight="false" outlineLevel="0" collapsed="false">
      <c r="E678" s="14"/>
      <c r="F678" s="14"/>
    </row>
    <row r="679" customFormat="false" ht="15" hidden="false" customHeight="false" outlineLevel="0" collapsed="false">
      <c r="E679" s="14"/>
      <c r="F679" s="14"/>
    </row>
    <row r="680" customFormat="false" ht="15" hidden="false" customHeight="false" outlineLevel="0" collapsed="false">
      <c r="E680" s="14"/>
      <c r="F680" s="14"/>
    </row>
    <row r="681" customFormat="false" ht="15" hidden="false" customHeight="false" outlineLevel="0" collapsed="false">
      <c r="E681" s="14"/>
      <c r="F681" s="14"/>
    </row>
    <row r="682" customFormat="false" ht="15" hidden="false" customHeight="false" outlineLevel="0" collapsed="false">
      <c r="E682" s="14"/>
      <c r="F682" s="14"/>
    </row>
    <row r="683" customFormat="false" ht="15" hidden="false" customHeight="false" outlineLevel="0" collapsed="false">
      <c r="E683" s="14"/>
      <c r="F683" s="14"/>
    </row>
    <row r="684" customFormat="false" ht="15" hidden="false" customHeight="false" outlineLevel="0" collapsed="false">
      <c r="E684" s="14"/>
      <c r="F684" s="14"/>
    </row>
    <row r="685" customFormat="false" ht="15" hidden="false" customHeight="false" outlineLevel="0" collapsed="false">
      <c r="E685" s="14"/>
      <c r="F685" s="14"/>
    </row>
    <row r="686" customFormat="false" ht="15" hidden="false" customHeight="false" outlineLevel="0" collapsed="false">
      <c r="E686" s="14"/>
      <c r="F686" s="14"/>
    </row>
    <row r="687" customFormat="false" ht="15" hidden="false" customHeight="false" outlineLevel="0" collapsed="false">
      <c r="E687" s="14"/>
      <c r="F687" s="14"/>
    </row>
    <row r="688" customFormat="false" ht="15" hidden="false" customHeight="false" outlineLevel="0" collapsed="false">
      <c r="E688" s="14"/>
      <c r="F688" s="14"/>
    </row>
    <row r="689" customFormat="false" ht="15" hidden="false" customHeight="false" outlineLevel="0" collapsed="false">
      <c r="E689" s="14"/>
      <c r="F689" s="14"/>
    </row>
    <row r="690" customFormat="false" ht="15" hidden="false" customHeight="false" outlineLevel="0" collapsed="false">
      <c r="E690" s="14"/>
      <c r="F690" s="14"/>
    </row>
    <row r="691" customFormat="false" ht="15" hidden="false" customHeight="false" outlineLevel="0" collapsed="false">
      <c r="E691" s="14"/>
      <c r="F691" s="14"/>
    </row>
    <row r="692" customFormat="false" ht="15" hidden="false" customHeight="false" outlineLevel="0" collapsed="false">
      <c r="E692" s="14"/>
      <c r="F692" s="14"/>
    </row>
    <row r="693" customFormat="false" ht="15" hidden="false" customHeight="false" outlineLevel="0" collapsed="false">
      <c r="E693" s="14"/>
      <c r="F693" s="14"/>
    </row>
    <row r="694" customFormat="false" ht="15" hidden="false" customHeight="false" outlineLevel="0" collapsed="false">
      <c r="E694" s="14"/>
      <c r="F694" s="14"/>
    </row>
    <row r="695" customFormat="false" ht="15" hidden="false" customHeight="false" outlineLevel="0" collapsed="false">
      <c r="E695" s="14"/>
      <c r="F695" s="14"/>
    </row>
    <row r="696" customFormat="false" ht="15" hidden="false" customHeight="false" outlineLevel="0" collapsed="false">
      <c r="E696" s="14"/>
      <c r="F696" s="14"/>
    </row>
    <row r="697" customFormat="false" ht="15" hidden="false" customHeight="false" outlineLevel="0" collapsed="false">
      <c r="E697" s="14"/>
      <c r="F697" s="14"/>
    </row>
    <row r="698" customFormat="false" ht="15" hidden="false" customHeight="false" outlineLevel="0" collapsed="false">
      <c r="E698" s="14"/>
      <c r="F698" s="14"/>
    </row>
    <row r="699" customFormat="false" ht="15" hidden="false" customHeight="false" outlineLevel="0" collapsed="false">
      <c r="E699" s="14"/>
      <c r="F699" s="14"/>
    </row>
    <row r="700" customFormat="false" ht="15" hidden="false" customHeight="false" outlineLevel="0" collapsed="false">
      <c r="E700" s="14"/>
      <c r="F700" s="14"/>
    </row>
    <row r="701" customFormat="false" ht="15" hidden="false" customHeight="false" outlineLevel="0" collapsed="false">
      <c r="E701" s="14"/>
      <c r="F701" s="14"/>
    </row>
    <row r="702" customFormat="false" ht="15" hidden="false" customHeight="false" outlineLevel="0" collapsed="false">
      <c r="E702" s="14"/>
      <c r="F702" s="14"/>
    </row>
    <row r="703" customFormat="false" ht="15" hidden="false" customHeight="false" outlineLevel="0" collapsed="false">
      <c r="E703" s="14"/>
      <c r="F703" s="14"/>
    </row>
    <row r="704" customFormat="false" ht="15" hidden="false" customHeight="false" outlineLevel="0" collapsed="false">
      <c r="E704" s="14"/>
      <c r="F704" s="14"/>
    </row>
    <row r="705" customFormat="false" ht="15" hidden="false" customHeight="false" outlineLevel="0" collapsed="false">
      <c r="E705" s="14"/>
      <c r="F705" s="14"/>
    </row>
    <row r="706" customFormat="false" ht="15" hidden="false" customHeight="false" outlineLevel="0" collapsed="false">
      <c r="E706" s="14"/>
      <c r="F706" s="14"/>
    </row>
    <row r="707" customFormat="false" ht="15" hidden="false" customHeight="false" outlineLevel="0" collapsed="false">
      <c r="E707" s="14"/>
      <c r="F707" s="14"/>
    </row>
    <row r="708" customFormat="false" ht="15" hidden="false" customHeight="false" outlineLevel="0" collapsed="false">
      <c r="E708" s="14"/>
      <c r="F708" s="14"/>
    </row>
    <row r="709" customFormat="false" ht="15" hidden="false" customHeight="false" outlineLevel="0" collapsed="false">
      <c r="E709" s="14"/>
      <c r="F709" s="14"/>
    </row>
    <row r="710" customFormat="false" ht="15" hidden="false" customHeight="false" outlineLevel="0" collapsed="false">
      <c r="E710" s="14"/>
      <c r="F710" s="14"/>
    </row>
    <row r="711" customFormat="false" ht="15" hidden="false" customHeight="false" outlineLevel="0" collapsed="false">
      <c r="E711" s="14"/>
      <c r="F711" s="14"/>
    </row>
    <row r="712" customFormat="false" ht="15" hidden="false" customHeight="false" outlineLevel="0" collapsed="false">
      <c r="E712" s="14"/>
      <c r="F712" s="14"/>
    </row>
    <row r="713" customFormat="false" ht="15" hidden="false" customHeight="false" outlineLevel="0" collapsed="false">
      <c r="E713" s="14"/>
      <c r="F713" s="14"/>
    </row>
    <row r="714" customFormat="false" ht="15" hidden="false" customHeight="false" outlineLevel="0" collapsed="false">
      <c r="E714" s="14"/>
      <c r="F714" s="14"/>
    </row>
    <row r="715" customFormat="false" ht="15" hidden="false" customHeight="false" outlineLevel="0" collapsed="false">
      <c r="E715" s="14"/>
      <c r="F715" s="14"/>
    </row>
    <row r="716" customFormat="false" ht="15" hidden="false" customHeight="false" outlineLevel="0" collapsed="false">
      <c r="E716" s="14"/>
      <c r="F716" s="14"/>
    </row>
    <row r="717" customFormat="false" ht="15" hidden="false" customHeight="false" outlineLevel="0" collapsed="false">
      <c r="E717" s="14"/>
      <c r="F717" s="14"/>
    </row>
    <row r="718" customFormat="false" ht="15" hidden="false" customHeight="false" outlineLevel="0" collapsed="false">
      <c r="E718" s="14"/>
      <c r="F718" s="14"/>
    </row>
    <row r="719" customFormat="false" ht="15" hidden="false" customHeight="false" outlineLevel="0" collapsed="false">
      <c r="E719" s="14"/>
      <c r="F719" s="14"/>
    </row>
    <row r="720" customFormat="false" ht="15" hidden="false" customHeight="false" outlineLevel="0" collapsed="false">
      <c r="E720" s="14"/>
      <c r="F720" s="14"/>
    </row>
    <row r="721" customFormat="false" ht="15" hidden="false" customHeight="false" outlineLevel="0" collapsed="false">
      <c r="E721" s="14"/>
      <c r="F721" s="14"/>
    </row>
    <row r="722" customFormat="false" ht="15" hidden="false" customHeight="false" outlineLevel="0" collapsed="false">
      <c r="E722" s="14"/>
      <c r="F722" s="14"/>
    </row>
    <row r="723" customFormat="false" ht="15" hidden="false" customHeight="false" outlineLevel="0" collapsed="false">
      <c r="E723" s="14"/>
      <c r="F723" s="14"/>
    </row>
    <row r="724" customFormat="false" ht="15" hidden="false" customHeight="false" outlineLevel="0" collapsed="false">
      <c r="E724" s="14"/>
      <c r="F724" s="14"/>
    </row>
    <row r="725" customFormat="false" ht="15" hidden="false" customHeight="false" outlineLevel="0" collapsed="false">
      <c r="E725" s="14"/>
      <c r="F725" s="14"/>
    </row>
    <row r="726" customFormat="false" ht="15" hidden="false" customHeight="false" outlineLevel="0" collapsed="false">
      <c r="E726" s="14"/>
      <c r="F726" s="14"/>
    </row>
    <row r="727" customFormat="false" ht="15" hidden="false" customHeight="false" outlineLevel="0" collapsed="false">
      <c r="E727" s="14"/>
      <c r="F727" s="14"/>
    </row>
    <row r="728" customFormat="false" ht="15" hidden="false" customHeight="false" outlineLevel="0" collapsed="false">
      <c r="E728" s="14"/>
      <c r="F728" s="14"/>
    </row>
    <row r="729" customFormat="false" ht="15" hidden="false" customHeight="false" outlineLevel="0" collapsed="false">
      <c r="E729" s="14"/>
      <c r="F729" s="14"/>
    </row>
    <row r="730" customFormat="false" ht="15" hidden="false" customHeight="false" outlineLevel="0" collapsed="false">
      <c r="E730" s="14"/>
      <c r="F730" s="14"/>
    </row>
    <row r="731" customFormat="false" ht="15" hidden="false" customHeight="false" outlineLevel="0" collapsed="false">
      <c r="E731" s="14"/>
      <c r="F731" s="14"/>
    </row>
    <row r="732" customFormat="false" ht="15" hidden="false" customHeight="false" outlineLevel="0" collapsed="false">
      <c r="E732" s="14"/>
      <c r="F732" s="14"/>
    </row>
    <row r="733" customFormat="false" ht="15" hidden="false" customHeight="false" outlineLevel="0" collapsed="false">
      <c r="E733" s="14"/>
      <c r="F733" s="14"/>
    </row>
    <row r="734" customFormat="false" ht="15" hidden="false" customHeight="false" outlineLevel="0" collapsed="false">
      <c r="E734" s="14"/>
      <c r="F734" s="14"/>
    </row>
    <row r="735" customFormat="false" ht="15" hidden="false" customHeight="false" outlineLevel="0" collapsed="false">
      <c r="E735" s="14"/>
      <c r="F735" s="14"/>
    </row>
    <row r="736" customFormat="false" ht="15" hidden="false" customHeight="false" outlineLevel="0" collapsed="false">
      <c r="E736" s="14"/>
      <c r="F736" s="14"/>
    </row>
    <row r="737" customFormat="false" ht="15" hidden="false" customHeight="false" outlineLevel="0" collapsed="false">
      <c r="E737" s="14"/>
      <c r="F737" s="14"/>
    </row>
    <row r="738" customFormat="false" ht="15" hidden="false" customHeight="false" outlineLevel="0" collapsed="false">
      <c r="E738" s="14"/>
      <c r="F738" s="14"/>
    </row>
    <row r="739" customFormat="false" ht="15" hidden="false" customHeight="false" outlineLevel="0" collapsed="false">
      <c r="E739" s="14"/>
      <c r="F739" s="14"/>
    </row>
    <row r="740" customFormat="false" ht="15" hidden="false" customHeight="false" outlineLevel="0" collapsed="false">
      <c r="E740" s="14"/>
      <c r="F740" s="14"/>
    </row>
    <row r="741" customFormat="false" ht="15" hidden="false" customHeight="false" outlineLevel="0" collapsed="false">
      <c r="E741" s="14"/>
      <c r="F741" s="14"/>
    </row>
    <row r="742" customFormat="false" ht="15" hidden="false" customHeight="false" outlineLevel="0" collapsed="false">
      <c r="E742" s="14"/>
      <c r="F742" s="14"/>
    </row>
    <row r="743" customFormat="false" ht="15" hidden="false" customHeight="false" outlineLevel="0" collapsed="false">
      <c r="E743" s="14"/>
      <c r="F743" s="14"/>
    </row>
    <row r="744" customFormat="false" ht="15" hidden="false" customHeight="false" outlineLevel="0" collapsed="false">
      <c r="E744" s="14"/>
      <c r="F744" s="14"/>
    </row>
    <row r="745" customFormat="false" ht="15" hidden="false" customHeight="false" outlineLevel="0" collapsed="false">
      <c r="E745" s="14"/>
      <c r="F745" s="14"/>
    </row>
    <row r="746" customFormat="false" ht="15" hidden="false" customHeight="false" outlineLevel="0" collapsed="false">
      <c r="E746" s="14"/>
      <c r="F746" s="14"/>
    </row>
    <row r="747" customFormat="false" ht="15" hidden="false" customHeight="false" outlineLevel="0" collapsed="false">
      <c r="E747" s="14"/>
      <c r="F747" s="14"/>
    </row>
    <row r="748" customFormat="false" ht="15" hidden="false" customHeight="false" outlineLevel="0" collapsed="false">
      <c r="E748" s="14"/>
      <c r="F748" s="14"/>
    </row>
    <row r="749" customFormat="false" ht="15" hidden="false" customHeight="false" outlineLevel="0" collapsed="false">
      <c r="E749" s="14"/>
      <c r="F749" s="14"/>
    </row>
    <row r="750" customFormat="false" ht="15" hidden="false" customHeight="false" outlineLevel="0" collapsed="false">
      <c r="E750" s="14"/>
      <c r="F750" s="14"/>
    </row>
    <row r="751" customFormat="false" ht="15" hidden="false" customHeight="false" outlineLevel="0" collapsed="false">
      <c r="E751" s="14"/>
      <c r="F751" s="14"/>
    </row>
    <row r="752" customFormat="false" ht="15" hidden="false" customHeight="false" outlineLevel="0" collapsed="false">
      <c r="E752" s="14"/>
      <c r="F752" s="14"/>
    </row>
    <row r="753" customFormat="false" ht="15" hidden="false" customHeight="false" outlineLevel="0" collapsed="false">
      <c r="E753" s="14"/>
      <c r="F753" s="14"/>
    </row>
    <row r="754" customFormat="false" ht="15" hidden="false" customHeight="false" outlineLevel="0" collapsed="false">
      <c r="E754" s="14"/>
      <c r="F754" s="14"/>
    </row>
    <row r="755" customFormat="false" ht="15" hidden="false" customHeight="false" outlineLevel="0" collapsed="false">
      <c r="E755" s="14"/>
      <c r="F755" s="14"/>
    </row>
    <row r="756" customFormat="false" ht="15" hidden="false" customHeight="false" outlineLevel="0" collapsed="false">
      <c r="E756" s="14"/>
      <c r="F756" s="14"/>
    </row>
    <row r="757" customFormat="false" ht="15" hidden="false" customHeight="false" outlineLevel="0" collapsed="false">
      <c r="E757" s="14"/>
      <c r="F757" s="14"/>
    </row>
    <row r="758" customFormat="false" ht="15" hidden="false" customHeight="false" outlineLevel="0" collapsed="false">
      <c r="E758" s="14"/>
      <c r="F758" s="14"/>
    </row>
    <row r="759" customFormat="false" ht="15" hidden="false" customHeight="false" outlineLevel="0" collapsed="false">
      <c r="E759" s="14"/>
      <c r="F759" s="14"/>
    </row>
    <row r="760" customFormat="false" ht="15" hidden="false" customHeight="false" outlineLevel="0" collapsed="false">
      <c r="E760" s="14"/>
      <c r="F760" s="14"/>
    </row>
    <row r="761" customFormat="false" ht="15" hidden="false" customHeight="false" outlineLevel="0" collapsed="false">
      <c r="E761" s="14"/>
      <c r="F761" s="14"/>
    </row>
    <row r="762" customFormat="false" ht="15" hidden="false" customHeight="false" outlineLevel="0" collapsed="false">
      <c r="E762" s="14"/>
      <c r="F762" s="14"/>
    </row>
    <row r="763" customFormat="false" ht="15" hidden="false" customHeight="false" outlineLevel="0" collapsed="false">
      <c r="E763" s="14"/>
      <c r="F763" s="14"/>
    </row>
    <row r="764" customFormat="false" ht="15" hidden="false" customHeight="false" outlineLevel="0" collapsed="false">
      <c r="E764" s="14"/>
      <c r="F764" s="14"/>
    </row>
    <row r="765" customFormat="false" ht="15" hidden="false" customHeight="false" outlineLevel="0" collapsed="false">
      <c r="E765" s="14"/>
      <c r="F765" s="14"/>
    </row>
    <row r="766" customFormat="false" ht="15" hidden="false" customHeight="false" outlineLevel="0" collapsed="false">
      <c r="E766" s="14"/>
      <c r="F766" s="14"/>
    </row>
    <row r="767" customFormat="false" ht="15" hidden="false" customHeight="false" outlineLevel="0" collapsed="false">
      <c r="E767" s="14"/>
      <c r="F767" s="14"/>
    </row>
    <row r="768" customFormat="false" ht="15" hidden="false" customHeight="false" outlineLevel="0" collapsed="false">
      <c r="E768" s="14"/>
      <c r="F768" s="14"/>
    </row>
    <row r="769" customFormat="false" ht="15" hidden="false" customHeight="false" outlineLevel="0" collapsed="false">
      <c r="E769" s="14"/>
      <c r="F769" s="14"/>
    </row>
    <row r="770" customFormat="false" ht="15" hidden="false" customHeight="false" outlineLevel="0" collapsed="false">
      <c r="E770" s="14"/>
      <c r="F770" s="14"/>
    </row>
    <row r="771" customFormat="false" ht="15" hidden="false" customHeight="false" outlineLevel="0" collapsed="false">
      <c r="E771" s="14"/>
      <c r="F771" s="14"/>
    </row>
    <row r="772" customFormat="false" ht="15" hidden="false" customHeight="false" outlineLevel="0" collapsed="false">
      <c r="E772" s="14"/>
      <c r="F772" s="14"/>
    </row>
    <row r="773" customFormat="false" ht="15" hidden="false" customHeight="false" outlineLevel="0" collapsed="false">
      <c r="E773" s="14"/>
      <c r="F773" s="14"/>
    </row>
    <row r="774" customFormat="false" ht="15" hidden="false" customHeight="false" outlineLevel="0" collapsed="false">
      <c r="E774" s="14"/>
      <c r="F774" s="14"/>
    </row>
    <row r="775" customFormat="false" ht="15" hidden="false" customHeight="false" outlineLevel="0" collapsed="false">
      <c r="E775" s="14"/>
      <c r="F775" s="14"/>
    </row>
    <row r="776" customFormat="false" ht="15" hidden="false" customHeight="false" outlineLevel="0" collapsed="false">
      <c r="E776" s="14"/>
      <c r="F776" s="14"/>
    </row>
    <row r="777" customFormat="false" ht="15" hidden="false" customHeight="false" outlineLevel="0" collapsed="false">
      <c r="E777" s="14"/>
      <c r="F777" s="14"/>
    </row>
    <row r="778" customFormat="false" ht="15" hidden="false" customHeight="false" outlineLevel="0" collapsed="false">
      <c r="E778" s="14"/>
      <c r="F778" s="14"/>
    </row>
    <row r="779" customFormat="false" ht="15" hidden="false" customHeight="false" outlineLevel="0" collapsed="false">
      <c r="E779" s="14"/>
      <c r="F779" s="14"/>
    </row>
    <row r="780" customFormat="false" ht="15" hidden="false" customHeight="false" outlineLevel="0" collapsed="false">
      <c r="E780" s="14"/>
      <c r="F780" s="14"/>
    </row>
    <row r="781" customFormat="false" ht="15" hidden="false" customHeight="false" outlineLevel="0" collapsed="false">
      <c r="E781" s="14"/>
      <c r="F781" s="14"/>
    </row>
    <row r="782" customFormat="false" ht="15" hidden="false" customHeight="false" outlineLevel="0" collapsed="false">
      <c r="E782" s="14"/>
      <c r="F782" s="14"/>
    </row>
    <row r="783" customFormat="false" ht="15" hidden="false" customHeight="false" outlineLevel="0" collapsed="false">
      <c r="E783" s="14"/>
      <c r="F783" s="14"/>
    </row>
    <row r="784" customFormat="false" ht="15" hidden="false" customHeight="false" outlineLevel="0" collapsed="false">
      <c r="E784" s="14"/>
      <c r="F784" s="14"/>
    </row>
    <row r="785" customFormat="false" ht="15" hidden="false" customHeight="false" outlineLevel="0" collapsed="false">
      <c r="E785" s="14"/>
      <c r="F785" s="14"/>
    </row>
    <row r="786" customFormat="false" ht="15" hidden="false" customHeight="false" outlineLevel="0" collapsed="false">
      <c r="E786" s="14"/>
      <c r="F786" s="14"/>
    </row>
    <row r="787" customFormat="false" ht="15" hidden="false" customHeight="false" outlineLevel="0" collapsed="false">
      <c r="E787" s="14"/>
      <c r="F787" s="14"/>
    </row>
    <row r="788" customFormat="false" ht="15" hidden="false" customHeight="false" outlineLevel="0" collapsed="false">
      <c r="E788" s="14"/>
      <c r="F788" s="14"/>
    </row>
    <row r="789" customFormat="false" ht="15" hidden="false" customHeight="false" outlineLevel="0" collapsed="false">
      <c r="E789" s="14"/>
      <c r="F789" s="14"/>
    </row>
    <row r="790" customFormat="false" ht="15" hidden="false" customHeight="false" outlineLevel="0" collapsed="false">
      <c r="E790" s="14"/>
      <c r="F790" s="14"/>
    </row>
    <row r="791" customFormat="false" ht="15" hidden="false" customHeight="false" outlineLevel="0" collapsed="false">
      <c r="E791" s="14"/>
      <c r="F791" s="14"/>
    </row>
    <row r="792" customFormat="false" ht="15" hidden="false" customHeight="false" outlineLevel="0" collapsed="false">
      <c r="E792" s="14"/>
      <c r="F792" s="14"/>
    </row>
    <row r="793" customFormat="false" ht="15" hidden="false" customHeight="false" outlineLevel="0" collapsed="false">
      <c r="E793" s="14"/>
      <c r="F793" s="14"/>
    </row>
    <row r="794" customFormat="false" ht="15" hidden="false" customHeight="false" outlineLevel="0" collapsed="false">
      <c r="E794" s="14"/>
      <c r="F794" s="14"/>
    </row>
    <row r="795" customFormat="false" ht="15" hidden="false" customHeight="false" outlineLevel="0" collapsed="false">
      <c r="E795" s="14"/>
      <c r="F795" s="14"/>
    </row>
    <row r="796" customFormat="false" ht="15" hidden="false" customHeight="false" outlineLevel="0" collapsed="false">
      <c r="E796" s="14"/>
      <c r="F796" s="14"/>
    </row>
    <row r="797" customFormat="false" ht="15" hidden="false" customHeight="false" outlineLevel="0" collapsed="false">
      <c r="E797" s="14"/>
      <c r="F797" s="14"/>
    </row>
    <row r="798" customFormat="false" ht="15" hidden="false" customHeight="false" outlineLevel="0" collapsed="false">
      <c r="E798" s="14"/>
      <c r="F798" s="14"/>
    </row>
    <row r="799" customFormat="false" ht="15" hidden="false" customHeight="false" outlineLevel="0" collapsed="false">
      <c r="E799" s="14"/>
      <c r="F799" s="14"/>
    </row>
    <row r="800" customFormat="false" ht="15" hidden="false" customHeight="false" outlineLevel="0" collapsed="false">
      <c r="E800" s="14"/>
      <c r="F800" s="14"/>
    </row>
    <row r="801" customFormat="false" ht="15" hidden="false" customHeight="false" outlineLevel="0" collapsed="false">
      <c r="E801" s="14"/>
      <c r="F801" s="14"/>
    </row>
    <row r="802" customFormat="false" ht="15" hidden="false" customHeight="false" outlineLevel="0" collapsed="false">
      <c r="E802" s="14"/>
      <c r="F802" s="14"/>
    </row>
    <row r="803" customFormat="false" ht="15" hidden="false" customHeight="false" outlineLevel="0" collapsed="false">
      <c r="E803" s="14"/>
      <c r="F803" s="14"/>
    </row>
    <row r="804" customFormat="false" ht="15" hidden="false" customHeight="false" outlineLevel="0" collapsed="false">
      <c r="E804" s="14"/>
      <c r="F804" s="14"/>
    </row>
    <row r="805" customFormat="false" ht="15" hidden="false" customHeight="false" outlineLevel="0" collapsed="false">
      <c r="E805" s="14"/>
      <c r="F805" s="14"/>
    </row>
    <row r="806" customFormat="false" ht="15" hidden="false" customHeight="false" outlineLevel="0" collapsed="false">
      <c r="E806" s="14"/>
      <c r="F806" s="14"/>
    </row>
    <row r="807" customFormat="false" ht="15" hidden="false" customHeight="false" outlineLevel="0" collapsed="false">
      <c r="E807" s="14"/>
      <c r="F807" s="14"/>
    </row>
    <row r="808" customFormat="false" ht="15" hidden="false" customHeight="false" outlineLevel="0" collapsed="false">
      <c r="E808" s="14"/>
      <c r="F808" s="14"/>
    </row>
    <row r="809" customFormat="false" ht="15" hidden="false" customHeight="false" outlineLevel="0" collapsed="false">
      <c r="E809" s="14"/>
      <c r="F809" s="14"/>
    </row>
    <row r="810" customFormat="false" ht="15" hidden="false" customHeight="false" outlineLevel="0" collapsed="false">
      <c r="E810" s="14"/>
      <c r="F810" s="14"/>
    </row>
    <row r="811" customFormat="false" ht="15" hidden="false" customHeight="false" outlineLevel="0" collapsed="false">
      <c r="E811" s="14"/>
      <c r="F811" s="14"/>
    </row>
    <row r="812" customFormat="false" ht="15" hidden="false" customHeight="false" outlineLevel="0" collapsed="false">
      <c r="E812" s="14"/>
      <c r="F812" s="14"/>
    </row>
    <row r="813" customFormat="false" ht="15" hidden="false" customHeight="false" outlineLevel="0" collapsed="false">
      <c r="E813" s="14"/>
      <c r="F813" s="14"/>
    </row>
    <row r="814" customFormat="false" ht="15" hidden="false" customHeight="false" outlineLevel="0" collapsed="false">
      <c r="E814" s="14"/>
      <c r="F814" s="14"/>
    </row>
    <row r="815" customFormat="false" ht="15" hidden="false" customHeight="false" outlineLevel="0" collapsed="false">
      <c r="E815" s="14"/>
      <c r="F815" s="14"/>
    </row>
    <row r="816" customFormat="false" ht="15" hidden="false" customHeight="false" outlineLevel="0" collapsed="false">
      <c r="E816" s="14"/>
      <c r="F816" s="14"/>
    </row>
    <row r="817" customFormat="false" ht="15" hidden="false" customHeight="false" outlineLevel="0" collapsed="false">
      <c r="E817" s="14"/>
      <c r="F817" s="14"/>
    </row>
    <row r="818" customFormat="false" ht="15" hidden="false" customHeight="false" outlineLevel="0" collapsed="false">
      <c r="E818" s="14"/>
      <c r="F818" s="14"/>
    </row>
    <row r="819" customFormat="false" ht="15" hidden="false" customHeight="false" outlineLevel="0" collapsed="false">
      <c r="E819" s="14"/>
      <c r="F819" s="14"/>
    </row>
    <row r="820" customFormat="false" ht="15" hidden="false" customHeight="false" outlineLevel="0" collapsed="false">
      <c r="E820" s="14"/>
      <c r="F820" s="14"/>
    </row>
    <row r="821" customFormat="false" ht="15" hidden="false" customHeight="false" outlineLevel="0" collapsed="false">
      <c r="E821" s="14"/>
      <c r="F821" s="14"/>
    </row>
    <row r="822" customFormat="false" ht="15" hidden="false" customHeight="false" outlineLevel="0" collapsed="false">
      <c r="E822" s="14"/>
      <c r="F822" s="14"/>
    </row>
    <row r="823" customFormat="false" ht="15" hidden="false" customHeight="false" outlineLevel="0" collapsed="false">
      <c r="E823" s="14"/>
      <c r="F823" s="14"/>
    </row>
    <row r="824" customFormat="false" ht="15" hidden="false" customHeight="false" outlineLevel="0" collapsed="false">
      <c r="E824" s="14"/>
      <c r="F824" s="14"/>
    </row>
    <row r="825" customFormat="false" ht="15" hidden="false" customHeight="false" outlineLevel="0" collapsed="false">
      <c r="E825" s="14"/>
      <c r="F825" s="14"/>
    </row>
    <row r="826" customFormat="false" ht="15" hidden="false" customHeight="false" outlineLevel="0" collapsed="false">
      <c r="E826" s="14"/>
      <c r="F826" s="14"/>
    </row>
    <row r="827" customFormat="false" ht="15" hidden="false" customHeight="false" outlineLevel="0" collapsed="false">
      <c r="E827" s="14"/>
      <c r="F827" s="14"/>
    </row>
    <row r="828" customFormat="false" ht="15" hidden="false" customHeight="false" outlineLevel="0" collapsed="false">
      <c r="E828" s="14"/>
      <c r="F828" s="14"/>
    </row>
    <row r="829" customFormat="false" ht="15" hidden="false" customHeight="false" outlineLevel="0" collapsed="false">
      <c r="E829" s="14"/>
      <c r="F829" s="14"/>
    </row>
    <row r="830" customFormat="false" ht="15" hidden="false" customHeight="false" outlineLevel="0" collapsed="false">
      <c r="E830" s="14"/>
      <c r="F830" s="14"/>
    </row>
    <row r="831" customFormat="false" ht="15" hidden="false" customHeight="false" outlineLevel="0" collapsed="false">
      <c r="E831" s="14"/>
      <c r="F831" s="14"/>
    </row>
    <row r="832" customFormat="false" ht="15" hidden="false" customHeight="false" outlineLevel="0" collapsed="false">
      <c r="E832" s="14"/>
      <c r="F832" s="14"/>
    </row>
    <row r="833" customFormat="false" ht="15" hidden="false" customHeight="false" outlineLevel="0" collapsed="false">
      <c r="E833" s="14"/>
      <c r="F833" s="14"/>
    </row>
    <row r="834" customFormat="false" ht="15" hidden="false" customHeight="false" outlineLevel="0" collapsed="false">
      <c r="E834" s="14"/>
      <c r="F834" s="14"/>
    </row>
    <row r="835" customFormat="false" ht="15" hidden="false" customHeight="false" outlineLevel="0" collapsed="false">
      <c r="E835" s="14"/>
      <c r="F835" s="14"/>
    </row>
    <row r="836" customFormat="false" ht="15" hidden="false" customHeight="false" outlineLevel="0" collapsed="false">
      <c r="E836" s="14"/>
      <c r="F836" s="14"/>
    </row>
    <row r="837" customFormat="false" ht="15" hidden="false" customHeight="false" outlineLevel="0" collapsed="false">
      <c r="E837" s="14"/>
      <c r="F837" s="14"/>
    </row>
    <row r="838" customFormat="false" ht="15" hidden="false" customHeight="false" outlineLevel="0" collapsed="false">
      <c r="E838" s="14"/>
      <c r="F838" s="14"/>
    </row>
    <row r="839" customFormat="false" ht="15" hidden="false" customHeight="false" outlineLevel="0" collapsed="false">
      <c r="E839" s="14"/>
      <c r="F839" s="14"/>
    </row>
    <row r="840" customFormat="false" ht="15" hidden="false" customHeight="false" outlineLevel="0" collapsed="false">
      <c r="E840" s="14"/>
      <c r="F840" s="14"/>
    </row>
    <row r="841" customFormat="false" ht="15" hidden="false" customHeight="false" outlineLevel="0" collapsed="false">
      <c r="E841" s="14"/>
      <c r="F841" s="14"/>
    </row>
    <row r="842" customFormat="false" ht="15" hidden="false" customHeight="false" outlineLevel="0" collapsed="false">
      <c r="E842" s="14"/>
      <c r="F842" s="14"/>
    </row>
    <row r="843" customFormat="false" ht="15" hidden="false" customHeight="false" outlineLevel="0" collapsed="false">
      <c r="E843" s="14"/>
      <c r="F843" s="14"/>
    </row>
    <row r="844" customFormat="false" ht="15" hidden="false" customHeight="false" outlineLevel="0" collapsed="false">
      <c r="E844" s="14"/>
      <c r="F844" s="14"/>
    </row>
    <row r="845" customFormat="false" ht="15" hidden="false" customHeight="false" outlineLevel="0" collapsed="false">
      <c r="E845" s="14"/>
      <c r="F845" s="14"/>
    </row>
    <row r="846" customFormat="false" ht="15" hidden="false" customHeight="false" outlineLevel="0" collapsed="false">
      <c r="E846" s="14"/>
      <c r="F846" s="14"/>
    </row>
    <row r="847" customFormat="false" ht="15" hidden="false" customHeight="false" outlineLevel="0" collapsed="false">
      <c r="E847" s="14"/>
      <c r="F847" s="14"/>
    </row>
    <row r="848" customFormat="false" ht="15" hidden="false" customHeight="false" outlineLevel="0" collapsed="false">
      <c r="E848" s="14"/>
      <c r="F848" s="14"/>
    </row>
    <row r="849" customFormat="false" ht="15" hidden="false" customHeight="false" outlineLevel="0" collapsed="false">
      <c r="E849" s="14"/>
      <c r="F849" s="14"/>
    </row>
    <row r="850" customFormat="false" ht="15" hidden="false" customHeight="false" outlineLevel="0" collapsed="false">
      <c r="E850" s="14"/>
      <c r="F850" s="14"/>
    </row>
    <row r="851" customFormat="false" ht="15" hidden="false" customHeight="false" outlineLevel="0" collapsed="false">
      <c r="E851" s="14"/>
      <c r="F851" s="14"/>
    </row>
    <row r="852" customFormat="false" ht="15" hidden="false" customHeight="false" outlineLevel="0" collapsed="false">
      <c r="E852" s="14"/>
      <c r="F852" s="14"/>
    </row>
    <row r="853" customFormat="false" ht="15" hidden="false" customHeight="false" outlineLevel="0" collapsed="false">
      <c r="E853" s="14"/>
      <c r="F853" s="14"/>
    </row>
    <row r="854" customFormat="false" ht="15" hidden="false" customHeight="false" outlineLevel="0" collapsed="false">
      <c r="E854" s="14"/>
      <c r="F854" s="14"/>
    </row>
    <row r="855" customFormat="false" ht="15" hidden="false" customHeight="false" outlineLevel="0" collapsed="false">
      <c r="E855" s="14"/>
      <c r="F855" s="14"/>
    </row>
    <row r="856" customFormat="false" ht="15" hidden="false" customHeight="false" outlineLevel="0" collapsed="false">
      <c r="E856" s="14"/>
      <c r="F856" s="14"/>
    </row>
    <row r="857" customFormat="false" ht="15" hidden="false" customHeight="false" outlineLevel="0" collapsed="false">
      <c r="E857" s="14"/>
      <c r="F857" s="14"/>
    </row>
    <row r="858" customFormat="false" ht="15" hidden="false" customHeight="false" outlineLevel="0" collapsed="false">
      <c r="E858" s="14"/>
      <c r="F858" s="14"/>
    </row>
    <row r="859" customFormat="false" ht="15" hidden="false" customHeight="false" outlineLevel="0" collapsed="false">
      <c r="E859" s="14"/>
      <c r="F859" s="14"/>
    </row>
    <row r="860" customFormat="false" ht="15" hidden="false" customHeight="false" outlineLevel="0" collapsed="false">
      <c r="E860" s="14"/>
      <c r="F860" s="14"/>
    </row>
    <row r="861" customFormat="false" ht="15" hidden="false" customHeight="false" outlineLevel="0" collapsed="false">
      <c r="E861" s="14"/>
      <c r="F861" s="14"/>
    </row>
    <row r="862" customFormat="false" ht="15" hidden="false" customHeight="false" outlineLevel="0" collapsed="false">
      <c r="E862" s="14"/>
      <c r="F862" s="14"/>
    </row>
    <row r="863" customFormat="false" ht="15" hidden="false" customHeight="false" outlineLevel="0" collapsed="false">
      <c r="E863" s="14"/>
      <c r="F863" s="14"/>
    </row>
    <row r="864" customFormat="false" ht="15" hidden="false" customHeight="false" outlineLevel="0" collapsed="false">
      <c r="E864" s="14"/>
      <c r="F864" s="14"/>
    </row>
    <row r="865" customFormat="false" ht="15" hidden="false" customHeight="false" outlineLevel="0" collapsed="false">
      <c r="E865" s="14"/>
      <c r="F865" s="14"/>
    </row>
    <row r="866" customFormat="false" ht="15" hidden="false" customHeight="false" outlineLevel="0" collapsed="false">
      <c r="E866" s="14"/>
      <c r="F866" s="14"/>
    </row>
    <row r="867" customFormat="false" ht="15" hidden="false" customHeight="false" outlineLevel="0" collapsed="false">
      <c r="E867" s="14"/>
      <c r="F867" s="14"/>
    </row>
    <row r="868" customFormat="false" ht="15" hidden="false" customHeight="false" outlineLevel="0" collapsed="false">
      <c r="E868" s="14"/>
      <c r="F868" s="14"/>
    </row>
    <row r="869" customFormat="false" ht="15" hidden="false" customHeight="false" outlineLevel="0" collapsed="false">
      <c r="E869" s="14"/>
      <c r="F869" s="14"/>
    </row>
    <row r="870" customFormat="false" ht="15" hidden="false" customHeight="false" outlineLevel="0" collapsed="false">
      <c r="E870" s="14"/>
      <c r="F870" s="14"/>
    </row>
    <row r="871" customFormat="false" ht="15" hidden="false" customHeight="false" outlineLevel="0" collapsed="false">
      <c r="E871" s="14"/>
      <c r="F871" s="14"/>
    </row>
    <row r="872" customFormat="false" ht="15" hidden="false" customHeight="false" outlineLevel="0" collapsed="false">
      <c r="E872" s="14"/>
      <c r="F872" s="14"/>
    </row>
    <row r="873" customFormat="false" ht="15" hidden="false" customHeight="false" outlineLevel="0" collapsed="false">
      <c r="E873" s="14"/>
      <c r="F873" s="14"/>
    </row>
    <row r="874" customFormat="false" ht="15" hidden="false" customHeight="false" outlineLevel="0" collapsed="false">
      <c r="E874" s="14"/>
      <c r="F874" s="14"/>
    </row>
    <row r="875" customFormat="false" ht="15" hidden="false" customHeight="false" outlineLevel="0" collapsed="false">
      <c r="E875" s="14"/>
      <c r="F875" s="14"/>
    </row>
    <row r="876" customFormat="false" ht="15" hidden="false" customHeight="false" outlineLevel="0" collapsed="false">
      <c r="E876" s="14"/>
      <c r="F876" s="14"/>
    </row>
    <row r="877" customFormat="false" ht="15" hidden="false" customHeight="false" outlineLevel="0" collapsed="false">
      <c r="E877" s="14"/>
      <c r="F877" s="14"/>
    </row>
    <row r="878" customFormat="false" ht="15" hidden="false" customHeight="false" outlineLevel="0" collapsed="false">
      <c r="E878" s="14"/>
      <c r="F878" s="14"/>
    </row>
    <row r="879" customFormat="false" ht="15" hidden="false" customHeight="false" outlineLevel="0" collapsed="false">
      <c r="E879" s="14"/>
      <c r="F879" s="14"/>
    </row>
    <row r="880" customFormat="false" ht="15" hidden="false" customHeight="false" outlineLevel="0" collapsed="false">
      <c r="E880" s="14"/>
      <c r="F880" s="14"/>
    </row>
    <row r="881" customFormat="false" ht="15" hidden="false" customHeight="false" outlineLevel="0" collapsed="false">
      <c r="E881" s="14"/>
      <c r="F881" s="14"/>
    </row>
    <row r="882" customFormat="false" ht="15" hidden="false" customHeight="false" outlineLevel="0" collapsed="false">
      <c r="E882" s="14"/>
      <c r="F882" s="14"/>
    </row>
    <row r="883" customFormat="false" ht="15" hidden="false" customHeight="false" outlineLevel="0" collapsed="false">
      <c r="E883" s="14"/>
      <c r="F883" s="14"/>
    </row>
    <row r="884" customFormat="false" ht="15" hidden="false" customHeight="false" outlineLevel="0" collapsed="false">
      <c r="E884" s="14"/>
      <c r="F884" s="14"/>
    </row>
    <row r="885" customFormat="false" ht="15" hidden="false" customHeight="false" outlineLevel="0" collapsed="false">
      <c r="E885" s="14"/>
      <c r="F885" s="14"/>
    </row>
    <row r="886" customFormat="false" ht="15" hidden="false" customHeight="false" outlineLevel="0" collapsed="false">
      <c r="E886" s="14"/>
      <c r="F886" s="14"/>
    </row>
    <row r="887" customFormat="false" ht="15" hidden="false" customHeight="false" outlineLevel="0" collapsed="false">
      <c r="E887" s="14"/>
      <c r="F887" s="14"/>
    </row>
    <row r="888" customFormat="false" ht="15" hidden="false" customHeight="false" outlineLevel="0" collapsed="false">
      <c r="E888" s="14"/>
      <c r="F888" s="14"/>
    </row>
    <row r="889" customFormat="false" ht="15" hidden="false" customHeight="false" outlineLevel="0" collapsed="false">
      <c r="E889" s="14"/>
      <c r="F889" s="14"/>
    </row>
    <row r="890" customFormat="false" ht="15" hidden="false" customHeight="false" outlineLevel="0" collapsed="false">
      <c r="E890" s="14"/>
      <c r="F890" s="14"/>
    </row>
    <row r="891" customFormat="false" ht="15" hidden="false" customHeight="false" outlineLevel="0" collapsed="false">
      <c r="E891" s="14"/>
      <c r="F891" s="14"/>
    </row>
    <row r="892" customFormat="false" ht="15" hidden="false" customHeight="false" outlineLevel="0" collapsed="false">
      <c r="E892" s="14"/>
      <c r="F892" s="14"/>
    </row>
    <row r="893" customFormat="false" ht="15" hidden="false" customHeight="false" outlineLevel="0" collapsed="false">
      <c r="E893" s="14"/>
      <c r="F893" s="14"/>
    </row>
    <row r="894" customFormat="false" ht="15" hidden="false" customHeight="false" outlineLevel="0" collapsed="false">
      <c r="E894" s="14"/>
      <c r="F894" s="14"/>
    </row>
    <row r="895" customFormat="false" ht="15" hidden="false" customHeight="false" outlineLevel="0" collapsed="false">
      <c r="E895" s="14"/>
      <c r="F895" s="14"/>
    </row>
    <row r="896" customFormat="false" ht="15" hidden="false" customHeight="false" outlineLevel="0" collapsed="false">
      <c r="E896" s="14"/>
      <c r="F896" s="14"/>
    </row>
    <row r="897" customFormat="false" ht="15" hidden="false" customHeight="false" outlineLevel="0" collapsed="false">
      <c r="E897" s="14"/>
      <c r="F897" s="14"/>
    </row>
    <row r="898" customFormat="false" ht="15" hidden="false" customHeight="false" outlineLevel="0" collapsed="false">
      <c r="E898" s="14"/>
      <c r="F898" s="14"/>
    </row>
    <row r="899" customFormat="false" ht="15" hidden="false" customHeight="false" outlineLevel="0" collapsed="false">
      <c r="E899" s="14"/>
      <c r="F899" s="14"/>
    </row>
    <row r="900" customFormat="false" ht="15" hidden="false" customHeight="false" outlineLevel="0" collapsed="false">
      <c r="E900" s="14"/>
      <c r="F900" s="14"/>
    </row>
    <row r="901" customFormat="false" ht="15" hidden="false" customHeight="false" outlineLevel="0" collapsed="false">
      <c r="E901" s="14"/>
      <c r="F901" s="14"/>
    </row>
    <row r="902" customFormat="false" ht="15" hidden="false" customHeight="false" outlineLevel="0" collapsed="false">
      <c r="E902" s="14"/>
      <c r="F902" s="14"/>
    </row>
    <row r="903" customFormat="false" ht="15" hidden="false" customHeight="false" outlineLevel="0" collapsed="false">
      <c r="E903" s="14"/>
      <c r="F903" s="14"/>
    </row>
    <row r="904" customFormat="false" ht="15" hidden="false" customHeight="false" outlineLevel="0" collapsed="false">
      <c r="E904" s="14"/>
      <c r="F904" s="14"/>
    </row>
    <row r="905" customFormat="false" ht="15" hidden="false" customHeight="false" outlineLevel="0" collapsed="false">
      <c r="E905" s="14"/>
      <c r="F905" s="14"/>
    </row>
    <row r="906" customFormat="false" ht="15" hidden="false" customHeight="false" outlineLevel="0" collapsed="false">
      <c r="E906" s="14"/>
      <c r="F906" s="14"/>
    </row>
    <row r="907" customFormat="false" ht="15" hidden="false" customHeight="false" outlineLevel="0" collapsed="false">
      <c r="E907" s="14"/>
      <c r="F907" s="14"/>
    </row>
    <row r="908" customFormat="false" ht="15" hidden="false" customHeight="false" outlineLevel="0" collapsed="false">
      <c r="E908" s="14"/>
      <c r="F908" s="14"/>
    </row>
    <row r="909" customFormat="false" ht="15" hidden="false" customHeight="false" outlineLevel="0" collapsed="false">
      <c r="E909" s="14"/>
      <c r="F909" s="14"/>
    </row>
    <row r="910" customFormat="false" ht="15" hidden="false" customHeight="false" outlineLevel="0" collapsed="false">
      <c r="E910" s="14"/>
      <c r="F910" s="14"/>
    </row>
    <row r="911" customFormat="false" ht="15" hidden="false" customHeight="false" outlineLevel="0" collapsed="false">
      <c r="E911" s="14"/>
      <c r="F911" s="14"/>
    </row>
    <row r="912" customFormat="false" ht="15" hidden="false" customHeight="false" outlineLevel="0" collapsed="false">
      <c r="E912" s="14"/>
      <c r="F912" s="14"/>
    </row>
    <row r="913" customFormat="false" ht="15" hidden="false" customHeight="false" outlineLevel="0" collapsed="false">
      <c r="E913" s="14"/>
      <c r="F913" s="14"/>
    </row>
    <row r="914" customFormat="false" ht="15" hidden="false" customHeight="false" outlineLevel="0" collapsed="false">
      <c r="E914" s="14"/>
      <c r="F914" s="14"/>
    </row>
    <row r="915" customFormat="false" ht="15" hidden="false" customHeight="false" outlineLevel="0" collapsed="false">
      <c r="E915" s="14"/>
      <c r="F915" s="14"/>
    </row>
    <row r="916" customFormat="false" ht="15" hidden="false" customHeight="false" outlineLevel="0" collapsed="false">
      <c r="E916" s="14"/>
      <c r="F916" s="14"/>
    </row>
    <row r="917" customFormat="false" ht="15" hidden="false" customHeight="false" outlineLevel="0" collapsed="false">
      <c r="E917" s="14"/>
      <c r="F917" s="14"/>
    </row>
    <row r="918" customFormat="false" ht="15" hidden="false" customHeight="false" outlineLevel="0" collapsed="false">
      <c r="E918" s="14"/>
      <c r="F918" s="14"/>
    </row>
    <row r="919" customFormat="false" ht="15" hidden="false" customHeight="false" outlineLevel="0" collapsed="false">
      <c r="E919" s="14"/>
      <c r="F919" s="14"/>
    </row>
    <row r="920" customFormat="false" ht="15" hidden="false" customHeight="false" outlineLevel="0" collapsed="false">
      <c r="E920" s="14"/>
      <c r="F920" s="14"/>
    </row>
    <row r="921" customFormat="false" ht="15" hidden="false" customHeight="false" outlineLevel="0" collapsed="false">
      <c r="E921" s="14"/>
      <c r="F921" s="14"/>
    </row>
    <row r="922" customFormat="false" ht="15" hidden="false" customHeight="false" outlineLevel="0" collapsed="false">
      <c r="E922" s="14"/>
      <c r="F922" s="14"/>
    </row>
    <row r="923" customFormat="false" ht="15" hidden="false" customHeight="false" outlineLevel="0" collapsed="false">
      <c r="E923" s="14"/>
      <c r="F923" s="14"/>
    </row>
    <row r="924" customFormat="false" ht="15" hidden="false" customHeight="false" outlineLevel="0" collapsed="false">
      <c r="E924" s="14"/>
      <c r="F924" s="14"/>
    </row>
    <row r="925" customFormat="false" ht="15" hidden="false" customHeight="false" outlineLevel="0" collapsed="false">
      <c r="E925" s="14"/>
      <c r="F925" s="14"/>
    </row>
    <row r="926" customFormat="false" ht="15" hidden="false" customHeight="false" outlineLevel="0" collapsed="false">
      <c r="E926" s="14"/>
      <c r="F926" s="14"/>
    </row>
    <row r="927" customFormat="false" ht="15" hidden="false" customHeight="false" outlineLevel="0" collapsed="false">
      <c r="E927" s="14"/>
      <c r="F927" s="14"/>
    </row>
    <row r="928" customFormat="false" ht="15" hidden="false" customHeight="false" outlineLevel="0" collapsed="false">
      <c r="E928" s="14"/>
      <c r="F928" s="14"/>
    </row>
    <row r="929" customFormat="false" ht="15" hidden="false" customHeight="false" outlineLevel="0" collapsed="false">
      <c r="E929" s="14"/>
      <c r="F929" s="14"/>
    </row>
    <row r="930" customFormat="false" ht="15" hidden="false" customHeight="false" outlineLevel="0" collapsed="false">
      <c r="E930" s="14"/>
      <c r="F930" s="14"/>
    </row>
    <row r="931" customFormat="false" ht="15" hidden="false" customHeight="false" outlineLevel="0" collapsed="false">
      <c r="E931" s="14"/>
      <c r="F931" s="14"/>
    </row>
    <row r="932" customFormat="false" ht="15" hidden="false" customHeight="false" outlineLevel="0" collapsed="false">
      <c r="E932" s="14"/>
      <c r="F932" s="14"/>
    </row>
    <row r="933" customFormat="false" ht="15" hidden="false" customHeight="false" outlineLevel="0" collapsed="false">
      <c r="E933" s="14"/>
      <c r="F933" s="14"/>
    </row>
    <row r="934" customFormat="false" ht="15" hidden="false" customHeight="false" outlineLevel="0" collapsed="false">
      <c r="E934" s="14"/>
      <c r="F934" s="14"/>
    </row>
    <row r="935" customFormat="false" ht="15" hidden="false" customHeight="false" outlineLevel="0" collapsed="false">
      <c r="E935" s="14"/>
      <c r="F935" s="14"/>
    </row>
    <row r="936" customFormat="false" ht="15" hidden="false" customHeight="false" outlineLevel="0" collapsed="false">
      <c r="E936" s="14"/>
      <c r="F936" s="14"/>
    </row>
    <row r="937" customFormat="false" ht="15" hidden="false" customHeight="false" outlineLevel="0" collapsed="false">
      <c r="E937" s="14"/>
      <c r="F937" s="14"/>
    </row>
    <row r="938" customFormat="false" ht="15" hidden="false" customHeight="false" outlineLevel="0" collapsed="false">
      <c r="E938" s="14"/>
      <c r="F938" s="14"/>
    </row>
    <row r="939" customFormat="false" ht="15" hidden="false" customHeight="false" outlineLevel="0" collapsed="false">
      <c r="E939" s="14"/>
      <c r="F939" s="14"/>
    </row>
    <row r="940" customFormat="false" ht="15" hidden="false" customHeight="false" outlineLevel="0" collapsed="false">
      <c r="E940" s="14"/>
      <c r="F940" s="14"/>
    </row>
    <row r="941" customFormat="false" ht="15" hidden="false" customHeight="false" outlineLevel="0" collapsed="false">
      <c r="E941" s="14"/>
      <c r="F941" s="14"/>
    </row>
    <row r="942" customFormat="false" ht="15" hidden="false" customHeight="false" outlineLevel="0" collapsed="false">
      <c r="E942" s="14"/>
      <c r="F942" s="14"/>
    </row>
    <row r="943" customFormat="false" ht="15" hidden="false" customHeight="false" outlineLevel="0" collapsed="false">
      <c r="E943" s="14"/>
      <c r="F943" s="14"/>
    </row>
    <row r="944" customFormat="false" ht="15" hidden="false" customHeight="false" outlineLevel="0" collapsed="false">
      <c r="E944" s="14"/>
      <c r="F944" s="14"/>
    </row>
    <row r="945" customFormat="false" ht="15" hidden="false" customHeight="false" outlineLevel="0" collapsed="false">
      <c r="E945" s="14"/>
      <c r="F945" s="14"/>
    </row>
    <row r="946" customFormat="false" ht="15" hidden="false" customHeight="false" outlineLevel="0" collapsed="false">
      <c r="E946" s="14"/>
      <c r="F946" s="14"/>
    </row>
    <row r="947" customFormat="false" ht="15" hidden="false" customHeight="false" outlineLevel="0" collapsed="false">
      <c r="E947" s="14"/>
      <c r="F947" s="14"/>
    </row>
    <row r="948" customFormat="false" ht="15" hidden="false" customHeight="false" outlineLevel="0" collapsed="false">
      <c r="E948" s="14"/>
      <c r="F948" s="14"/>
    </row>
    <row r="949" customFormat="false" ht="15" hidden="false" customHeight="false" outlineLevel="0" collapsed="false">
      <c r="E949" s="14"/>
      <c r="F949" s="14"/>
    </row>
    <row r="950" customFormat="false" ht="15" hidden="false" customHeight="false" outlineLevel="0" collapsed="false">
      <c r="E950" s="14"/>
      <c r="F950" s="14"/>
    </row>
    <row r="951" customFormat="false" ht="15" hidden="false" customHeight="false" outlineLevel="0" collapsed="false">
      <c r="E951" s="14"/>
      <c r="F951" s="14"/>
    </row>
    <row r="952" customFormat="false" ht="15" hidden="false" customHeight="false" outlineLevel="0" collapsed="false">
      <c r="E952" s="14"/>
      <c r="F952" s="14"/>
    </row>
    <row r="953" customFormat="false" ht="15" hidden="false" customHeight="false" outlineLevel="0" collapsed="false">
      <c r="E953" s="14"/>
      <c r="F953" s="14"/>
    </row>
    <row r="954" customFormat="false" ht="15" hidden="false" customHeight="false" outlineLevel="0" collapsed="false">
      <c r="E954" s="14"/>
      <c r="F954" s="14"/>
    </row>
    <row r="955" customFormat="false" ht="15" hidden="false" customHeight="false" outlineLevel="0" collapsed="false">
      <c r="E955" s="14"/>
      <c r="F955" s="14"/>
    </row>
    <row r="956" customFormat="false" ht="15" hidden="false" customHeight="false" outlineLevel="0" collapsed="false">
      <c r="E956" s="14"/>
      <c r="F956" s="14"/>
    </row>
    <row r="957" customFormat="false" ht="15" hidden="false" customHeight="false" outlineLevel="0" collapsed="false">
      <c r="E957" s="14"/>
      <c r="F957" s="14"/>
    </row>
    <row r="958" customFormat="false" ht="15" hidden="false" customHeight="false" outlineLevel="0" collapsed="false">
      <c r="E958" s="14"/>
      <c r="F958" s="14"/>
    </row>
    <row r="959" customFormat="false" ht="15" hidden="false" customHeight="false" outlineLevel="0" collapsed="false">
      <c r="E959" s="14"/>
      <c r="F959" s="14"/>
    </row>
    <row r="960" customFormat="false" ht="15" hidden="false" customHeight="false" outlineLevel="0" collapsed="false">
      <c r="E960" s="14"/>
      <c r="F960" s="14"/>
    </row>
    <row r="961" customFormat="false" ht="15" hidden="false" customHeight="false" outlineLevel="0" collapsed="false">
      <c r="E961" s="14"/>
      <c r="F961" s="14"/>
    </row>
    <row r="962" customFormat="false" ht="15" hidden="false" customHeight="false" outlineLevel="0" collapsed="false">
      <c r="E962" s="14"/>
      <c r="F962" s="14"/>
    </row>
    <row r="963" customFormat="false" ht="15" hidden="false" customHeight="false" outlineLevel="0" collapsed="false">
      <c r="E963" s="14"/>
      <c r="F963" s="14"/>
    </row>
    <row r="964" customFormat="false" ht="15" hidden="false" customHeight="false" outlineLevel="0" collapsed="false">
      <c r="E964" s="14"/>
      <c r="F964" s="14"/>
    </row>
    <row r="965" customFormat="false" ht="15" hidden="false" customHeight="false" outlineLevel="0" collapsed="false">
      <c r="E965" s="14"/>
      <c r="F965" s="14"/>
    </row>
    <row r="966" customFormat="false" ht="15" hidden="false" customHeight="false" outlineLevel="0" collapsed="false">
      <c r="E966" s="14"/>
      <c r="F966" s="14"/>
    </row>
    <row r="967" customFormat="false" ht="15" hidden="false" customHeight="false" outlineLevel="0" collapsed="false">
      <c r="E967" s="14"/>
      <c r="F967" s="14"/>
    </row>
    <row r="968" customFormat="false" ht="15" hidden="false" customHeight="false" outlineLevel="0" collapsed="false">
      <c r="E968" s="14"/>
      <c r="F968" s="14"/>
    </row>
    <row r="969" customFormat="false" ht="15" hidden="false" customHeight="false" outlineLevel="0" collapsed="false">
      <c r="E969" s="14"/>
      <c r="F969" s="14"/>
    </row>
    <row r="970" customFormat="false" ht="15" hidden="false" customHeight="false" outlineLevel="0" collapsed="false">
      <c r="E970" s="14"/>
      <c r="F970" s="14"/>
    </row>
    <row r="971" customFormat="false" ht="15" hidden="false" customHeight="false" outlineLevel="0" collapsed="false">
      <c r="E971" s="14"/>
      <c r="F971" s="14"/>
    </row>
    <row r="972" customFormat="false" ht="15" hidden="false" customHeight="false" outlineLevel="0" collapsed="false">
      <c r="E972" s="14"/>
      <c r="F972" s="14"/>
    </row>
    <row r="973" customFormat="false" ht="15" hidden="false" customHeight="false" outlineLevel="0" collapsed="false">
      <c r="E973" s="14"/>
      <c r="F973" s="14"/>
    </row>
    <row r="974" customFormat="false" ht="15" hidden="false" customHeight="false" outlineLevel="0" collapsed="false">
      <c r="E974" s="14"/>
      <c r="F974" s="14"/>
    </row>
    <row r="975" customFormat="false" ht="15" hidden="false" customHeight="false" outlineLevel="0" collapsed="false">
      <c r="E975" s="14"/>
      <c r="F975" s="14"/>
    </row>
    <row r="976" customFormat="false" ht="15" hidden="false" customHeight="false" outlineLevel="0" collapsed="false">
      <c r="E976" s="14"/>
      <c r="F976" s="14"/>
    </row>
    <row r="977" customFormat="false" ht="15" hidden="false" customHeight="false" outlineLevel="0" collapsed="false">
      <c r="E977" s="14"/>
      <c r="F977" s="14"/>
    </row>
    <row r="978" customFormat="false" ht="15" hidden="false" customHeight="false" outlineLevel="0" collapsed="false">
      <c r="E978" s="14"/>
      <c r="F978" s="14"/>
    </row>
    <row r="979" customFormat="false" ht="15" hidden="false" customHeight="false" outlineLevel="0" collapsed="false">
      <c r="E979" s="14"/>
      <c r="F979" s="14"/>
    </row>
    <row r="980" customFormat="false" ht="15" hidden="false" customHeight="false" outlineLevel="0" collapsed="false">
      <c r="E980" s="14"/>
      <c r="F980" s="14"/>
    </row>
    <row r="981" customFormat="false" ht="15" hidden="false" customHeight="false" outlineLevel="0" collapsed="false">
      <c r="E981" s="14"/>
      <c r="F981" s="14"/>
    </row>
    <row r="982" customFormat="false" ht="15" hidden="false" customHeight="false" outlineLevel="0" collapsed="false">
      <c r="E982" s="14"/>
      <c r="F982" s="14"/>
    </row>
    <row r="983" customFormat="false" ht="15" hidden="false" customHeight="false" outlineLevel="0" collapsed="false">
      <c r="E983" s="14"/>
      <c r="F983" s="14"/>
    </row>
    <row r="984" customFormat="false" ht="15" hidden="false" customHeight="false" outlineLevel="0" collapsed="false">
      <c r="E984" s="14"/>
      <c r="F984" s="14"/>
    </row>
    <row r="985" customFormat="false" ht="15" hidden="false" customHeight="false" outlineLevel="0" collapsed="false">
      <c r="E985" s="14"/>
      <c r="F985" s="14"/>
    </row>
    <row r="986" customFormat="false" ht="15" hidden="false" customHeight="false" outlineLevel="0" collapsed="false">
      <c r="E986" s="14"/>
      <c r="F986" s="14"/>
    </row>
    <row r="987" customFormat="false" ht="15" hidden="false" customHeight="false" outlineLevel="0" collapsed="false">
      <c r="E987" s="14"/>
      <c r="F987" s="14"/>
    </row>
    <row r="988" customFormat="false" ht="15" hidden="false" customHeight="false" outlineLevel="0" collapsed="false">
      <c r="E988" s="14"/>
      <c r="F988" s="14"/>
    </row>
    <row r="989" customFormat="false" ht="15" hidden="false" customHeight="false" outlineLevel="0" collapsed="false">
      <c r="E989" s="14"/>
      <c r="F989" s="14"/>
    </row>
    <row r="990" customFormat="false" ht="15" hidden="false" customHeight="false" outlineLevel="0" collapsed="false">
      <c r="E990" s="14"/>
      <c r="F990" s="14"/>
    </row>
    <row r="991" customFormat="false" ht="15" hidden="false" customHeight="false" outlineLevel="0" collapsed="false">
      <c r="E991" s="14"/>
      <c r="F991" s="14"/>
    </row>
    <row r="992" customFormat="false" ht="15" hidden="false" customHeight="false" outlineLevel="0" collapsed="false">
      <c r="E992" s="14"/>
      <c r="F992" s="14"/>
    </row>
    <row r="993" customFormat="false" ht="15" hidden="false" customHeight="false" outlineLevel="0" collapsed="false">
      <c r="E993" s="14"/>
      <c r="F993" s="14"/>
    </row>
    <row r="994" customFormat="false" ht="15" hidden="false" customHeight="false" outlineLevel="0" collapsed="false">
      <c r="E994" s="14"/>
      <c r="F994" s="14"/>
    </row>
    <row r="995" customFormat="false" ht="15" hidden="false" customHeight="false" outlineLevel="0" collapsed="false">
      <c r="E995" s="14"/>
      <c r="F995" s="14"/>
    </row>
    <row r="996" customFormat="false" ht="15" hidden="false" customHeight="false" outlineLevel="0" collapsed="false">
      <c r="E996" s="14"/>
      <c r="F996" s="14"/>
    </row>
    <row r="997" customFormat="false" ht="15" hidden="false" customHeight="false" outlineLevel="0" collapsed="false">
      <c r="E997" s="14"/>
      <c r="F997" s="14"/>
    </row>
    <row r="998" customFormat="false" ht="15" hidden="false" customHeight="false" outlineLevel="0" collapsed="false">
      <c r="E998" s="14"/>
      <c r="F998" s="14"/>
    </row>
    <row r="999" customFormat="false" ht="15" hidden="false" customHeight="false" outlineLevel="0" collapsed="false">
      <c r="E999" s="14"/>
      <c r="F999" s="14"/>
    </row>
    <row r="1000" customFormat="false" ht="15" hidden="false" customHeight="false" outlineLevel="0" collapsed="false">
      <c r="E1000" s="14"/>
      <c r="F1000" s="14"/>
    </row>
    <row r="1001" customFormat="false" ht="15" hidden="false" customHeight="false" outlineLevel="0" collapsed="false">
      <c r="E1001" s="14"/>
      <c r="F1001" s="14"/>
    </row>
    <row r="1002" customFormat="false" ht="15" hidden="false" customHeight="false" outlineLevel="0" collapsed="false">
      <c r="E1002" s="14"/>
      <c r="F1002" s="14"/>
    </row>
    <row r="1003" customFormat="false" ht="15" hidden="false" customHeight="false" outlineLevel="0" collapsed="false">
      <c r="E1003" s="14"/>
      <c r="F1003" s="14"/>
    </row>
    <row r="1004" customFormat="false" ht="15" hidden="false" customHeight="false" outlineLevel="0" collapsed="false">
      <c r="E1004" s="14"/>
      <c r="F1004" s="14"/>
    </row>
    <row r="1005" customFormat="false" ht="15" hidden="false" customHeight="false" outlineLevel="0" collapsed="false">
      <c r="E1005" s="14"/>
      <c r="F1005" s="14"/>
    </row>
    <row r="1006" customFormat="false" ht="15" hidden="false" customHeight="false" outlineLevel="0" collapsed="false">
      <c r="E1006" s="14"/>
      <c r="F1006" s="14"/>
    </row>
    <row r="1007" customFormat="false" ht="15" hidden="false" customHeight="false" outlineLevel="0" collapsed="false">
      <c r="E1007" s="14"/>
      <c r="F1007" s="14"/>
    </row>
    <row r="1008" customFormat="false" ht="15" hidden="false" customHeight="false" outlineLevel="0" collapsed="false">
      <c r="E1008" s="14"/>
      <c r="F1008" s="14"/>
    </row>
    <row r="1009" customFormat="false" ht="15" hidden="false" customHeight="false" outlineLevel="0" collapsed="false">
      <c r="E1009" s="14"/>
      <c r="F1009" s="14"/>
    </row>
    <row r="1010" customFormat="false" ht="15" hidden="false" customHeight="false" outlineLevel="0" collapsed="false">
      <c r="E1010" s="14"/>
      <c r="F1010" s="14"/>
    </row>
    <row r="1011" customFormat="false" ht="15" hidden="false" customHeight="false" outlineLevel="0" collapsed="false">
      <c r="E1011" s="14"/>
      <c r="F1011" s="14"/>
    </row>
    <row r="1012" customFormat="false" ht="15" hidden="false" customHeight="false" outlineLevel="0" collapsed="false">
      <c r="E1012" s="14"/>
      <c r="F1012" s="14"/>
    </row>
    <row r="1013" customFormat="false" ht="15" hidden="false" customHeight="false" outlineLevel="0" collapsed="false">
      <c r="E1013" s="14"/>
      <c r="F1013" s="14"/>
    </row>
    <row r="1014" customFormat="false" ht="15" hidden="false" customHeight="false" outlineLevel="0" collapsed="false">
      <c r="E1014" s="14"/>
      <c r="F1014" s="14"/>
    </row>
    <row r="1015" customFormat="false" ht="15" hidden="false" customHeight="false" outlineLevel="0" collapsed="false">
      <c r="E1015" s="14"/>
      <c r="F1015" s="14"/>
    </row>
    <row r="1016" customFormat="false" ht="15" hidden="false" customHeight="false" outlineLevel="0" collapsed="false">
      <c r="E1016" s="14"/>
      <c r="F1016" s="14"/>
    </row>
    <row r="1017" customFormat="false" ht="15" hidden="false" customHeight="false" outlineLevel="0" collapsed="false">
      <c r="E1017" s="14"/>
      <c r="F1017" s="14"/>
    </row>
    <row r="1018" customFormat="false" ht="15" hidden="false" customHeight="false" outlineLevel="0" collapsed="false">
      <c r="E1018" s="14"/>
      <c r="F1018" s="14"/>
    </row>
    <row r="1019" customFormat="false" ht="15" hidden="false" customHeight="false" outlineLevel="0" collapsed="false">
      <c r="E1019" s="14"/>
      <c r="F1019" s="14"/>
    </row>
    <row r="1020" customFormat="false" ht="15" hidden="false" customHeight="false" outlineLevel="0" collapsed="false">
      <c r="E1020" s="14"/>
      <c r="F1020" s="14"/>
    </row>
    <row r="1021" customFormat="false" ht="15" hidden="false" customHeight="false" outlineLevel="0" collapsed="false">
      <c r="E1021" s="14"/>
      <c r="F1021" s="14"/>
    </row>
    <row r="1022" customFormat="false" ht="15" hidden="false" customHeight="false" outlineLevel="0" collapsed="false">
      <c r="E1022" s="14"/>
      <c r="F1022" s="14"/>
    </row>
    <row r="1023" customFormat="false" ht="15" hidden="false" customHeight="false" outlineLevel="0" collapsed="false">
      <c r="E1023" s="14"/>
      <c r="F1023" s="14"/>
    </row>
    <row r="1024" customFormat="false" ht="15" hidden="false" customHeight="false" outlineLevel="0" collapsed="false">
      <c r="E1024" s="14"/>
      <c r="F1024" s="14"/>
    </row>
    <row r="1025" customFormat="false" ht="15" hidden="false" customHeight="false" outlineLevel="0" collapsed="false">
      <c r="E1025" s="14"/>
      <c r="F1025" s="14"/>
    </row>
    <row r="1026" customFormat="false" ht="15" hidden="false" customHeight="false" outlineLevel="0" collapsed="false">
      <c r="E1026" s="14"/>
      <c r="F1026" s="14"/>
    </row>
    <row r="1027" customFormat="false" ht="15" hidden="false" customHeight="false" outlineLevel="0" collapsed="false">
      <c r="E1027" s="14"/>
      <c r="F1027" s="14"/>
    </row>
    <row r="1028" customFormat="false" ht="15" hidden="false" customHeight="false" outlineLevel="0" collapsed="false">
      <c r="E1028" s="14"/>
      <c r="F1028" s="14"/>
    </row>
    <row r="1029" customFormat="false" ht="15" hidden="false" customHeight="false" outlineLevel="0" collapsed="false">
      <c r="E1029" s="14"/>
      <c r="F1029" s="14"/>
    </row>
    <row r="1030" customFormat="false" ht="15" hidden="false" customHeight="false" outlineLevel="0" collapsed="false">
      <c r="E1030" s="14"/>
      <c r="F1030" s="14"/>
    </row>
    <row r="1031" customFormat="false" ht="15" hidden="false" customHeight="false" outlineLevel="0" collapsed="false">
      <c r="E1031" s="14"/>
      <c r="F1031" s="14"/>
    </row>
    <row r="1032" customFormat="false" ht="15" hidden="false" customHeight="false" outlineLevel="0" collapsed="false">
      <c r="E1032" s="14"/>
      <c r="F1032" s="14"/>
    </row>
    <row r="1033" customFormat="false" ht="15" hidden="false" customHeight="false" outlineLevel="0" collapsed="false">
      <c r="E1033" s="14"/>
      <c r="F1033" s="14"/>
    </row>
    <row r="1034" customFormat="false" ht="15" hidden="false" customHeight="false" outlineLevel="0" collapsed="false">
      <c r="E1034" s="14"/>
      <c r="F1034" s="14"/>
    </row>
    <row r="1035" customFormat="false" ht="15" hidden="false" customHeight="false" outlineLevel="0" collapsed="false">
      <c r="E1035" s="14"/>
      <c r="F1035" s="14"/>
    </row>
    <row r="1036" customFormat="false" ht="15" hidden="false" customHeight="false" outlineLevel="0" collapsed="false">
      <c r="E1036" s="14"/>
      <c r="F1036" s="14"/>
    </row>
    <row r="1037" customFormat="false" ht="15" hidden="false" customHeight="false" outlineLevel="0" collapsed="false">
      <c r="E1037" s="14"/>
      <c r="F1037" s="14"/>
    </row>
    <row r="1038" customFormat="false" ht="15" hidden="false" customHeight="false" outlineLevel="0" collapsed="false">
      <c r="E1038" s="14"/>
      <c r="F1038" s="14"/>
    </row>
    <row r="1039" customFormat="false" ht="15" hidden="false" customHeight="false" outlineLevel="0" collapsed="false">
      <c r="E1039" s="14"/>
      <c r="F1039" s="14"/>
    </row>
    <row r="1040" customFormat="false" ht="15" hidden="false" customHeight="false" outlineLevel="0" collapsed="false">
      <c r="E1040" s="14"/>
      <c r="F1040" s="14"/>
    </row>
    <row r="1041" customFormat="false" ht="15" hidden="false" customHeight="false" outlineLevel="0" collapsed="false">
      <c r="E1041" s="14"/>
      <c r="F1041" s="14"/>
    </row>
    <row r="1042" customFormat="false" ht="15" hidden="false" customHeight="false" outlineLevel="0" collapsed="false">
      <c r="E1042" s="14"/>
      <c r="F1042" s="14"/>
    </row>
    <row r="1043" customFormat="false" ht="15" hidden="false" customHeight="false" outlineLevel="0" collapsed="false">
      <c r="E1043" s="14"/>
      <c r="F1043" s="14"/>
    </row>
    <row r="1044" customFormat="false" ht="15" hidden="false" customHeight="false" outlineLevel="0" collapsed="false">
      <c r="E1044" s="14"/>
      <c r="F1044" s="14"/>
    </row>
    <row r="1045" customFormat="false" ht="15" hidden="false" customHeight="false" outlineLevel="0" collapsed="false">
      <c r="E1045" s="14"/>
      <c r="F1045" s="14"/>
    </row>
    <row r="1046" customFormat="false" ht="15" hidden="false" customHeight="false" outlineLevel="0" collapsed="false">
      <c r="E1046" s="14"/>
      <c r="F1046" s="14"/>
    </row>
    <row r="1047" customFormat="false" ht="15" hidden="false" customHeight="false" outlineLevel="0" collapsed="false">
      <c r="E1047" s="14"/>
      <c r="F1047" s="14"/>
    </row>
    <row r="1048" customFormat="false" ht="15" hidden="false" customHeight="false" outlineLevel="0" collapsed="false">
      <c r="E1048" s="14"/>
      <c r="F1048" s="14"/>
    </row>
    <row r="1049" customFormat="false" ht="15" hidden="false" customHeight="false" outlineLevel="0" collapsed="false">
      <c r="E1049" s="14"/>
      <c r="F1049" s="14"/>
    </row>
    <row r="1050" customFormat="false" ht="15" hidden="false" customHeight="false" outlineLevel="0" collapsed="false">
      <c r="E1050" s="14"/>
      <c r="F1050" s="14"/>
    </row>
    <row r="1051" customFormat="false" ht="15" hidden="false" customHeight="false" outlineLevel="0" collapsed="false">
      <c r="E1051" s="14"/>
      <c r="F1051" s="14"/>
    </row>
    <row r="1052" customFormat="false" ht="15" hidden="false" customHeight="false" outlineLevel="0" collapsed="false">
      <c r="E1052" s="14"/>
      <c r="F1052" s="14"/>
    </row>
    <row r="1053" customFormat="false" ht="15" hidden="false" customHeight="false" outlineLevel="0" collapsed="false">
      <c r="E1053" s="14"/>
      <c r="F1053" s="14"/>
    </row>
    <row r="1054" customFormat="false" ht="15" hidden="false" customHeight="false" outlineLevel="0" collapsed="false">
      <c r="E1054" s="14"/>
      <c r="F1054" s="14"/>
    </row>
    <row r="1055" customFormat="false" ht="15" hidden="false" customHeight="false" outlineLevel="0" collapsed="false">
      <c r="E1055" s="14"/>
      <c r="F1055" s="14"/>
    </row>
    <row r="1056" customFormat="false" ht="15" hidden="false" customHeight="false" outlineLevel="0" collapsed="false">
      <c r="E1056" s="14"/>
      <c r="F1056" s="14"/>
    </row>
    <row r="1057" customFormat="false" ht="15" hidden="false" customHeight="false" outlineLevel="0" collapsed="false">
      <c r="E1057" s="14"/>
      <c r="F1057" s="14"/>
    </row>
    <row r="1058" customFormat="false" ht="15" hidden="false" customHeight="false" outlineLevel="0" collapsed="false">
      <c r="E1058" s="14"/>
      <c r="F1058" s="14"/>
    </row>
    <row r="1059" customFormat="false" ht="15" hidden="false" customHeight="false" outlineLevel="0" collapsed="false">
      <c r="E1059" s="14"/>
      <c r="F1059" s="14"/>
    </row>
    <row r="1060" customFormat="false" ht="15" hidden="false" customHeight="false" outlineLevel="0" collapsed="false">
      <c r="E1060" s="14"/>
      <c r="F1060" s="14"/>
    </row>
    <row r="1061" customFormat="false" ht="15" hidden="false" customHeight="false" outlineLevel="0" collapsed="false">
      <c r="E1061" s="14"/>
      <c r="F1061" s="14"/>
    </row>
    <row r="1062" customFormat="false" ht="15" hidden="false" customHeight="false" outlineLevel="0" collapsed="false">
      <c r="E1062" s="14"/>
      <c r="F1062" s="14"/>
    </row>
    <row r="1063" customFormat="false" ht="15" hidden="false" customHeight="false" outlineLevel="0" collapsed="false">
      <c r="E1063" s="14"/>
      <c r="F1063" s="14"/>
    </row>
    <row r="1064" customFormat="false" ht="15" hidden="false" customHeight="false" outlineLevel="0" collapsed="false">
      <c r="E1064" s="14"/>
      <c r="F1064" s="14"/>
    </row>
    <row r="1065" customFormat="false" ht="15" hidden="false" customHeight="false" outlineLevel="0" collapsed="false">
      <c r="E1065" s="14"/>
      <c r="F1065" s="14"/>
    </row>
    <row r="1066" customFormat="false" ht="15" hidden="false" customHeight="false" outlineLevel="0" collapsed="false">
      <c r="E1066" s="14"/>
      <c r="F1066" s="14"/>
    </row>
    <row r="1067" customFormat="false" ht="15" hidden="false" customHeight="false" outlineLevel="0" collapsed="false">
      <c r="E1067" s="14"/>
      <c r="F1067" s="14"/>
    </row>
    <row r="1068" customFormat="false" ht="15" hidden="false" customHeight="false" outlineLevel="0" collapsed="false">
      <c r="E1068" s="14"/>
      <c r="F1068" s="14"/>
    </row>
    <row r="1069" customFormat="false" ht="15" hidden="false" customHeight="false" outlineLevel="0" collapsed="false">
      <c r="E1069" s="14"/>
      <c r="F1069" s="14"/>
    </row>
    <row r="1070" customFormat="false" ht="15" hidden="false" customHeight="false" outlineLevel="0" collapsed="false">
      <c r="E1070" s="14"/>
      <c r="F1070" s="1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73"/>
  <sheetViews>
    <sheetView showFormulas="false" showGridLines="true" showRowColHeaders="true" showZeros="true" rightToLeft="false" tabSelected="false" showOutlineSymbols="true" defaultGridColor="true" view="normal" topLeftCell="B4" colorId="64" zoomScale="100" zoomScaleNormal="100" zoomScalePageLayoutView="100" workbookViewId="0">
      <selection pane="topLeft" activeCell="B14" activeCellId="0" sqref="B14"/>
    </sheetView>
  </sheetViews>
  <sheetFormatPr defaultColWidth="8.59765625" defaultRowHeight="15" zeroHeight="false" outlineLevelRow="0" outlineLevelCol="0"/>
  <cols>
    <col collapsed="false" customWidth="true" hidden="false" outlineLevel="0" max="3" min="2" style="2" width="36.43"/>
    <col collapsed="false" customWidth="true" hidden="false" outlineLevel="0" max="4" min="4" style="2" width="18"/>
    <col collapsed="false" customWidth="true" hidden="false" outlineLevel="0" max="6" min="6" style="2" width="24.14"/>
  </cols>
  <sheetData>
    <row r="2" customFormat="false" ht="15" hidden="false" customHeight="false" outlineLevel="0" collapsed="false">
      <c r="B2" s="2" t="s">
        <v>562</v>
      </c>
    </row>
    <row r="4" customFormat="false" ht="46.25" hidden="false" customHeight="false" outlineLevel="0" collapsed="false">
      <c r="B4" s="14" t="s">
        <v>102</v>
      </c>
      <c r="C4" s="67" t="s">
        <v>563</v>
      </c>
      <c r="D4" s="14" t="s">
        <v>106</v>
      </c>
      <c r="G4" s="48"/>
    </row>
    <row r="5" customFormat="false" ht="16.4" hidden="false" customHeight="false" outlineLevel="0" collapsed="false">
      <c r="B5" s="55" t="s">
        <v>216</v>
      </c>
      <c r="C5" s="2" t="s">
        <v>82</v>
      </c>
      <c r="D5" s="1" t="s">
        <v>215</v>
      </c>
      <c r="G5" s="48"/>
      <c r="H5" s="1"/>
    </row>
    <row r="6" customFormat="false" ht="16.4" hidden="false" customHeight="false" outlineLevel="0" collapsed="false">
      <c r="B6" s="55" t="s">
        <v>222</v>
      </c>
      <c r="C6" s="2" t="s">
        <v>86</v>
      </c>
      <c r="D6" s="1" t="s">
        <v>215</v>
      </c>
      <c r="G6" s="48"/>
      <c r="H6" s="1"/>
    </row>
    <row r="7" customFormat="false" ht="16.4" hidden="false" customHeight="false" outlineLevel="0" collapsed="false">
      <c r="B7" s="2" t="s">
        <v>228</v>
      </c>
      <c r="C7" s="2" t="s">
        <v>564</v>
      </c>
      <c r="D7" s="1" t="s">
        <v>215</v>
      </c>
      <c r="G7" s="48"/>
      <c r="H7" s="1"/>
    </row>
    <row r="8" customFormat="false" ht="16.4" hidden="false" customHeight="false" outlineLevel="0" collapsed="false">
      <c r="B8" s="2" t="s">
        <v>260</v>
      </c>
      <c r="C8" s="2" t="s">
        <v>565</v>
      </c>
      <c r="D8" s="1" t="s">
        <v>215</v>
      </c>
      <c r="G8" s="48"/>
      <c r="H8" s="1"/>
    </row>
    <row r="9" customFormat="false" ht="16.4" hidden="false" customHeight="false" outlineLevel="0" collapsed="false">
      <c r="B9" s="2" t="s">
        <v>566</v>
      </c>
      <c r="C9" s="2" t="s">
        <v>79</v>
      </c>
      <c r="D9" s="1" t="s">
        <v>215</v>
      </c>
      <c r="G9" s="48"/>
      <c r="H9" s="1"/>
    </row>
    <row r="10" customFormat="false" ht="16.4" hidden="false" customHeight="false" outlineLevel="0" collapsed="false">
      <c r="B10" s="2" t="s">
        <v>567</v>
      </c>
      <c r="C10" s="2" t="s">
        <v>89</v>
      </c>
      <c r="D10" s="1" t="s">
        <v>215</v>
      </c>
      <c r="G10" s="48"/>
      <c r="H10" s="1"/>
    </row>
    <row r="11" customFormat="false" ht="16.4" hidden="false" customHeight="false" outlineLevel="0" collapsed="false">
      <c r="B11" s="2" t="s">
        <v>281</v>
      </c>
      <c r="C11" s="2" t="s">
        <v>568</v>
      </c>
      <c r="D11" s="1" t="s">
        <v>215</v>
      </c>
      <c r="G11" s="48"/>
      <c r="H11" s="1"/>
    </row>
    <row r="12" customFormat="false" ht="16.4" hidden="false" customHeight="false" outlineLevel="0" collapsed="false">
      <c r="B12" s="55" t="s">
        <v>287</v>
      </c>
      <c r="C12" s="2" t="s">
        <v>569</v>
      </c>
      <c r="D12" s="1" t="s">
        <v>286</v>
      </c>
      <c r="G12" s="48"/>
      <c r="H12" s="1"/>
    </row>
    <row r="13" customFormat="false" ht="16.4" hidden="false" customHeight="false" outlineLevel="0" collapsed="false">
      <c r="B13" s="55" t="s">
        <v>291</v>
      </c>
      <c r="C13" s="2" t="s">
        <v>546</v>
      </c>
      <c r="D13" s="1" t="s">
        <v>286</v>
      </c>
      <c r="G13" s="48"/>
      <c r="H13" s="1"/>
    </row>
    <row r="14" customFormat="false" ht="16.4" hidden="false" customHeight="false" outlineLevel="0" collapsed="false">
      <c r="B14" s="55" t="s">
        <v>294</v>
      </c>
      <c r="C14" s="23" t="s">
        <v>155</v>
      </c>
      <c r="D14" s="1" t="s">
        <v>286</v>
      </c>
      <c r="H14" s="1"/>
    </row>
    <row r="15" customFormat="false" ht="16.4" hidden="false" customHeight="false" outlineLevel="0" collapsed="false">
      <c r="B15" s="55" t="s">
        <v>300</v>
      </c>
      <c r="C15" s="23" t="s">
        <v>156</v>
      </c>
      <c r="D15" s="1" t="s">
        <v>286</v>
      </c>
      <c r="H15" s="1"/>
    </row>
    <row r="16" customFormat="false" ht="16.4" hidden="false" customHeight="false" outlineLevel="0" collapsed="false">
      <c r="B16" s="55" t="s">
        <v>304</v>
      </c>
      <c r="C16" s="23" t="s">
        <v>157</v>
      </c>
      <c r="D16" s="1" t="s">
        <v>286</v>
      </c>
      <c r="H16" s="1"/>
    </row>
    <row r="17" customFormat="false" ht="16.4" hidden="false" customHeight="false" outlineLevel="0" collapsed="false">
      <c r="B17" s="55" t="s">
        <v>308</v>
      </c>
      <c r="C17" s="23" t="s">
        <v>158</v>
      </c>
      <c r="D17" s="1" t="s">
        <v>286</v>
      </c>
      <c r="H17" s="1"/>
    </row>
    <row r="18" customFormat="false" ht="16.4" hidden="false" customHeight="false" outlineLevel="0" collapsed="false">
      <c r="B18" s="55" t="s">
        <v>312</v>
      </c>
      <c r="C18" s="23" t="s">
        <v>159</v>
      </c>
      <c r="D18" s="1" t="s">
        <v>286</v>
      </c>
      <c r="H18" s="1"/>
    </row>
    <row r="19" customFormat="false" ht="16.4" hidden="false" customHeight="false" outlineLevel="0" collapsed="false">
      <c r="B19" s="55" t="s">
        <v>316</v>
      </c>
      <c r="C19" s="23" t="s">
        <v>160</v>
      </c>
      <c r="D19" s="1" t="s">
        <v>286</v>
      </c>
      <c r="H19" s="1"/>
    </row>
    <row r="20" customFormat="false" ht="16.4" hidden="false" customHeight="false" outlineLevel="0" collapsed="false">
      <c r="B20" s="55" t="s">
        <v>320</v>
      </c>
      <c r="C20" s="23" t="s">
        <v>161</v>
      </c>
      <c r="D20" s="1" t="s">
        <v>286</v>
      </c>
      <c r="H20" s="1"/>
    </row>
    <row r="21" customFormat="false" ht="16.4" hidden="false" customHeight="false" outlineLevel="0" collapsed="false">
      <c r="B21" s="55" t="s">
        <v>323</v>
      </c>
      <c r="C21" s="23" t="s">
        <v>162</v>
      </c>
      <c r="D21" s="1" t="s">
        <v>286</v>
      </c>
      <c r="H21" s="1"/>
    </row>
    <row r="22" customFormat="false" ht="16.4" hidden="false" customHeight="false" outlineLevel="0" collapsed="false">
      <c r="B22" s="55" t="s">
        <v>327</v>
      </c>
      <c r="C22" s="23" t="s">
        <v>163</v>
      </c>
      <c r="D22" s="1" t="s">
        <v>286</v>
      </c>
      <c r="H22" s="1"/>
    </row>
    <row r="23" customFormat="false" ht="16.4" hidden="false" customHeight="false" outlineLevel="0" collapsed="false">
      <c r="B23" s="55" t="s">
        <v>335</v>
      </c>
      <c r="C23" s="2" t="s">
        <v>555</v>
      </c>
      <c r="D23" s="1" t="s">
        <v>334</v>
      </c>
      <c r="H23" s="1"/>
    </row>
    <row r="24" customFormat="false" ht="16.4" hidden="false" customHeight="false" outlineLevel="0" collapsed="false">
      <c r="B24" s="2" t="s">
        <v>338</v>
      </c>
      <c r="C24" s="2" t="s">
        <v>556</v>
      </c>
      <c r="D24" s="1" t="s">
        <v>334</v>
      </c>
      <c r="H24" s="1"/>
    </row>
    <row r="25" customFormat="false" ht="16.4" hidden="false" customHeight="false" outlineLevel="0" collapsed="false">
      <c r="B25" s="2" t="s">
        <v>340</v>
      </c>
      <c r="C25" s="2" t="s">
        <v>570</v>
      </c>
      <c r="D25" s="1" t="s">
        <v>334</v>
      </c>
      <c r="H25" s="1"/>
    </row>
    <row r="26" customFormat="false" ht="16.4" hidden="false" customHeight="false" outlineLevel="0" collapsed="false">
      <c r="B26" s="55" t="s">
        <v>343</v>
      </c>
      <c r="C26" s="2" t="s">
        <v>547</v>
      </c>
      <c r="D26" s="1" t="s">
        <v>334</v>
      </c>
      <c r="H26" s="1"/>
    </row>
    <row r="27" customFormat="false" ht="16.4" hidden="false" customHeight="false" outlineLevel="0" collapsed="false">
      <c r="B27" s="55" t="s">
        <v>346</v>
      </c>
      <c r="C27" s="2" t="s">
        <v>345</v>
      </c>
      <c r="D27" s="1" t="s">
        <v>334</v>
      </c>
      <c r="H27" s="1"/>
    </row>
    <row r="28" customFormat="false" ht="16.4" hidden="false" customHeight="false" outlineLevel="0" collapsed="false">
      <c r="B28" s="55" t="s">
        <v>348</v>
      </c>
      <c r="C28" s="2" t="s">
        <v>548</v>
      </c>
      <c r="D28" s="1" t="s">
        <v>334</v>
      </c>
      <c r="H28" s="1"/>
    </row>
    <row r="29" customFormat="false" ht="16.4" hidden="false" customHeight="false" outlineLevel="0" collapsed="false">
      <c r="B29" s="55" t="s">
        <v>350</v>
      </c>
      <c r="C29" s="2" t="s">
        <v>549</v>
      </c>
      <c r="D29" s="1" t="s">
        <v>334</v>
      </c>
      <c r="H29" s="1"/>
    </row>
    <row r="30" customFormat="false" ht="16.4" hidden="false" customHeight="false" outlineLevel="0" collapsed="false">
      <c r="B30" s="55" t="s">
        <v>353</v>
      </c>
      <c r="C30" s="2" t="s">
        <v>552</v>
      </c>
      <c r="D30" s="1" t="s">
        <v>334</v>
      </c>
      <c r="H30" s="1"/>
    </row>
    <row r="31" customFormat="false" ht="16.4" hidden="false" customHeight="false" outlineLevel="0" collapsed="false">
      <c r="B31" s="55" t="s">
        <v>355</v>
      </c>
      <c r="C31" s="2" t="s">
        <v>551</v>
      </c>
      <c r="D31" s="1" t="s">
        <v>334</v>
      </c>
      <c r="H31" s="1"/>
    </row>
    <row r="32" customFormat="false" ht="16.4" hidden="false" customHeight="false" outlineLevel="0" collapsed="false">
      <c r="B32" s="55" t="s">
        <v>357</v>
      </c>
      <c r="C32" s="2" t="s">
        <v>553</v>
      </c>
      <c r="D32" s="1" t="s">
        <v>334</v>
      </c>
      <c r="H32" s="1"/>
    </row>
    <row r="33" customFormat="false" ht="16.4" hidden="false" customHeight="false" outlineLevel="0" collapsed="false">
      <c r="B33" s="55" t="s">
        <v>359</v>
      </c>
      <c r="C33" s="2" t="s">
        <v>550</v>
      </c>
      <c r="D33" s="1" t="s">
        <v>334</v>
      </c>
      <c r="H33" s="1"/>
    </row>
    <row r="34" customFormat="false" ht="16.4" hidden="false" customHeight="false" outlineLevel="0" collapsed="false">
      <c r="B34" s="55" t="s">
        <v>361</v>
      </c>
      <c r="C34" s="55" t="s">
        <v>194</v>
      </c>
      <c r="D34" s="1" t="s">
        <v>334</v>
      </c>
      <c r="H34" s="1"/>
    </row>
    <row r="35" customFormat="false" ht="16.4" hidden="false" customHeight="false" outlineLevel="0" collapsed="false">
      <c r="B35" s="55" t="s">
        <v>364</v>
      </c>
      <c r="C35" s="55" t="s">
        <v>196</v>
      </c>
      <c r="D35" s="1" t="s">
        <v>334</v>
      </c>
      <c r="H35" s="1"/>
    </row>
    <row r="36" customFormat="false" ht="16.4" hidden="false" customHeight="false" outlineLevel="0" collapsed="false">
      <c r="B36" s="55" t="s">
        <v>366</v>
      </c>
      <c r="C36" s="55" t="s">
        <v>197</v>
      </c>
      <c r="D36" s="1" t="s">
        <v>334</v>
      </c>
      <c r="H36" s="1"/>
    </row>
    <row r="37" customFormat="false" ht="16.4" hidden="false" customHeight="false" outlineLevel="0" collapsed="false">
      <c r="B37" s="55" t="s">
        <v>369</v>
      </c>
      <c r="C37" s="2" t="s">
        <v>561</v>
      </c>
      <c r="D37" s="1" t="s">
        <v>334</v>
      </c>
      <c r="H37" s="1"/>
    </row>
    <row r="38" customFormat="false" ht="16.4" hidden="false" customHeight="false" outlineLevel="0" collapsed="false">
      <c r="B38" s="55" t="s">
        <v>381</v>
      </c>
      <c r="C38" s="2" t="s">
        <v>557</v>
      </c>
      <c r="D38" s="1" t="s">
        <v>334</v>
      </c>
      <c r="H38" s="1"/>
    </row>
    <row r="39" customFormat="false" ht="16.4" hidden="false" customHeight="false" outlineLevel="0" collapsed="false">
      <c r="B39" s="55" t="s">
        <v>384</v>
      </c>
      <c r="C39" s="2" t="s">
        <v>558</v>
      </c>
      <c r="D39" s="1" t="s">
        <v>334</v>
      </c>
      <c r="H39" s="1"/>
    </row>
    <row r="40" customFormat="false" ht="16.4" hidden="false" customHeight="false" outlineLevel="0" collapsed="false">
      <c r="B40" s="55" t="s">
        <v>373</v>
      </c>
      <c r="C40" s="55" t="s">
        <v>559</v>
      </c>
      <c r="D40" s="1" t="s">
        <v>334</v>
      </c>
      <c r="H40" s="1"/>
    </row>
    <row r="41" customFormat="false" ht="16.4" hidden="false" customHeight="false" outlineLevel="0" collapsed="false">
      <c r="B41" s="55" t="s">
        <v>378</v>
      </c>
      <c r="C41" s="55" t="s">
        <v>560</v>
      </c>
      <c r="D41" s="1" t="s">
        <v>334</v>
      </c>
      <c r="H41" s="1"/>
    </row>
    <row r="42" customFormat="false" ht="16.4" hidden="false" customHeight="false" outlineLevel="0" collapsed="false">
      <c r="B42" s="55" t="s">
        <v>66</v>
      </c>
      <c r="C42" s="55" t="s">
        <v>66</v>
      </c>
      <c r="D42" s="1" t="s">
        <v>334</v>
      </c>
      <c r="H42" s="1"/>
    </row>
    <row r="43" customFormat="false" ht="16.4" hidden="false" customHeight="false" outlineLevel="0" collapsed="false">
      <c r="B43" s="55" t="s">
        <v>456</v>
      </c>
      <c r="C43" s="55" t="s">
        <v>198</v>
      </c>
      <c r="D43" s="1" t="s">
        <v>455</v>
      </c>
      <c r="H43" s="1"/>
    </row>
    <row r="44" customFormat="false" ht="16.4" hidden="false" customHeight="false" outlineLevel="0" collapsed="false">
      <c r="B44" s="55" t="s">
        <v>459</v>
      </c>
      <c r="C44" s="55" t="s">
        <v>201</v>
      </c>
      <c r="D44" s="1" t="s">
        <v>455</v>
      </c>
      <c r="H44" s="1"/>
    </row>
    <row r="45" customFormat="false" ht="16.4" hidden="false" customHeight="false" outlineLevel="0" collapsed="false">
      <c r="B45" s="2" t="s">
        <v>329</v>
      </c>
      <c r="C45" s="2" t="s">
        <v>172</v>
      </c>
      <c r="D45" s="1" t="s">
        <v>455</v>
      </c>
      <c r="H45" s="1"/>
    </row>
    <row r="46" customFormat="false" ht="16.4" hidden="false" customHeight="false" outlineLevel="0" collapsed="false">
      <c r="B46" s="55" t="s">
        <v>460</v>
      </c>
      <c r="C46" s="2" t="s">
        <v>545</v>
      </c>
      <c r="D46" s="1" t="s">
        <v>455</v>
      </c>
      <c r="H46" s="1"/>
    </row>
    <row r="47" customFormat="false" ht="16.4" hidden="false" customHeight="false" outlineLevel="0" collapsed="false">
      <c r="B47" s="55" t="s">
        <v>464</v>
      </c>
      <c r="C47" s="2" t="s">
        <v>554</v>
      </c>
      <c r="D47" s="1" t="s">
        <v>463</v>
      </c>
      <c r="H47" s="1"/>
    </row>
    <row r="48" customFormat="false" ht="16.4" hidden="false" customHeight="false" outlineLevel="0" collapsed="false">
      <c r="B48" s="55" t="s">
        <v>467</v>
      </c>
      <c r="C48" s="55" t="s">
        <v>182</v>
      </c>
      <c r="D48" s="1" t="s">
        <v>463</v>
      </c>
      <c r="H48" s="1"/>
    </row>
    <row r="49" customFormat="false" ht="16.4" hidden="false" customHeight="false" outlineLevel="0" collapsed="false">
      <c r="B49" s="55" t="s">
        <v>470</v>
      </c>
      <c r="C49" s="55" t="s">
        <v>184</v>
      </c>
      <c r="D49" s="1" t="s">
        <v>463</v>
      </c>
      <c r="H49" s="1"/>
    </row>
    <row r="50" customFormat="false" ht="16.4" hidden="false" customHeight="false" outlineLevel="0" collapsed="false">
      <c r="B50" s="55" t="s">
        <v>473</v>
      </c>
      <c r="C50" s="55" t="s">
        <v>185</v>
      </c>
      <c r="D50" s="1" t="s">
        <v>463</v>
      </c>
      <c r="H50" s="1"/>
    </row>
    <row r="51" customFormat="false" ht="16.4" hidden="false" customHeight="false" outlineLevel="0" collapsed="false">
      <c r="B51" s="55" t="s">
        <v>476</v>
      </c>
      <c r="C51" s="55" t="s">
        <v>186</v>
      </c>
      <c r="D51" s="1" t="s">
        <v>463</v>
      </c>
      <c r="H51" s="1"/>
    </row>
    <row r="52" customFormat="false" ht="16.4" hidden="false" customHeight="false" outlineLevel="0" collapsed="false">
      <c r="B52" s="55" t="s">
        <v>478</v>
      </c>
      <c r="C52" s="55" t="s">
        <v>187</v>
      </c>
      <c r="D52" s="1" t="s">
        <v>463</v>
      </c>
      <c r="H52" s="1"/>
    </row>
    <row r="53" customFormat="false" ht="16.4" hidden="false" customHeight="false" outlineLevel="0" collapsed="false">
      <c r="B53" s="55" t="s">
        <v>480</v>
      </c>
      <c r="C53" s="55" t="s">
        <v>188</v>
      </c>
      <c r="D53" s="1" t="s">
        <v>463</v>
      </c>
      <c r="H53" s="1"/>
    </row>
    <row r="54" customFormat="false" ht="16.4" hidden="false" customHeight="false" outlineLevel="0" collapsed="false">
      <c r="B54" s="55" t="s">
        <v>482</v>
      </c>
      <c r="C54" s="55" t="s">
        <v>189</v>
      </c>
      <c r="D54" s="1" t="s">
        <v>463</v>
      </c>
      <c r="H54" s="1"/>
    </row>
    <row r="55" customFormat="false" ht="16.4" hidden="false" customHeight="false" outlineLevel="0" collapsed="false">
      <c r="B55" s="55" t="s">
        <v>484</v>
      </c>
      <c r="C55" s="55" t="s">
        <v>190</v>
      </c>
      <c r="D55" s="1" t="s">
        <v>463</v>
      </c>
      <c r="H55" s="1"/>
    </row>
    <row r="56" customFormat="false" ht="16.4" hidden="false" customHeight="false" outlineLevel="0" collapsed="false">
      <c r="B56" s="55" t="s">
        <v>486</v>
      </c>
      <c r="C56" s="55" t="s">
        <v>191</v>
      </c>
      <c r="D56" s="1" t="s">
        <v>463</v>
      </c>
      <c r="H56" s="1"/>
    </row>
    <row r="57" customFormat="false" ht="16.4" hidden="false" customHeight="false" outlineLevel="0" collapsed="false">
      <c r="B57" s="55" t="s">
        <v>488</v>
      </c>
      <c r="C57" s="55" t="s">
        <v>192</v>
      </c>
      <c r="D57" s="1" t="s">
        <v>463</v>
      </c>
      <c r="H57" s="1"/>
    </row>
    <row r="58" customFormat="false" ht="31.3" hidden="false" customHeight="false" outlineLevel="0" collapsed="false">
      <c r="B58" s="55" t="s">
        <v>497</v>
      </c>
      <c r="C58" s="55" t="s">
        <v>571</v>
      </c>
      <c r="D58" s="1" t="s">
        <v>491</v>
      </c>
      <c r="H58" s="1"/>
    </row>
    <row r="59" customFormat="false" ht="31.3" hidden="false" customHeight="false" outlineLevel="0" collapsed="false">
      <c r="B59" s="55" t="s">
        <v>492</v>
      </c>
      <c r="C59" s="55" t="s">
        <v>572</v>
      </c>
      <c r="D59" s="1" t="s">
        <v>491</v>
      </c>
      <c r="H59" s="1"/>
    </row>
    <row r="60" customFormat="false" ht="16.4" hidden="false" customHeight="false" outlineLevel="0" collapsed="false">
      <c r="B60" s="55" t="s">
        <v>504</v>
      </c>
      <c r="C60" s="55" t="s">
        <v>90</v>
      </c>
      <c r="D60" s="1" t="s">
        <v>503</v>
      </c>
      <c r="H60" s="1"/>
    </row>
    <row r="61" customFormat="false" ht="16.4" hidden="false" customHeight="false" outlineLevel="0" collapsed="false">
      <c r="B61" s="55" t="s">
        <v>510</v>
      </c>
      <c r="C61" s="55" t="s">
        <v>92</v>
      </c>
      <c r="D61" s="1" t="s">
        <v>503</v>
      </c>
      <c r="H61" s="1"/>
    </row>
    <row r="62" customFormat="false" ht="16.4" hidden="false" customHeight="false" outlineLevel="0" collapsed="false">
      <c r="B62" s="55" t="s">
        <v>511</v>
      </c>
      <c r="C62" s="55" t="s">
        <v>169</v>
      </c>
      <c r="D62" s="1" t="s">
        <v>503</v>
      </c>
      <c r="H62" s="1"/>
    </row>
    <row r="63" customFormat="false" ht="16.4" hidden="false" customHeight="false" outlineLevel="0" collapsed="false">
      <c r="B63" s="55" t="s">
        <v>516</v>
      </c>
      <c r="C63" s="55" t="s">
        <v>202</v>
      </c>
      <c r="D63" s="1" t="s">
        <v>503</v>
      </c>
      <c r="H63" s="1"/>
    </row>
    <row r="64" customFormat="false" ht="16.4" hidden="false" customHeight="false" outlineLevel="0" collapsed="false">
      <c r="B64" s="55" t="s">
        <v>424</v>
      </c>
      <c r="C64" s="55" t="s">
        <v>171</v>
      </c>
      <c r="D64" s="1" t="s">
        <v>334</v>
      </c>
      <c r="H64" s="1"/>
    </row>
    <row r="65" customFormat="false" ht="16.4" hidden="false" customHeight="false" outlineLevel="0" collapsed="false">
      <c r="B65" s="55" t="s">
        <v>387</v>
      </c>
      <c r="C65" s="68" t="s">
        <v>386</v>
      </c>
      <c r="D65" s="1" t="s">
        <v>334</v>
      </c>
    </row>
    <row r="66" customFormat="false" ht="16.4" hidden="false" customHeight="false" outlineLevel="0" collapsed="false">
      <c r="B66" s="55" t="s">
        <v>392</v>
      </c>
      <c r="C66" s="68" t="s">
        <v>391</v>
      </c>
      <c r="D66" s="1" t="s">
        <v>334</v>
      </c>
    </row>
    <row r="67" customFormat="false" ht="16.4" hidden="false" customHeight="false" outlineLevel="0" collapsed="false">
      <c r="B67" s="55" t="s">
        <v>398</v>
      </c>
      <c r="C67" s="68" t="s">
        <v>397</v>
      </c>
      <c r="D67" s="1" t="s">
        <v>334</v>
      </c>
    </row>
    <row r="68" customFormat="false" ht="16.4" hidden="false" customHeight="false" outlineLevel="0" collapsed="false">
      <c r="B68" s="55" t="s">
        <v>401</v>
      </c>
      <c r="C68" s="68" t="s">
        <v>400</v>
      </c>
      <c r="D68" s="1" t="s">
        <v>334</v>
      </c>
    </row>
    <row r="69" customFormat="false" ht="16.4" hidden="false" customHeight="false" outlineLevel="0" collapsed="false">
      <c r="B69" s="55" t="s">
        <v>405</v>
      </c>
      <c r="C69" s="68" t="s">
        <v>404</v>
      </c>
      <c r="D69" s="1" t="s">
        <v>334</v>
      </c>
    </row>
    <row r="70" customFormat="false" ht="16.4" hidden="false" customHeight="false" outlineLevel="0" collapsed="false">
      <c r="B70" s="55" t="s">
        <v>410</v>
      </c>
      <c r="C70" s="68" t="s">
        <v>409</v>
      </c>
      <c r="D70" s="1" t="s">
        <v>334</v>
      </c>
    </row>
    <row r="71" customFormat="false" ht="16.4" hidden="false" customHeight="false" outlineLevel="0" collapsed="false">
      <c r="B71" s="55" t="s">
        <v>414</v>
      </c>
      <c r="C71" s="68" t="s">
        <v>413</v>
      </c>
      <c r="D71" s="1" t="s">
        <v>334</v>
      </c>
    </row>
    <row r="72" customFormat="false" ht="16.4" hidden="false" customHeight="false" outlineLevel="0" collapsed="false">
      <c r="B72" s="55" t="s">
        <v>417</v>
      </c>
      <c r="C72" s="68" t="s">
        <v>416</v>
      </c>
      <c r="D72" s="1" t="s">
        <v>334</v>
      </c>
    </row>
    <row r="73" customFormat="false" ht="16.4" hidden="false" customHeight="false" outlineLevel="0" collapsed="false">
      <c r="B73" s="55" t="s">
        <v>421</v>
      </c>
      <c r="C73" s="68" t="s">
        <v>420</v>
      </c>
      <c r="D73" s="1" t="s">
        <v>334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2:F26"/>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F5" activeCellId="0" sqref="F5"/>
    </sheetView>
  </sheetViews>
  <sheetFormatPr defaultColWidth="8.59765625" defaultRowHeight="15" zeroHeight="false" outlineLevelRow="0" outlineLevelCol="0"/>
  <cols>
    <col collapsed="false" customWidth="true" hidden="false" outlineLevel="0" max="3" min="3" style="2" width="19.86"/>
    <col collapsed="false" customWidth="true" hidden="false" outlineLevel="0" max="4" min="4" style="2" width="13"/>
    <col collapsed="false" customWidth="true" hidden="false" outlineLevel="0" max="5" min="5" style="2" width="25.43"/>
    <col collapsed="false" customWidth="true" hidden="false" outlineLevel="0" max="6" min="6" style="2" width="95.43"/>
  </cols>
  <sheetData>
    <row r="2" customFormat="false" ht="15" hidden="false" customHeight="false" outlineLevel="0" collapsed="false">
      <c r="C2" s="14" t="s">
        <v>573</v>
      </c>
    </row>
    <row r="4" customFormat="false" ht="131.25" hidden="false" customHeight="true" outlineLevel="0" collapsed="false">
      <c r="C4" s="69" t="s">
        <v>574</v>
      </c>
      <c r="D4" s="69"/>
      <c r="E4" s="69"/>
      <c r="F4" s="69"/>
    </row>
    <row r="5" customFormat="false" ht="37.5" hidden="false" customHeight="true" outlineLevel="0" collapsed="false">
      <c r="C5" s="70"/>
      <c r="D5" s="71"/>
      <c r="E5" s="71"/>
      <c r="F5" s="71"/>
    </row>
    <row r="6" customFormat="false" ht="15.75" hidden="false" customHeight="false" outlineLevel="0" collapsed="false">
      <c r="C6" s="55" t="s">
        <v>575</v>
      </c>
    </row>
    <row r="7" customFormat="false" ht="45.75" hidden="false" customHeight="false" outlineLevel="0" collapsed="false">
      <c r="C7" s="72" t="s">
        <v>102</v>
      </c>
      <c r="D7" s="73" t="s">
        <v>576</v>
      </c>
      <c r="E7" s="73" t="s">
        <v>6</v>
      </c>
      <c r="F7" s="73" t="s">
        <v>577</v>
      </c>
    </row>
    <row r="8" customFormat="false" ht="15.75" hidden="false" customHeight="true" outlineLevel="0" collapsed="false">
      <c r="C8" s="74" t="s">
        <v>578</v>
      </c>
      <c r="D8" s="75" t="n">
        <v>0.85</v>
      </c>
      <c r="E8" s="76" t="s">
        <v>579</v>
      </c>
      <c r="F8" s="76" t="s">
        <v>580</v>
      </c>
    </row>
    <row r="9" customFormat="false" ht="15.75" hidden="false" customHeight="false" outlineLevel="0" collapsed="false">
      <c r="C9" s="74" t="s">
        <v>581</v>
      </c>
      <c r="D9" s="75" t="n">
        <v>0.85</v>
      </c>
      <c r="E9" s="76"/>
      <c r="F9" s="76"/>
    </row>
    <row r="10" customFormat="false" ht="15.75" hidden="false" customHeight="true" outlineLevel="0" collapsed="false">
      <c r="C10" s="74" t="s">
        <v>582</v>
      </c>
      <c r="D10" s="75" t="n">
        <v>0.45</v>
      </c>
      <c r="E10" s="76" t="s">
        <v>583</v>
      </c>
      <c r="F10" s="76" t="s">
        <v>584</v>
      </c>
    </row>
    <row r="11" customFormat="false" ht="15.75" hidden="false" customHeight="false" outlineLevel="0" collapsed="false">
      <c r="C11" s="74" t="s">
        <v>585</v>
      </c>
      <c r="D11" s="75" t="n">
        <v>0.4</v>
      </c>
      <c r="E11" s="76"/>
      <c r="F11" s="76"/>
    </row>
    <row r="12" customFormat="false" ht="15" hidden="false" customHeight="true" outlineLevel="0" collapsed="false">
      <c r="C12" s="76" t="s">
        <v>586</v>
      </c>
      <c r="D12" s="76" t="n">
        <v>0.4</v>
      </c>
      <c r="E12" s="76" t="s">
        <v>587</v>
      </c>
      <c r="F12" s="76"/>
    </row>
    <row r="13" customFormat="false" ht="15" hidden="false" customHeight="false" outlineLevel="0" collapsed="false">
      <c r="C13" s="76"/>
      <c r="D13" s="76"/>
      <c r="E13" s="76"/>
      <c r="F13" s="76"/>
    </row>
    <row r="14" customFormat="false" ht="15.75" hidden="false" customHeight="false" outlineLevel="0" collapsed="false">
      <c r="C14" s="74" t="s">
        <v>588</v>
      </c>
      <c r="D14" s="75" t="n">
        <v>0.4</v>
      </c>
      <c r="E14" s="76"/>
      <c r="F14" s="76"/>
    </row>
    <row r="15" customFormat="false" ht="15.75" hidden="false" customHeight="true" outlineLevel="0" collapsed="false">
      <c r="C15" s="74" t="s">
        <v>589</v>
      </c>
      <c r="D15" s="75" t="n">
        <v>0.525</v>
      </c>
      <c r="E15" s="76" t="s">
        <v>590</v>
      </c>
      <c r="F15" s="76" t="s">
        <v>591</v>
      </c>
    </row>
    <row r="16" customFormat="false" ht="15.75" hidden="false" customHeight="false" outlineLevel="0" collapsed="false">
      <c r="C16" s="74" t="s">
        <v>592</v>
      </c>
      <c r="D16" s="75" t="n">
        <v>0.525</v>
      </c>
      <c r="E16" s="76"/>
      <c r="F16" s="76"/>
    </row>
    <row r="17" customFormat="false" ht="30.75" hidden="false" customHeight="false" outlineLevel="0" collapsed="false">
      <c r="C17" s="74" t="s">
        <v>593</v>
      </c>
      <c r="D17" s="75" t="n">
        <v>0.8</v>
      </c>
      <c r="E17" s="75" t="s">
        <v>594</v>
      </c>
      <c r="F17" s="76"/>
    </row>
    <row r="18" customFormat="false" ht="15" hidden="false" customHeight="false" outlineLevel="0" collapsed="false">
      <c r="C18" s="77"/>
    </row>
    <row r="19" customFormat="false" ht="16.4" hidden="false" customHeight="false" outlineLevel="0" collapsed="false">
      <c r="C19" s="78" t="s">
        <v>595</v>
      </c>
    </row>
    <row r="20" customFormat="false" ht="15" hidden="false" customHeight="false" outlineLevel="0" collapsed="false">
      <c r="C20" s="79" t="s">
        <v>596</v>
      </c>
    </row>
    <row r="21" customFormat="false" ht="15" hidden="false" customHeight="false" outlineLevel="0" collapsed="false">
      <c r="C21" s="77"/>
    </row>
    <row r="22" customFormat="false" ht="15" hidden="false" customHeight="false" outlineLevel="0" collapsed="false">
      <c r="C22" s="80"/>
    </row>
    <row r="23" customFormat="false" ht="15" hidden="false" customHeight="false" outlineLevel="0" collapsed="false">
      <c r="C23" s="77"/>
    </row>
    <row r="24" customFormat="false" ht="15" hidden="false" customHeight="false" outlineLevel="0" collapsed="false">
      <c r="C24" s="80"/>
    </row>
    <row r="25" customFormat="false" ht="15" hidden="false" customHeight="false" outlineLevel="0" collapsed="false">
      <c r="C25" s="80"/>
    </row>
    <row r="26" customFormat="false" ht="15" hidden="false" customHeight="false" outlineLevel="0" collapsed="false">
      <c r="C26" s="77"/>
    </row>
  </sheetData>
  <mergeCells count="10">
    <mergeCell ref="C4:F4"/>
    <mergeCell ref="E8:E9"/>
    <mergeCell ref="F8:F9"/>
    <mergeCell ref="E10:E11"/>
    <mergeCell ref="F10:F14"/>
    <mergeCell ref="C12:C13"/>
    <mergeCell ref="D12:D13"/>
    <mergeCell ref="E12:E14"/>
    <mergeCell ref="E15:E16"/>
    <mergeCell ref="F15:F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8418</TotalTime>
  <Application>LibreOffice/24.8.6.2$Linux_X86_64 LibreOffice_project/d50be90c1d90f0f90a5235ffcbbafbbfa38a83c2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2021-09-23T14:34:16Z</dcterms:created>
  <dc:creator>Anna Schroeder</dc:creator>
  <dc:description/>
  <dc:language>en-US</dc:language>
  <cp:lastModifiedBy/>
  <dcterms:modified xsi:type="dcterms:W3CDTF">2025-04-22T16:31:39Z</dcterms:modified>
  <cp:revision>34</cp:revision>
  <dc:subject/>
  <dc:title/>
</cp:coreProperties>
</file>

<file path=docProps/custom.xml><?xml version="1.0" encoding="utf-8"?>
<Properties xmlns="http://schemas.openxmlformats.org/officeDocument/2006/custom-properties" xmlns:vt="http://schemas.openxmlformats.org/officeDocument/2006/docPropsVTypes"/>
</file>