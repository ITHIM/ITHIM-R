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https://universityofcambridgecloud-my.sharepoint.com/personal/lst36_cam_ac_uk/Documents/Documents/ITHIM-R/"/>
    </mc:Choice>
  </mc:AlternateContent>
  <xr:revisionPtr revIDLastSave="5" documentId="11_6E31B7FCBD577D888FDD9A333C357956056BDCEC" xr6:coauthVersionLast="47" xr6:coauthVersionMax="47" xr10:uidLastSave="{D2186DF4-8B8F-461B-BF76-CFFC85779C32}"/>
  <bookViews>
    <workbookView xWindow="-120" yWindow="-120" windowWidth="29040" windowHeight="15720" tabRatio="500" firstSheet="1" activeTab="1" xr2:uid="{00000000-000D-0000-FFFF-FFFF00000000}"/>
  </bookViews>
  <sheets>
    <sheet name="Readme" sheetId="1" r:id="rId1"/>
    <sheet name="all_city_parameter_inputs" sheetId="2" r:id="rId2"/>
    <sheet name="All_city_list" sheetId="3" r:id="rId3"/>
    <sheet name="all_global_parameter_inputs" sheetId="4" r:id="rId4"/>
    <sheet name="All_global_list" sheetId="5" r:id="rId5"/>
    <sheet name="Default" sheetId="6" r:id="rId6"/>
    <sheet name="Further_input_files" sheetId="7" r:id="rId7"/>
    <sheet name="Grouped_Sources" sheetId="8" r:id="rId8"/>
    <sheet name="Lookup" sheetId="9" r:id="rId9"/>
    <sheet name="Safety in Numbers" sheetId="10" r:id="rId10"/>
  </sheets>
  <definedNames>
    <definedName name="_xlnm._FilterDatabase" localSheetId="2" hidden="1">All_city_list!$A$3:$R$2775</definedName>
    <definedName name="_xlnm._FilterDatabase" localSheetId="1" hidden="1">all_city_parameter_inputs!$A$1:$C$39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70" i="8" l="1"/>
  <c r="C69" i="8"/>
  <c r="C68" i="8"/>
  <c r="C67" i="8"/>
  <c r="C66" i="8"/>
  <c r="C65" i="8"/>
  <c r="C64" i="8"/>
  <c r="C63" i="8"/>
  <c r="C62" i="8"/>
  <c r="C61" i="8"/>
  <c r="C60" i="8"/>
  <c r="C59" i="8"/>
  <c r="C58" i="8"/>
  <c r="C57" i="8"/>
  <c r="C56" i="8"/>
  <c r="C55" i="8"/>
  <c r="C54" i="8"/>
  <c r="C53" i="8"/>
  <c r="C52" i="8"/>
  <c r="C51" i="8"/>
  <c r="C50" i="8"/>
  <c r="C49" i="8"/>
  <c r="C48" i="8"/>
  <c r="C47" i="8"/>
  <c r="C46" i="8"/>
  <c r="C45" i="8"/>
  <c r="C44" i="8"/>
  <c r="C43" i="8"/>
  <c r="C42" i="8"/>
  <c r="C41" i="8"/>
  <c r="C40" i="8"/>
  <c r="C39" i="8"/>
  <c r="C38" i="8"/>
  <c r="C37" i="8"/>
  <c r="C36" i="8"/>
  <c r="C35" i="8"/>
  <c r="C34" i="8"/>
  <c r="C33" i="8"/>
  <c r="C32" i="8"/>
  <c r="C31" i="8"/>
  <c r="C30" i="8"/>
  <c r="C29" i="8"/>
  <c r="C28" i="8"/>
  <c r="C27" i="8"/>
  <c r="C26" i="8"/>
  <c r="C25" i="8"/>
  <c r="C24" i="8"/>
  <c r="C23" i="8"/>
  <c r="C22" i="8"/>
  <c r="C21" i="8"/>
  <c r="C20" i="8"/>
  <c r="C19" i="8"/>
  <c r="C18" i="8"/>
  <c r="C17" i="8"/>
  <c r="C16" i="8"/>
  <c r="C15" i="8"/>
  <c r="C14" i="8"/>
  <c r="C13" i="8"/>
  <c r="C12" i="8"/>
  <c r="C11" i="8"/>
  <c r="C10" i="8"/>
  <c r="C9" i="8"/>
  <c r="C8" i="8"/>
  <c r="C7" i="8"/>
  <c r="B114" i="6"/>
  <c r="B113" i="6"/>
  <c r="B112" i="6"/>
  <c r="B111" i="6"/>
  <c r="B109" i="6"/>
  <c r="B108" i="6"/>
  <c r="B106" i="6"/>
  <c r="B105" i="6"/>
  <c r="B104" i="6"/>
  <c r="B103" i="6"/>
  <c r="B102" i="6"/>
  <c r="B101" i="6"/>
  <c r="B100" i="6"/>
  <c r="B99" i="6"/>
  <c r="B98" i="6"/>
  <c r="B97" i="6"/>
  <c r="B96" i="6"/>
  <c r="B94" i="6"/>
  <c r="B93" i="6"/>
  <c r="B92" i="6"/>
  <c r="B60" i="6"/>
  <c r="B59" i="6"/>
  <c r="B58" i="6"/>
  <c r="B57" i="6"/>
  <c r="B56" i="6"/>
  <c r="B55" i="6"/>
  <c r="B54" i="6"/>
  <c r="B53" i="6"/>
  <c r="B52" i="6"/>
  <c r="B51" i="6"/>
  <c r="B50" i="6"/>
  <c r="B49" i="6"/>
  <c r="B48" i="6"/>
  <c r="B47" i="6"/>
  <c r="B45" i="6"/>
  <c r="B44" i="6"/>
  <c r="B43" i="6"/>
  <c r="B42" i="6"/>
  <c r="B40" i="6"/>
  <c r="B39" i="6"/>
  <c r="B38" i="6"/>
  <c r="B37" i="6"/>
  <c r="B36" i="6"/>
  <c r="B35" i="6"/>
  <c r="B34" i="6"/>
  <c r="B33" i="6"/>
  <c r="B32" i="6"/>
  <c r="B31" i="6"/>
  <c r="B30" i="6"/>
  <c r="B29" i="6"/>
  <c r="B27" i="6"/>
  <c r="B17" i="6"/>
  <c r="B7" i="6"/>
  <c r="B6" i="6"/>
  <c r="B5" i="6"/>
  <c r="H72" i="5"/>
  <c r="G72" i="5"/>
  <c r="E72" i="5"/>
  <c r="D72" i="5"/>
  <c r="F72" i="5" s="1"/>
  <c r="C72" i="5"/>
  <c r="H71" i="5"/>
  <c r="G71" i="5"/>
  <c r="E71" i="5"/>
  <c r="D71" i="5"/>
  <c r="F71" i="5" s="1"/>
  <c r="C71" i="5"/>
  <c r="E70" i="5"/>
  <c r="D70" i="5"/>
  <c r="C70" i="5"/>
  <c r="E69" i="5"/>
  <c r="D69" i="5"/>
  <c r="C69" i="5"/>
  <c r="E68" i="5"/>
  <c r="D68" i="5"/>
  <c r="C68" i="5"/>
  <c r="H67" i="5"/>
  <c r="G67" i="5"/>
  <c r="E67" i="5"/>
  <c r="D67" i="5"/>
  <c r="F67" i="5" s="1"/>
  <c r="C67" i="5"/>
  <c r="H66" i="5"/>
  <c r="G66" i="5"/>
  <c r="E66" i="5"/>
  <c r="D66" i="5"/>
  <c r="F66" i="5" s="1"/>
  <c r="C66" i="5"/>
  <c r="H65" i="5"/>
  <c r="G65" i="5"/>
  <c r="E65" i="5"/>
  <c r="D65" i="5"/>
  <c r="F65" i="5" s="1"/>
  <c r="C65" i="5"/>
  <c r="H64" i="5"/>
  <c r="G64" i="5"/>
  <c r="E64" i="5"/>
  <c r="D64" i="5"/>
  <c r="F64" i="5" s="1"/>
  <c r="C64" i="5"/>
  <c r="G63" i="5"/>
  <c r="F63" i="5"/>
  <c r="E63" i="5"/>
  <c r="D63" i="5"/>
  <c r="C63" i="5"/>
  <c r="H62" i="5"/>
  <c r="G62" i="5"/>
  <c r="F62" i="5"/>
  <c r="E62" i="5"/>
  <c r="D62" i="5"/>
  <c r="C62" i="5"/>
  <c r="H61" i="5"/>
  <c r="G61" i="5"/>
  <c r="F61" i="5"/>
  <c r="E61" i="5"/>
  <c r="D61" i="5"/>
  <c r="C61" i="5"/>
  <c r="H60" i="5"/>
  <c r="G60" i="5"/>
  <c r="F60" i="5"/>
  <c r="E60" i="5"/>
  <c r="D60" i="5"/>
  <c r="C60" i="5"/>
  <c r="H59" i="5"/>
  <c r="G59" i="5"/>
  <c r="F59" i="5"/>
  <c r="E59" i="5"/>
  <c r="D59" i="5"/>
  <c r="C59" i="5"/>
  <c r="G58" i="5"/>
  <c r="F58" i="5"/>
  <c r="E58" i="5"/>
  <c r="D58" i="5"/>
  <c r="C58" i="5"/>
  <c r="G57" i="5"/>
  <c r="E57" i="5"/>
  <c r="D57" i="5"/>
  <c r="F57" i="5" s="1"/>
  <c r="C57" i="5"/>
  <c r="H56" i="5"/>
  <c r="G56" i="5"/>
  <c r="F56" i="5"/>
  <c r="E56" i="5"/>
  <c r="D56" i="5"/>
  <c r="C56" i="5"/>
  <c r="G55" i="5"/>
  <c r="E55" i="5"/>
  <c r="D55" i="5"/>
  <c r="F55" i="5" s="1"/>
  <c r="C55" i="5"/>
  <c r="G54" i="5"/>
  <c r="E54" i="5"/>
  <c r="D54" i="5"/>
  <c r="F54" i="5" s="1"/>
  <c r="C54" i="5"/>
  <c r="H53" i="5"/>
  <c r="G53" i="5"/>
  <c r="E53" i="5"/>
  <c r="D53" i="5"/>
  <c r="F53" i="5" s="1"/>
  <c r="C53" i="5"/>
  <c r="G52" i="5"/>
  <c r="E52" i="5"/>
  <c r="D52" i="5"/>
  <c r="F52" i="5" s="1"/>
  <c r="C52" i="5"/>
  <c r="G51" i="5"/>
  <c r="F51" i="5"/>
  <c r="E51" i="5"/>
  <c r="D51" i="5"/>
  <c r="C51" i="5"/>
  <c r="H50" i="5"/>
  <c r="G50" i="5"/>
  <c r="F50" i="5"/>
  <c r="E50" i="5"/>
  <c r="D50" i="5"/>
  <c r="C50" i="5"/>
  <c r="G49" i="5"/>
  <c r="F49" i="5"/>
  <c r="E49" i="5"/>
  <c r="D49" i="5"/>
  <c r="C49" i="5"/>
  <c r="G48" i="5"/>
  <c r="F48" i="5"/>
  <c r="E48" i="5"/>
  <c r="D48" i="5"/>
  <c r="C48" i="5"/>
  <c r="H47" i="5"/>
  <c r="G47" i="5"/>
  <c r="F47" i="5"/>
  <c r="E47" i="5"/>
  <c r="D47" i="5"/>
  <c r="C47" i="5"/>
  <c r="G46" i="5"/>
  <c r="E46" i="5"/>
  <c r="D46" i="5"/>
  <c r="F46" i="5" s="1"/>
  <c r="C46" i="5"/>
  <c r="G45" i="5"/>
  <c r="E45" i="5"/>
  <c r="D45" i="5"/>
  <c r="F45" i="5" s="1"/>
  <c r="C45" i="5"/>
  <c r="H44" i="5"/>
  <c r="G44" i="5"/>
  <c r="E44" i="5"/>
  <c r="D44" i="5"/>
  <c r="F44" i="5" s="1"/>
  <c r="C44" i="5"/>
  <c r="G43" i="5"/>
  <c r="E43" i="5"/>
  <c r="D43" i="5"/>
  <c r="F43" i="5" s="1"/>
  <c r="C43" i="5"/>
  <c r="G42" i="5"/>
  <c r="F42" i="5"/>
  <c r="E42" i="5"/>
  <c r="D42" i="5"/>
  <c r="C42" i="5"/>
  <c r="H41" i="5"/>
  <c r="G41" i="5"/>
  <c r="F41" i="5"/>
  <c r="E41" i="5"/>
  <c r="D41" i="5"/>
  <c r="C41" i="5"/>
  <c r="G40" i="5"/>
  <c r="F40" i="5"/>
  <c r="E40" i="5"/>
  <c r="D40" i="5"/>
  <c r="C40" i="5"/>
  <c r="G39" i="5"/>
  <c r="F39" i="5"/>
  <c r="E39" i="5"/>
  <c r="D39" i="5"/>
  <c r="C39" i="5"/>
  <c r="H38" i="5"/>
  <c r="G38" i="5"/>
  <c r="F38" i="5"/>
  <c r="E38" i="5"/>
  <c r="D38" i="5"/>
  <c r="C38" i="5"/>
  <c r="G37" i="5"/>
  <c r="E37" i="5"/>
  <c r="D37" i="5"/>
  <c r="F37" i="5" s="1"/>
  <c r="C37" i="5"/>
  <c r="G36" i="5"/>
  <c r="E36" i="5"/>
  <c r="D36" i="5"/>
  <c r="F36" i="5" s="1"/>
  <c r="C36" i="5"/>
  <c r="H35" i="5"/>
  <c r="G35" i="5"/>
  <c r="E35" i="5"/>
  <c r="D35" i="5"/>
  <c r="F35" i="5" s="1"/>
  <c r="C35" i="5"/>
  <c r="G34" i="5"/>
  <c r="E34" i="5"/>
  <c r="D34" i="5"/>
  <c r="F34" i="5" s="1"/>
  <c r="C34" i="5"/>
  <c r="G33" i="5"/>
  <c r="F33" i="5"/>
  <c r="E33" i="5"/>
  <c r="D33" i="5"/>
  <c r="C33" i="5"/>
  <c r="H32" i="5"/>
  <c r="G32" i="5"/>
  <c r="F32" i="5"/>
  <c r="E32" i="5"/>
  <c r="D32" i="5"/>
  <c r="C32" i="5"/>
  <c r="H31" i="5"/>
  <c r="G31" i="5"/>
  <c r="F31" i="5"/>
  <c r="E31" i="5"/>
  <c r="D31" i="5"/>
  <c r="C31" i="5"/>
  <c r="H30" i="5"/>
  <c r="G30" i="5"/>
  <c r="F30" i="5"/>
  <c r="E30" i="5"/>
  <c r="D30" i="5"/>
  <c r="C30" i="5"/>
  <c r="H29" i="5"/>
  <c r="G29" i="5"/>
  <c r="F29" i="5"/>
  <c r="E29" i="5"/>
  <c r="D29" i="5"/>
  <c r="C29" i="5"/>
  <c r="H28" i="5"/>
  <c r="G28" i="5"/>
  <c r="F28" i="5"/>
  <c r="E28" i="5"/>
  <c r="D28" i="5"/>
  <c r="C28" i="5"/>
  <c r="H27" i="5"/>
  <c r="G27" i="5"/>
  <c r="F27" i="5"/>
  <c r="E27" i="5"/>
  <c r="D27" i="5"/>
  <c r="C27" i="5"/>
  <c r="H26" i="5"/>
  <c r="G26" i="5"/>
  <c r="F26" i="5"/>
  <c r="E26" i="5"/>
  <c r="D26" i="5"/>
  <c r="C26" i="5"/>
  <c r="H25" i="5"/>
  <c r="G25" i="5"/>
  <c r="E25" i="5"/>
  <c r="D25" i="5"/>
  <c r="C25" i="5"/>
  <c r="H24" i="5"/>
  <c r="G24" i="5"/>
  <c r="F24" i="5"/>
  <c r="E24" i="5"/>
  <c r="D24" i="5"/>
  <c r="C24" i="5"/>
  <c r="H23" i="5"/>
  <c r="G23" i="5"/>
  <c r="F23" i="5"/>
  <c r="E23" i="5"/>
  <c r="D23" i="5"/>
  <c r="C23" i="5"/>
  <c r="H22" i="5"/>
  <c r="G22" i="5"/>
  <c r="F22" i="5"/>
  <c r="E22" i="5"/>
  <c r="D22" i="5"/>
  <c r="C22" i="5"/>
  <c r="H21" i="5"/>
  <c r="G21" i="5"/>
  <c r="F21" i="5"/>
  <c r="E21" i="5"/>
  <c r="D21" i="5"/>
  <c r="C21" i="5"/>
  <c r="H20" i="5"/>
  <c r="G20" i="5"/>
  <c r="F20" i="5"/>
  <c r="E20" i="5"/>
  <c r="D20" i="5"/>
  <c r="C20" i="5"/>
  <c r="H19" i="5"/>
  <c r="G19" i="5"/>
  <c r="F19" i="5"/>
  <c r="E19" i="5"/>
  <c r="D19" i="5"/>
  <c r="C19" i="5"/>
  <c r="H18" i="5"/>
  <c r="G18" i="5"/>
  <c r="F18" i="5"/>
  <c r="E18" i="5"/>
  <c r="D18" i="5"/>
  <c r="C18" i="5"/>
  <c r="H17" i="5"/>
  <c r="G17" i="5"/>
  <c r="F17" i="5"/>
  <c r="E17" i="5"/>
  <c r="D17" i="5"/>
  <c r="C17" i="5"/>
  <c r="H16" i="5"/>
  <c r="G16" i="5"/>
  <c r="F16" i="5"/>
  <c r="E16" i="5"/>
  <c r="D16" i="5"/>
  <c r="C16" i="5"/>
  <c r="H15" i="5"/>
  <c r="G15" i="5"/>
  <c r="F15" i="5"/>
  <c r="E15" i="5"/>
  <c r="D15" i="5"/>
  <c r="C15" i="5"/>
  <c r="H14" i="5"/>
  <c r="G14" i="5"/>
  <c r="F14" i="5"/>
  <c r="E14" i="5"/>
  <c r="D14" i="5"/>
  <c r="C14" i="5"/>
  <c r="H13" i="5"/>
  <c r="G13" i="5"/>
  <c r="F13" i="5"/>
  <c r="E13" i="5"/>
  <c r="D13" i="5"/>
  <c r="C13" i="5"/>
  <c r="H12" i="5"/>
  <c r="G12" i="5"/>
  <c r="F12" i="5"/>
  <c r="E12" i="5"/>
  <c r="D12" i="5"/>
  <c r="C12" i="5"/>
  <c r="H11" i="5"/>
  <c r="G11" i="5"/>
  <c r="F11" i="5"/>
  <c r="E11" i="5"/>
  <c r="D11" i="5"/>
  <c r="C11" i="5"/>
  <c r="H10" i="5"/>
  <c r="G10" i="5"/>
  <c r="F10" i="5"/>
  <c r="E10" i="5"/>
  <c r="D10" i="5"/>
  <c r="C10" i="5"/>
  <c r="H9" i="5"/>
  <c r="G9" i="5"/>
  <c r="F9" i="5"/>
  <c r="E9" i="5"/>
  <c r="D9" i="5"/>
  <c r="C9" i="5"/>
  <c r="H8" i="5"/>
  <c r="G8" i="5"/>
  <c r="F8" i="5"/>
  <c r="E8" i="5"/>
  <c r="D8" i="5"/>
  <c r="C8" i="5"/>
  <c r="H7" i="5"/>
  <c r="G7" i="5"/>
  <c r="F7" i="5"/>
  <c r="E7" i="5"/>
  <c r="D7" i="5"/>
  <c r="C7" i="5"/>
  <c r="H6" i="5"/>
  <c r="G6" i="5"/>
  <c r="F6" i="5"/>
  <c r="E6" i="5"/>
  <c r="D6" i="5"/>
  <c r="C6" i="5"/>
  <c r="H5" i="5"/>
  <c r="G5" i="5"/>
  <c r="F5" i="5"/>
  <c r="E5" i="5"/>
  <c r="D5" i="5"/>
  <c r="C5" i="5"/>
  <c r="E102" i="3" a="1"/>
  <c r="F100" i="3" a="1"/>
  <c r="G98" i="3" a="1"/>
  <c r="H96" i="3" a="1"/>
  <c r="H90" i="3" a="1"/>
  <c r="E88" i="3" a="1"/>
  <c r="E80" i="3" a="1"/>
  <c r="H76" i="3" a="1"/>
  <c r="E74" i="3" a="1"/>
  <c r="H72" i="3" a="1"/>
  <c r="G70" i="3" a="1"/>
  <c r="G66" i="3" a="1"/>
  <c r="F64" i="3" a="1"/>
  <c r="G62" i="3" a="1"/>
  <c r="H61" i="3" a="1"/>
  <c r="E59" i="3" a="1"/>
  <c r="G58" i="3" a="1"/>
  <c r="H47" i="3" a="1"/>
  <c r="E101" i="3" a="1"/>
  <c r="F99" i="3" a="1"/>
  <c r="G97" i="3" a="1"/>
  <c r="H95" i="3" a="1"/>
  <c r="E91" i="3" a="1"/>
  <c r="H102" i="3" a="1"/>
  <c r="E96" i="3" a="1"/>
  <c r="F94" i="3" a="1"/>
  <c r="E90" i="3" a="1"/>
  <c r="H88" i="3" a="1"/>
  <c r="F86" i="3" a="1"/>
  <c r="F84" i="3" a="1"/>
  <c r="G82" i="3" a="1"/>
  <c r="H80" i="3" a="1"/>
  <c r="F78" i="3" a="1"/>
  <c r="E76" i="3" a="1"/>
  <c r="H74" i="3" a="1"/>
  <c r="E72" i="3" a="1"/>
  <c r="G68" i="3" a="1"/>
  <c r="E61" i="3" a="1"/>
  <c r="H59" i="3" a="1"/>
  <c r="F57" i="3" a="1"/>
  <c r="G55" i="3" a="1"/>
  <c r="F51" i="3" a="1"/>
  <c r="G103" i="3" a="1"/>
  <c r="E103" i="3" a="1"/>
  <c r="H92" i="3" a="1"/>
  <c r="H103" i="3" a="1"/>
  <c r="F91" i="3" a="1"/>
  <c r="H89" i="3" a="1"/>
  <c r="G88" i="3" a="1"/>
  <c r="E84" i="3" a="1"/>
  <c r="E81" i="3" a="1"/>
  <c r="G80" i="3" a="1"/>
  <c r="F73" i="3" a="1"/>
  <c r="H70" i="3" a="1"/>
  <c r="G69" i="3" a="1"/>
  <c r="E57" i="3" a="1"/>
  <c r="E48" i="3" a="1"/>
  <c r="E47" i="3" a="1"/>
  <c r="E46" i="3" a="1"/>
  <c r="H45" i="3" a="1"/>
  <c r="H38" i="3" a="1"/>
  <c r="E93" i="3" a="1"/>
  <c r="H101" i="3" a="1"/>
  <c r="G100" i="3" a="1"/>
  <c r="E99" i="3" a="1"/>
  <c r="E94" i="3" a="1"/>
  <c r="E86" i="3" a="1"/>
  <c r="F82" i="3" a="1"/>
  <c r="F79" i="3" a="1"/>
  <c r="E78" i="3" a="1"/>
  <c r="E95" i="3" a="1"/>
  <c r="H91" i="3" a="1"/>
  <c r="F85" i="3" a="1"/>
  <c r="E82" i="3" a="1"/>
  <c r="G81" i="3" a="1"/>
  <c r="E77" i="3" a="1"/>
  <c r="F75" i="3" a="1"/>
  <c r="G74" i="3" a="1"/>
  <c r="E67" i="3" a="1"/>
  <c r="G64" i="3" a="1"/>
  <c r="F63" i="3" a="1"/>
  <c r="F59" i="3" a="1"/>
  <c r="G56" i="3" a="1"/>
  <c r="F55" i="3" a="1"/>
  <c r="F53" i="3" a="1"/>
  <c r="G52" i="3" a="1"/>
  <c r="G48" i="3" a="1"/>
  <c r="G47" i="3" a="1"/>
  <c r="G46" i="3" a="1"/>
  <c r="F44" i="3" a="1"/>
  <c r="E40" i="3" a="1"/>
  <c r="E34" i="3" a="1"/>
  <c r="H33" i="3" a="1"/>
  <c r="E32" i="3" a="1"/>
  <c r="H30" i="3" a="1"/>
  <c r="E28" i="3" a="1"/>
  <c r="H27" i="3" a="1"/>
  <c r="E26" i="3" a="1"/>
  <c r="G102" i="3" a="1"/>
  <c r="G90" i="3" a="1"/>
  <c r="E89" i="3" a="1"/>
  <c r="G87" i="3" a="1"/>
  <c r="H77" i="3" a="1"/>
  <c r="E75" i="3" a="1"/>
  <c r="E73" i="3" a="1"/>
  <c r="G65" i="3" a="1"/>
  <c r="G59" i="3" a="1"/>
  <c r="F58" i="3" a="1"/>
  <c r="H54" i="3" a="1"/>
  <c r="E38" i="3" a="1"/>
  <c r="G34" i="3" a="1"/>
  <c r="H26" i="3" a="1"/>
  <c r="G22" i="3" a="1"/>
  <c r="G20" i="3" a="1"/>
  <c r="G18" i="3" a="1"/>
  <c r="G15" i="3" a="1"/>
  <c r="E11" i="3" a="1"/>
  <c r="F103" i="3" a="1"/>
  <c r="H100" i="3" a="1"/>
  <c r="E98" i="3" a="1"/>
  <c r="H93" i="3" a="1"/>
  <c r="F90" i="3" a="1"/>
  <c r="F87" i="3" a="1"/>
  <c r="H78" i="3" a="1"/>
  <c r="G76" i="3" a="1"/>
  <c r="H68" i="3" a="1"/>
  <c r="H67" i="3" a="1"/>
  <c r="F66" i="3" a="1"/>
  <c r="F65" i="3" a="1"/>
  <c r="E100" i="3" a="1"/>
  <c r="G93" i="3" a="1"/>
  <c r="E87" i="3" a="1"/>
  <c r="G77" i="3" a="1"/>
  <c r="F76" i="3" a="1"/>
  <c r="H69" i="3" a="1"/>
  <c r="E65" i="3" a="1"/>
  <c r="E64" i="3" a="1"/>
  <c r="H60" i="3" a="1"/>
  <c r="E58" i="3" a="1"/>
  <c r="E52" i="3" a="1"/>
  <c r="G45" i="3" a="1"/>
  <c r="H44" i="3" a="1"/>
  <c r="H97" i="3" a="1"/>
  <c r="G95" i="3" a="1"/>
  <c r="F93" i="3" a="1"/>
  <c r="G91" i="3" a="1"/>
  <c r="G78" i="3" a="1"/>
  <c r="F77" i="3" a="1"/>
  <c r="G67" i="3" a="1"/>
  <c r="E66" i="3" a="1"/>
  <c r="G61" i="3" a="1"/>
  <c r="G60" i="3" a="1"/>
  <c r="H55" i="3" a="1"/>
  <c r="F54" i="3" a="1"/>
  <c r="E53" i="3" a="1"/>
  <c r="H49" i="3" a="1"/>
  <c r="H48" i="3" a="1"/>
  <c r="F47" i="3" a="1"/>
  <c r="G43" i="3" a="1"/>
  <c r="H41" i="3" a="1"/>
  <c r="G33" i="3" a="1"/>
  <c r="H31" i="3" a="1"/>
  <c r="F25" i="3" a="1"/>
  <c r="F102" i="3" a="1"/>
  <c r="F97" i="3" a="1"/>
  <c r="F95" i="3" a="1"/>
  <c r="F69" i="3" a="1"/>
  <c r="F68" i="3" a="1"/>
  <c r="F67" i="3" a="1"/>
  <c r="H62" i="3" a="1"/>
  <c r="F60" i="3" a="1"/>
  <c r="E54" i="3" a="1"/>
  <c r="H50" i="3" a="1"/>
  <c r="F45" i="3" a="1"/>
  <c r="G44" i="3" a="1"/>
  <c r="F43" i="3" a="1"/>
  <c r="G42" i="3" a="1"/>
  <c r="G40" i="3" a="1"/>
  <c r="H32" i="3" a="1"/>
  <c r="F88" i="3" a="1"/>
  <c r="H84" i="3" a="1"/>
  <c r="H83" i="3" a="1"/>
  <c r="H82" i="3" a="1"/>
  <c r="H81" i="3" a="1"/>
  <c r="G72" i="3" a="1"/>
  <c r="G71" i="3" a="1"/>
  <c r="E69" i="3" a="1"/>
  <c r="E68" i="3" a="1"/>
  <c r="E60" i="3" a="1"/>
  <c r="H56" i="3" a="1"/>
  <c r="G50" i="3" a="1"/>
  <c r="F49" i="3" a="1"/>
  <c r="E45" i="3" a="1"/>
  <c r="E43" i="3" a="1"/>
  <c r="F40" i="3" a="1"/>
  <c r="G39" i="3" a="1"/>
  <c r="E33" i="3" a="1"/>
  <c r="G32" i="3" a="1"/>
  <c r="H28" i="3" a="1"/>
  <c r="G21" i="3" a="1"/>
  <c r="G19" i="3" a="1"/>
  <c r="G17" i="3" a="1"/>
  <c r="G99" i="3" a="1"/>
  <c r="H94" i="3" a="1"/>
  <c r="G84" i="3" a="1"/>
  <c r="G83" i="3" a="1"/>
  <c r="G79" i="3" a="1"/>
  <c r="F71" i="3" a="1"/>
  <c r="F70" i="3" a="1"/>
  <c r="H63" i="3" a="1"/>
  <c r="F62" i="3" a="1"/>
  <c r="E55" i="3" a="1"/>
  <c r="H51" i="3" a="1"/>
  <c r="F50" i="3" a="1"/>
  <c r="E49" i="3" a="1"/>
  <c r="E44" i="3" a="1"/>
  <c r="E42" i="3" a="1"/>
  <c r="F41" i="3" a="1"/>
  <c r="G37" i="3" a="1"/>
  <c r="F31" i="3" a="1"/>
  <c r="G30" i="3" a="1"/>
  <c r="H29" i="3" a="1"/>
  <c r="E24" i="3" a="1"/>
  <c r="G23" i="3" a="1"/>
  <c r="G16" i="3" a="1"/>
  <c r="E12" i="3" a="1"/>
  <c r="G101" i="3" a="1"/>
  <c r="G92" i="3" a="1"/>
  <c r="H85" i="3" a="1"/>
  <c r="F83" i="3" a="1"/>
  <c r="F81" i="3" a="1"/>
  <c r="F80" i="3" a="1"/>
  <c r="H75" i="3" a="1"/>
  <c r="H73" i="3" a="1"/>
  <c r="F72" i="3" a="1"/>
  <c r="E62" i="3" a="1"/>
  <c r="F56" i="3" a="1"/>
  <c r="E50" i="3" a="1"/>
  <c r="G38" i="3" a="1"/>
  <c r="E31" i="3" a="1"/>
  <c r="G28" i="3" a="1"/>
  <c r="H13" i="3" a="1"/>
  <c r="G11" i="3" a="1"/>
  <c r="H98" i="3" a="1"/>
  <c r="F96" i="3" a="1"/>
  <c r="H87" i="3" a="1"/>
  <c r="E83" i="3" a="1"/>
  <c r="G75" i="3" a="1"/>
  <c r="H66" i="3" a="1"/>
  <c r="H65" i="3" a="1"/>
  <c r="H64" i="3" a="1"/>
  <c r="H58" i="3" a="1"/>
  <c r="G57" i="3" a="1"/>
  <c r="F98" i="3" a="1"/>
  <c r="E92" i="3" a="1"/>
  <c r="F89" i="3" a="1"/>
  <c r="G86" i="3" a="1"/>
  <c r="E85" i="3" a="1"/>
  <c r="F74" i="3" a="1"/>
  <c r="E63" i="3" a="1"/>
  <c r="H53" i="3" a="1"/>
  <c r="F101" i="3" a="1"/>
  <c r="G89" i="3" a="1"/>
  <c r="H57" i="3" a="1"/>
  <c r="G41" i="3" a="1"/>
  <c r="H39" i="3" a="1"/>
  <c r="H37" i="3" a="1"/>
  <c r="E29" i="3" a="1"/>
  <c r="H24" i="3" a="1"/>
  <c r="E23" i="3" a="1"/>
  <c r="E22" i="3" a="1"/>
  <c r="E20" i="3" a="1"/>
  <c r="E18" i="3" a="1"/>
  <c r="H9" i="3" a="1"/>
  <c r="G9" i="3" a="1"/>
  <c r="H35" i="3" a="1"/>
  <c r="E30" i="3" a="1"/>
  <c r="G5" i="3" a="1"/>
  <c r="H10" i="3" a="1"/>
  <c r="H99" i="3" a="1"/>
  <c r="G53" i="3" a="1"/>
  <c r="E41" i="3" a="1"/>
  <c r="E39" i="3" a="1"/>
  <c r="G27" i="3" a="1"/>
  <c r="G24" i="3" a="1"/>
  <c r="H8" i="3" a="1"/>
  <c r="H5" i="3" a="1"/>
  <c r="F61" i="3" a="1"/>
  <c r="E6" i="3" a="1"/>
  <c r="E10" i="3" a="1"/>
  <c r="E97" i="3" a="1"/>
  <c r="E37" i="3" a="1"/>
  <c r="G96" i="3" a="1"/>
  <c r="H86" i="3" a="1"/>
  <c r="G73" i="3" a="1"/>
  <c r="E56" i="3" a="1"/>
  <c r="H52" i="3" a="1"/>
  <c r="G35" i="3" a="1"/>
  <c r="G25" i="3" a="1"/>
  <c r="E9" i="3" a="1"/>
  <c r="H7" i="3" a="1"/>
  <c r="G4" i="3" a="1"/>
  <c r="H15" i="3" a="1"/>
  <c r="H79" i="3" a="1"/>
  <c r="G49" i="3" a="1"/>
  <c r="H46" i="3" a="1"/>
  <c r="H42" i="3" a="1"/>
  <c r="H40" i="3" a="1"/>
  <c r="F28" i="3" a="1"/>
  <c r="H16" i="3" a="1"/>
  <c r="H11" i="3" a="1"/>
  <c r="G94" i="3" a="1"/>
  <c r="G85" i="3" a="1"/>
  <c r="E79" i="3" a="1"/>
  <c r="F52" i="3" a="1"/>
  <c r="F42" i="3" a="1"/>
  <c r="E35" i="3" a="1"/>
  <c r="G31" i="3" a="1"/>
  <c r="E25" i="3" a="1"/>
  <c r="H14" i="3" a="1"/>
  <c r="G7" i="3" a="1"/>
  <c r="F4" i="3" a="1"/>
  <c r="H22" i="3" a="1"/>
  <c r="H20" i="3" a="1"/>
  <c r="H12" i="3" a="1"/>
  <c r="E8" i="3" a="1"/>
  <c r="E16" i="3" a="1"/>
  <c r="H71" i="3" a="1"/>
  <c r="F46" i="3" a="1"/>
  <c r="H36" i="3" a="1"/>
  <c r="H18" i="3" a="1"/>
  <c r="F16" i="3" a="1"/>
  <c r="E5" i="3" a="1"/>
  <c r="G54" i="3" a="1"/>
  <c r="G29" i="3" a="1"/>
  <c r="H23" i="3" a="1"/>
  <c r="G12" i="3" a="1"/>
  <c r="F92" i="3" a="1"/>
  <c r="E71" i="3" a="1"/>
  <c r="G51" i="3" a="1"/>
  <c r="G36" i="3" a="1"/>
  <c r="H34" i="3" a="1"/>
  <c r="H21" i="3" a="1"/>
  <c r="H19" i="3" a="1"/>
  <c r="H17" i="3" a="1"/>
  <c r="G14" i="3" a="1"/>
  <c r="G13" i="3" a="1"/>
  <c r="H6" i="3" a="1"/>
  <c r="E4" i="3" a="1"/>
  <c r="E70" i="3" a="1"/>
  <c r="G63" i="3" a="1"/>
  <c r="E51" i="3" a="1"/>
  <c r="F48" i="3" a="1"/>
  <c r="H43" i="3" a="1"/>
  <c r="E36" i="3" a="1"/>
  <c r="G26" i="3" a="1"/>
  <c r="E15" i="3" a="1"/>
  <c r="E14" i="3" a="1"/>
  <c r="G6" i="3" a="1"/>
  <c r="H4" i="3" a="1"/>
  <c r="H25" i="3" a="1"/>
  <c r="E7" i="3" a="1"/>
  <c r="E21" i="3" a="1"/>
  <c r="E19" i="3" a="1"/>
  <c r="E17" i="3" a="1"/>
  <c r="E13" i="3" a="1"/>
  <c r="G10" i="3" a="1"/>
  <c r="E27" i="3" a="1"/>
  <c r="G8" i="3" a="1"/>
  <c r="G8" i="3" l="1"/>
  <c r="E27" i="3"/>
  <c r="G10" i="3"/>
  <c r="E13" i="3"/>
  <c r="E17" i="3"/>
  <c r="E19" i="3"/>
  <c r="E21" i="3"/>
  <c r="E7" i="3"/>
  <c r="H25" i="3"/>
  <c r="H4" i="3"/>
  <c r="G6" i="3"/>
  <c r="E14" i="3"/>
  <c r="E15" i="3"/>
  <c r="G26" i="3"/>
  <c r="E36" i="3"/>
  <c r="H43" i="3"/>
  <c r="F48" i="3"/>
  <c r="E51" i="3"/>
  <c r="G63" i="3"/>
  <c r="E70" i="3"/>
  <c r="E4" i="3"/>
  <c r="H6" i="3"/>
  <c r="G13" i="3"/>
  <c r="G14" i="3"/>
  <c r="H17" i="3"/>
  <c r="H19" i="3"/>
  <c r="H21" i="3"/>
  <c r="H34" i="3"/>
  <c r="G36" i="3"/>
  <c r="G51" i="3"/>
  <c r="E71" i="3"/>
  <c r="F92" i="3"/>
  <c r="G12" i="3"/>
  <c r="H23" i="3"/>
  <c r="G29" i="3"/>
  <c r="G54" i="3"/>
  <c r="E5" i="3"/>
  <c r="F16" i="3"/>
  <c r="H18" i="3"/>
  <c r="H36" i="3"/>
  <c r="F46" i="3"/>
  <c r="H71" i="3"/>
  <c r="E16" i="3"/>
  <c r="E8" i="3"/>
  <c r="H12" i="3"/>
  <c r="H20" i="3"/>
  <c r="H22" i="3"/>
  <c r="F4" i="3"/>
  <c r="G7" i="3"/>
  <c r="H14" i="3"/>
  <c r="E25" i="3"/>
  <c r="G31" i="3"/>
  <c r="E35" i="3"/>
  <c r="F42" i="3"/>
  <c r="F52" i="3"/>
  <c r="E79" i="3"/>
  <c r="G85" i="3"/>
  <c r="G94" i="3"/>
  <c r="H11" i="3"/>
  <c r="H16" i="3"/>
  <c r="F28" i="3"/>
  <c r="H40" i="3"/>
  <c r="H42" i="3"/>
  <c r="H46" i="3"/>
  <c r="G49" i="3"/>
  <c r="H79" i="3"/>
  <c r="H15" i="3"/>
  <c r="G4" i="3"/>
  <c r="H7" i="3"/>
  <c r="E9" i="3"/>
  <c r="G25" i="3"/>
  <c r="G35" i="3"/>
  <c r="H52" i="3"/>
  <c r="E56" i="3"/>
  <c r="G73" i="3"/>
  <c r="H86" i="3"/>
  <c r="G96" i="3"/>
  <c r="E37" i="3"/>
  <c r="E97" i="3"/>
  <c r="E10" i="3"/>
  <c r="E6" i="3"/>
  <c r="F61" i="3"/>
  <c r="H5" i="3"/>
  <c r="H8" i="3"/>
  <c r="G24" i="3"/>
  <c r="G27" i="3"/>
  <c r="E39" i="3"/>
  <c r="E41" i="3"/>
  <c r="G53" i="3"/>
  <c r="H99" i="3"/>
  <c r="H10" i="3"/>
  <c r="G5" i="3"/>
  <c r="E30" i="3"/>
  <c r="H35" i="3"/>
  <c r="G9" i="3"/>
  <c r="H9" i="3"/>
  <c r="E18" i="3"/>
  <c r="E20" i="3"/>
  <c r="E22" i="3"/>
  <c r="E23" i="3"/>
  <c r="H24" i="3"/>
  <c r="E29" i="3"/>
  <c r="H37" i="3"/>
  <c r="H39" i="3"/>
  <c r="G41" i="3"/>
  <c r="H57" i="3"/>
  <c r="G89" i="3"/>
  <c r="F101" i="3"/>
  <c r="H53" i="3"/>
  <c r="E63" i="3"/>
  <c r="F74" i="3"/>
  <c r="E85" i="3"/>
  <c r="G86" i="3"/>
  <c r="F89" i="3"/>
  <c r="E92" i="3"/>
  <c r="F98" i="3"/>
  <c r="G57" i="3"/>
  <c r="H58" i="3"/>
  <c r="H64" i="3"/>
  <c r="H65" i="3"/>
  <c r="H66" i="3"/>
  <c r="G75" i="3"/>
  <c r="E83" i="3"/>
  <c r="H87" i="3"/>
  <c r="F96" i="3"/>
  <c r="H98" i="3"/>
  <c r="G11" i="3"/>
  <c r="H13" i="3"/>
  <c r="G28" i="3"/>
  <c r="E31" i="3"/>
  <c r="G38" i="3"/>
  <c r="E50" i="3"/>
  <c r="F56" i="3"/>
  <c r="E62" i="3"/>
  <c r="F72" i="3"/>
  <c r="H73" i="3"/>
  <c r="H75" i="3"/>
  <c r="F80" i="3"/>
  <c r="F81" i="3"/>
  <c r="F83" i="3"/>
  <c r="H85" i="3"/>
  <c r="G92" i="3"/>
  <c r="G101" i="3"/>
  <c r="E12" i="3"/>
  <c r="G16" i="3"/>
  <c r="G23" i="3"/>
  <c r="E24" i="3"/>
  <c r="H29" i="3"/>
  <c r="G30" i="3"/>
  <c r="F31" i="3"/>
  <c r="G37" i="3"/>
  <c r="F41" i="3"/>
  <c r="E42" i="3"/>
  <c r="E44" i="3"/>
  <c r="E49" i="3"/>
  <c r="F50" i="3"/>
  <c r="H51" i="3"/>
  <c r="E55" i="3"/>
  <c r="F62" i="3"/>
  <c r="H63" i="3"/>
  <c r="F70" i="3"/>
  <c r="F71" i="3"/>
  <c r="G79" i="3"/>
  <c r="G83" i="3"/>
  <c r="G84" i="3"/>
  <c r="H94" i="3"/>
  <c r="G99" i="3"/>
  <c r="G17" i="3"/>
  <c r="G19" i="3"/>
  <c r="G21" i="3"/>
  <c r="H28" i="3"/>
  <c r="G32" i="3"/>
  <c r="E33" i="3"/>
  <c r="G39" i="3"/>
  <c r="F40" i="3"/>
  <c r="E43" i="3"/>
  <c r="E45" i="3"/>
  <c r="F49" i="3"/>
  <c r="G50" i="3"/>
  <c r="H56" i="3"/>
  <c r="E60" i="3"/>
  <c r="E68" i="3"/>
  <c r="E69" i="3"/>
  <c r="G71" i="3"/>
  <c r="G72" i="3"/>
  <c r="H81" i="3"/>
  <c r="H82" i="3"/>
  <c r="H83" i="3"/>
  <c r="H84" i="3"/>
  <c r="F88" i="3"/>
  <c r="H32" i="3"/>
  <c r="G40" i="3"/>
  <c r="G42" i="3"/>
  <c r="F43" i="3"/>
  <c r="G44" i="3"/>
  <c r="F45" i="3"/>
  <c r="H50" i="3"/>
  <c r="E54" i="3"/>
  <c r="F60" i="3"/>
  <c r="H62" i="3"/>
  <c r="F67" i="3"/>
  <c r="F68" i="3"/>
  <c r="F69" i="3"/>
  <c r="F95" i="3"/>
  <c r="F97" i="3"/>
  <c r="F102" i="3"/>
  <c r="F25" i="3"/>
  <c r="H31" i="3"/>
  <c r="G33" i="3"/>
  <c r="H41" i="3"/>
  <c r="G43" i="3"/>
  <c r="F47" i="3"/>
  <c r="H48" i="3"/>
  <c r="H49" i="3"/>
  <c r="E53" i="3"/>
  <c r="F54" i="3"/>
  <c r="H55" i="3"/>
  <c r="G60" i="3"/>
  <c r="G61" i="3"/>
  <c r="E66" i="3"/>
  <c r="G67" i="3"/>
  <c r="F77" i="3"/>
  <c r="G78" i="3"/>
  <c r="G91" i="3"/>
  <c r="F93" i="3"/>
  <c r="G95" i="3"/>
  <c r="H97" i="3"/>
  <c r="H44" i="3"/>
  <c r="G45" i="3"/>
  <c r="E52" i="3"/>
  <c r="E58" i="3"/>
  <c r="H60" i="3"/>
  <c r="E64" i="3"/>
  <c r="E65" i="3"/>
  <c r="H69" i="3"/>
  <c r="F76" i="3"/>
  <c r="G77" i="3"/>
  <c r="E87" i="3"/>
  <c r="G93" i="3"/>
  <c r="E100" i="3"/>
  <c r="F65" i="3"/>
  <c r="F66" i="3"/>
  <c r="H67" i="3"/>
  <c r="H68" i="3"/>
  <c r="G76" i="3"/>
  <c r="H78" i="3"/>
  <c r="F87" i="3"/>
  <c r="F90" i="3"/>
  <c r="H93" i="3"/>
  <c r="E98" i="3"/>
  <c r="H100" i="3"/>
  <c r="F103" i="3"/>
  <c r="E11" i="3"/>
  <c r="G15" i="3"/>
  <c r="G18" i="3"/>
  <c r="G20" i="3"/>
  <c r="G22" i="3"/>
  <c r="H26" i="3"/>
  <c r="G34" i="3"/>
  <c r="E38" i="3"/>
  <c r="H54" i="3"/>
  <c r="F58" i="3"/>
  <c r="G59" i="3"/>
  <c r="G65" i="3"/>
  <c r="E73" i="3"/>
  <c r="E75" i="3"/>
  <c r="H77" i="3"/>
  <c r="G87" i="3"/>
  <c r="E89" i="3"/>
  <c r="G90" i="3"/>
  <c r="G102" i="3"/>
  <c r="E26" i="3"/>
  <c r="H27" i="3"/>
  <c r="E28" i="3"/>
  <c r="H30" i="3"/>
  <c r="E32" i="3"/>
  <c r="H33" i="3"/>
  <c r="E34" i="3"/>
  <c r="E40" i="3"/>
  <c r="F44" i="3"/>
  <c r="G46" i="3"/>
  <c r="G47" i="3"/>
  <c r="G48" i="3"/>
  <c r="G52" i="3"/>
  <c r="F53" i="3"/>
  <c r="F55" i="3"/>
  <c r="G56" i="3"/>
  <c r="F59" i="3"/>
  <c r="F63" i="3"/>
  <c r="G64" i="3"/>
  <c r="E67" i="3"/>
  <c r="G74" i="3"/>
  <c r="F75" i="3"/>
  <c r="E77" i="3"/>
  <c r="G81" i="3"/>
  <c r="E82" i="3"/>
  <c r="F85" i="3"/>
  <c r="H91" i="3"/>
  <c r="E95" i="3"/>
  <c r="E78" i="3"/>
  <c r="F79" i="3"/>
  <c r="F82" i="3"/>
  <c r="E86" i="3"/>
  <c r="E94" i="3"/>
  <c r="E99" i="3"/>
  <c r="G100" i="3"/>
  <c r="H101" i="3"/>
  <c r="E93" i="3"/>
  <c r="H38" i="3"/>
  <c r="H45" i="3"/>
  <c r="E46" i="3"/>
  <c r="E47" i="3"/>
  <c r="E48" i="3"/>
  <c r="E57" i="3"/>
  <c r="G69" i="3"/>
  <c r="H70" i="3"/>
  <c r="F73" i="3"/>
  <c r="G80" i="3"/>
  <c r="E81" i="3"/>
  <c r="E84" i="3"/>
  <c r="G88" i="3"/>
  <c r="H89" i="3"/>
  <c r="F91" i="3"/>
  <c r="H103" i="3"/>
  <c r="H92" i="3"/>
  <c r="E103" i="3"/>
  <c r="G103" i="3"/>
  <c r="F51" i="3"/>
  <c r="G55" i="3"/>
  <c r="F57" i="3"/>
  <c r="H59" i="3"/>
  <c r="E61" i="3"/>
  <c r="G68" i="3"/>
  <c r="E72" i="3"/>
  <c r="H74" i="3"/>
  <c r="E76" i="3"/>
  <c r="F78" i="3"/>
  <c r="H80" i="3"/>
  <c r="G82" i="3"/>
  <c r="F84" i="3"/>
  <c r="F86" i="3"/>
  <c r="H88" i="3"/>
  <c r="E90" i="3"/>
  <c r="F94" i="3"/>
  <c r="E96" i="3"/>
  <c r="H102" i="3"/>
  <c r="E91" i="3"/>
  <c r="H95" i="3"/>
  <c r="G97" i="3"/>
  <c r="F99" i="3"/>
  <c r="E101" i="3"/>
  <c r="H47" i="3"/>
  <c r="G58" i="3"/>
  <c r="E59" i="3"/>
  <c r="H61" i="3"/>
  <c r="G62" i="3"/>
  <c r="F64" i="3"/>
  <c r="G66" i="3"/>
  <c r="G70" i="3"/>
  <c r="H72" i="3"/>
  <c r="E74" i="3"/>
  <c r="H76" i="3"/>
  <c r="E80" i="3"/>
  <c r="E88" i="3"/>
  <c r="H90" i="3"/>
  <c r="H96" i="3"/>
  <c r="G98" i="3"/>
  <c r="F100" i="3"/>
  <c r="E102" i="3"/>
  <c r="F29" i="3" a="1"/>
  <c r="F17" i="3" a="1"/>
  <c r="F26" i="3" a="1"/>
  <c r="F32" i="3" a="1"/>
  <c r="F5" i="3" a="1"/>
  <c r="F5" i="3" l="1"/>
  <c r="F32" i="3"/>
  <c r="F26" i="3"/>
  <c r="F17" i="3"/>
  <c r="F29" i="3"/>
  <c r="C29" i="3" s="1"/>
  <c r="K29" i="3" s="1"/>
  <c r="I70" i="3"/>
  <c r="C70" i="3"/>
  <c r="K70" i="3" s="1"/>
  <c r="J91" i="3"/>
  <c r="D91" i="3"/>
  <c r="L91" i="3" s="1"/>
  <c r="C56" i="3"/>
  <c r="K56" i="3" s="1"/>
  <c r="C59" i="3"/>
  <c r="K59" i="3" s="1"/>
  <c r="C93" i="3"/>
  <c r="K93" i="3" s="1"/>
  <c r="J69" i="3"/>
  <c r="D69" i="3"/>
  <c r="C50" i="3"/>
  <c r="K50" i="3" s="1"/>
  <c r="I50" i="3"/>
  <c r="C99" i="3"/>
  <c r="K99" i="3" s="1"/>
  <c r="C101" i="3"/>
  <c r="K101" i="3" s="1"/>
  <c r="C89" i="3"/>
  <c r="K89" i="3" s="1"/>
  <c r="C25" i="3"/>
  <c r="K25" i="3" s="1"/>
  <c r="I29" i="3"/>
  <c r="C66" i="3"/>
  <c r="K66" i="3" s="1"/>
  <c r="D55" i="3"/>
  <c r="J55" i="3"/>
  <c r="D58" i="3"/>
  <c r="J58" i="3"/>
  <c r="C95" i="3"/>
  <c r="K95" i="3" s="1"/>
  <c r="J88" i="3"/>
  <c r="D88" i="3"/>
  <c r="D49" i="3"/>
  <c r="J49" i="3"/>
  <c r="C92" i="3"/>
  <c r="K92" i="3" s="1"/>
  <c r="J61" i="3"/>
  <c r="D61" i="3"/>
  <c r="L61" i="3" s="1"/>
  <c r="C94" i="3"/>
  <c r="K94" i="3" s="1"/>
  <c r="J64" i="3"/>
  <c r="D64" i="3"/>
  <c r="C68" i="3"/>
  <c r="K68" i="3" s="1"/>
  <c r="C88" i="3"/>
  <c r="K88" i="3" s="1"/>
  <c r="D85" i="3"/>
  <c r="J85" i="3"/>
  <c r="D53" i="3"/>
  <c r="J53" i="3"/>
  <c r="C77" i="3"/>
  <c r="K77" i="3" s="1"/>
  <c r="J93" i="3"/>
  <c r="D93" i="3"/>
  <c r="D67" i="3"/>
  <c r="J67" i="3"/>
  <c r="C84" i="3"/>
  <c r="K84" i="3" s="1"/>
  <c r="C28" i="3"/>
  <c r="K28" i="3" s="1"/>
  <c r="C57" i="3"/>
  <c r="K57" i="3" s="1"/>
  <c r="C41" i="3"/>
  <c r="K41" i="3" s="1"/>
  <c r="C85" i="3"/>
  <c r="K85" i="3" s="1"/>
  <c r="I85" i="3"/>
  <c r="D90" i="3"/>
  <c r="J90" i="3"/>
  <c r="C91" i="3"/>
  <c r="K91" i="3" s="1"/>
  <c r="D47" i="3"/>
  <c r="J47" i="3"/>
  <c r="C83" i="3"/>
  <c r="K83" i="3" s="1"/>
  <c r="D41" i="3"/>
  <c r="J41" i="3"/>
  <c r="D83" i="3"/>
  <c r="J83" i="3"/>
  <c r="D98" i="3"/>
  <c r="J98" i="3"/>
  <c r="I5" i="3"/>
  <c r="C5" i="3"/>
  <c r="K5" i="3" s="1"/>
  <c r="C4" i="3"/>
  <c r="K4" i="3" s="1"/>
  <c r="D92" i="3"/>
  <c r="L92" i="3" s="1"/>
  <c r="J92" i="3"/>
  <c r="D59" i="3"/>
  <c r="J59" i="3"/>
  <c r="C65" i="3"/>
  <c r="K65" i="3" s="1"/>
  <c r="D103" i="3"/>
  <c r="J103" i="3"/>
  <c r="J54" i="3"/>
  <c r="D54" i="3"/>
  <c r="D95" i="3"/>
  <c r="J95" i="3"/>
  <c r="I40" i="3"/>
  <c r="C40" i="3"/>
  <c r="K40" i="3" s="1"/>
  <c r="C17" i="3"/>
  <c r="K17" i="3" s="1"/>
  <c r="J101" i="3"/>
  <c r="D101" i="3"/>
  <c r="J4" i="3"/>
  <c r="D4" i="3"/>
  <c r="C54" i="3"/>
  <c r="K54" i="3" s="1"/>
  <c r="C98" i="3"/>
  <c r="K98" i="3" s="1"/>
  <c r="C81" i="3"/>
  <c r="K81" i="3" s="1"/>
  <c r="C48" i="3"/>
  <c r="K48" i="3" s="1"/>
  <c r="C102" i="3"/>
  <c r="K102" i="3" s="1"/>
  <c r="D87" i="3"/>
  <c r="J87" i="3"/>
  <c r="C78" i="3"/>
  <c r="K78" i="3" s="1"/>
  <c r="C43" i="3"/>
  <c r="K43" i="3" s="1"/>
  <c r="D60" i="3"/>
  <c r="J60" i="3"/>
  <c r="J40" i="3"/>
  <c r="D40" i="3"/>
  <c r="C79" i="3"/>
  <c r="K79" i="3" s="1"/>
  <c r="D81" i="3"/>
  <c r="J81" i="3"/>
  <c r="D52" i="3"/>
  <c r="J52" i="3"/>
  <c r="C63" i="3"/>
  <c r="K63" i="3" s="1"/>
  <c r="J50" i="3"/>
  <c r="D50" i="3"/>
  <c r="D68" i="3"/>
  <c r="J68" i="3"/>
  <c r="J100" i="3"/>
  <c r="D100" i="3"/>
  <c r="C62" i="3"/>
  <c r="K62" i="3" s="1"/>
  <c r="J94" i="3"/>
  <c r="D94" i="3"/>
  <c r="C52" i="3"/>
  <c r="K52" i="3" s="1"/>
  <c r="D76" i="3"/>
  <c r="J76" i="3"/>
  <c r="J57" i="3"/>
  <c r="D57" i="3"/>
  <c r="C80" i="3"/>
  <c r="K80" i="3" s="1"/>
  <c r="I80" i="3"/>
  <c r="C100" i="3"/>
  <c r="K100" i="3" s="1"/>
  <c r="I100" i="3"/>
  <c r="C47" i="3"/>
  <c r="K47" i="3" s="1"/>
  <c r="C90" i="3"/>
  <c r="K90" i="3" s="1"/>
  <c r="J77" i="3"/>
  <c r="D77" i="3"/>
  <c r="J71" i="3"/>
  <c r="D71" i="3"/>
  <c r="J31" i="3"/>
  <c r="D31" i="3"/>
  <c r="J80" i="3"/>
  <c r="D80" i="3"/>
  <c r="D89" i="3"/>
  <c r="J89" i="3"/>
  <c r="J42" i="3"/>
  <c r="D42" i="3"/>
  <c r="C51" i="3"/>
  <c r="K51" i="3" s="1"/>
  <c r="C58" i="3"/>
  <c r="K58" i="3" s="1"/>
  <c r="J86" i="3"/>
  <c r="D86" i="3"/>
  <c r="C55" i="3"/>
  <c r="K55" i="3" s="1"/>
  <c r="I55" i="3"/>
  <c r="D73" i="3"/>
  <c r="J73" i="3"/>
  <c r="D75" i="3"/>
  <c r="J75" i="3"/>
  <c r="C46" i="3"/>
  <c r="K46" i="3" s="1"/>
  <c r="C76" i="3"/>
  <c r="K76" i="3" s="1"/>
  <c r="C67" i="3"/>
  <c r="K67" i="3" s="1"/>
  <c r="C72" i="3"/>
  <c r="K72" i="3" s="1"/>
  <c r="I72" i="3"/>
  <c r="D70" i="3"/>
  <c r="J70" i="3"/>
  <c r="I30" i="3"/>
  <c r="D96" i="3"/>
  <c r="J96" i="3"/>
  <c r="C86" i="3"/>
  <c r="K86" i="3" s="1"/>
  <c r="C53" i="3"/>
  <c r="K53" i="3" s="1"/>
  <c r="I53" i="3"/>
  <c r="C96" i="3"/>
  <c r="K96" i="3" s="1"/>
  <c r="C49" i="3"/>
  <c r="K49" i="3" s="1"/>
  <c r="D46" i="3"/>
  <c r="J46" i="3"/>
  <c r="D48" i="3"/>
  <c r="J48" i="3"/>
  <c r="J84" i="3"/>
  <c r="D84" i="3"/>
  <c r="J51" i="3"/>
  <c r="D51" i="3"/>
  <c r="C74" i="3"/>
  <c r="K74" i="3" s="1"/>
  <c r="I74" i="3"/>
  <c r="D44" i="3"/>
  <c r="J44" i="3"/>
  <c r="C87" i="3"/>
  <c r="K87" i="3" s="1"/>
  <c r="D45" i="3"/>
  <c r="J45" i="3"/>
  <c r="C71" i="3"/>
  <c r="K71" i="3" s="1"/>
  <c r="C32" i="3"/>
  <c r="K32" i="3" s="1"/>
  <c r="C31" i="3"/>
  <c r="K31" i="3" s="1"/>
  <c r="C82" i="3"/>
  <c r="K82" i="3" s="1"/>
  <c r="I82" i="3"/>
  <c r="C103" i="3"/>
  <c r="K103" i="3" s="1"/>
  <c r="C69" i="3"/>
  <c r="K69" i="3" s="1"/>
  <c r="C61" i="3"/>
  <c r="K61" i="3" s="1"/>
  <c r="D25" i="3"/>
  <c r="J25" i="3"/>
  <c r="C44" i="3"/>
  <c r="K44" i="3" s="1"/>
  <c r="D62" i="3"/>
  <c r="J62" i="3"/>
  <c r="J72" i="3"/>
  <c r="D72" i="3"/>
  <c r="D74" i="3"/>
  <c r="J74" i="3"/>
  <c r="C73" i="3"/>
  <c r="K73" i="3" s="1"/>
  <c r="J99" i="3"/>
  <c r="D99" i="3"/>
  <c r="D82" i="3"/>
  <c r="J82" i="3"/>
  <c r="C64" i="3"/>
  <c r="K64" i="3" s="1"/>
  <c r="D66" i="3"/>
  <c r="J66" i="3"/>
  <c r="C60" i="3"/>
  <c r="K60" i="3" s="1"/>
  <c r="J102" i="3"/>
  <c r="D102" i="3"/>
  <c r="D43" i="3"/>
  <c r="J43" i="3"/>
  <c r="C75" i="3"/>
  <c r="K75" i="3" s="1"/>
  <c r="I27" i="3"/>
  <c r="J16" i="3"/>
  <c r="D16" i="3"/>
  <c r="C26" i="3"/>
  <c r="K26" i="3" s="1"/>
  <c r="I26" i="3"/>
  <c r="C97" i="3"/>
  <c r="K97" i="3" s="1"/>
  <c r="J78" i="3"/>
  <c r="D78" i="3"/>
  <c r="J79" i="3"/>
  <c r="D79" i="3"/>
  <c r="D63" i="3"/>
  <c r="J63" i="3"/>
  <c r="D65" i="3"/>
  <c r="J65" i="3"/>
  <c r="C45" i="3"/>
  <c r="K45" i="3" s="1"/>
  <c r="J97" i="3"/>
  <c r="D97" i="3"/>
  <c r="C42" i="3"/>
  <c r="K42" i="3" s="1"/>
  <c r="C16" i="3"/>
  <c r="K16" i="3" s="1"/>
  <c r="J56" i="3"/>
  <c r="D56" i="3"/>
  <c r="J28" i="3"/>
  <c r="D28" i="3"/>
  <c r="F6" i="3" a="1"/>
  <c r="F33" i="3" a="1"/>
  <c r="F27" i="3" a="1"/>
  <c r="F18" i="3" a="1"/>
  <c r="F30" i="3" a="1"/>
  <c r="I91" i="3" l="1"/>
  <c r="I31" i="3"/>
  <c r="I64" i="3"/>
  <c r="I32" i="3"/>
  <c r="I28" i="3"/>
  <c r="I63" i="3"/>
  <c r="I103" i="3"/>
  <c r="I67" i="3"/>
  <c r="I58" i="3"/>
  <c r="I93" i="3"/>
  <c r="I83" i="3"/>
  <c r="I90" i="3"/>
  <c r="I88" i="3"/>
  <c r="I56" i="3"/>
  <c r="I101" i="3"/>
  <c r="I68" i="3"/>
  <c r="I99" i="3"/>
  <c r="I54" i="3"/>
  <c r="I61" i="3"/>
  <c r="I65" i="3"/>
  <c r="I60" i="3"/>
  <c r="I17" i="3"/>
  <c r="I57" i="3"/>
  <c r="I25" i="3"/>
  <c r="F30" i="3"/>
  <c r="F18" i="3"/>
  <c r="F27" i="3"/>
  <c r="F33" i="3"/>
  <c r="F6" i="3"/>
  <c r="L80" i="3" a="1"/>
  <c r="L80" i="3" s="1"/>
  <c r="N80" i="3" a="1"/>
  <c r="N80" i="3" s="1"/>
  <c r="M80" i="3" a="1"/>
  <c r="M80" i="3" s="1"/>
  <c r="I45" i="3"/>
  <c r="N82" i="3" a="1"/>
  <c r="N82" i="3" s="1"/>
  <c r="M82" i="3" a="1"/>
  <c r="M82" i="3" s="1"/>
  <c r="L82" i="3" a="1"/>
  <c r="L82" i="3" s="1"/>
  <c r="M48" i="3"/>
  <c r="N48" i="3"/>
  <c r="L48" i="3"/>
  <c r="I86" i="3"/>
  <c r="I47" i="3"/>
  <c r="M52" i="3"/>
  <c r="L52" i="3"/>
  <c r="N52" i="3"/>
  <c r="M60" i="3"/>
  <c r="N60" i="3" a="1"/>
  <c r="N60" i="3" s="1"/>
  <c r="L60" i="3"/>
  <c r="I48" i="3"/>
  <c r="N90" i="3" a="1"/>
  <c r="N90" i="3" s="1"/>
  <c r="L90" i="3"/>
  <c r="M90" i="3"/>
  <c r="I84" i="3"/>
  <c r="N49" i="3"/>
  <c r="L49" i="3"/>
  <c r="M49" i="3"/>
  <c r="I49" i="3"/>
  <c r="N57" i="3"/>
  <c r="L57" i="3"/>
  <c r="M57" i="3"/>
  <c r="N42" i="3"/>
  <c r="M42" i="3"/>
  <c r="L42" i="3"/>
  <c r="F47" i="8"/>
  <c r="I97" i="3"/>
  <c r="N86" i="3" a="1"/>
  <c r="N86" i="3" s="1"/>
  <c r="L86" i="3" a="1"/>
  <c r="L86" i="3" s="1"/>
  <c r="M86" i="3" a="1"/>
  <c r="M86" i="3" s="1"/>
  <c r="L65" i="3" a="1"/>
  <c r="L65" i="3" s="1"/>
  <c r="M65" i="3"/>
  <c r="N65" i="3"/>
  <c r="I44" i="3"/>
  <c r="I87" i="3"/>
  <c r="I76" i="3"/>
  <c r="I62" i="3"/>
  <c r="I43" i="3"/>
  <c r="I81" i="3"/>
  <c r="N83" i="3" a="1"/>
  <c r="N83" i="3" s="1"/>
  <c r="M83" i="3" a="1"/>
  <c r="M83" i="3" s="1"/>
  <c r="L83" i="3" a="1"/>
  <c r="L83" i="3" s="1"/>
  <c r="N67" i="3"/>
  <c r="L67" i="3" a="1"/>
  <c r="L67" i="3" s="1"/>
  <c r="M67" i="3"/>
  <c r="L71" i="3" a="1"/>
  <c r="L71" i="3" s="1"/>
  <c r="N71" i="3"/>
  <c r="M71" i="3"/>
  <c r="N64" i="3"/>
  <c r="L64" i="3" a="1"/>
  <c r="L64" i="3" s="1"/>
  <c r="M64" i="3"/>
  <c r="I16" i="3"/>
  <c r="L44" i="3"/>
  <c r="N44" i="3"/>
  <c r="M44" i="3"/>
  <c r="L81" i="3" a="1"/>
  <c r="L81" i="3" s="1"/>
  <c r="N81" i="3" a="1"/>
  <c r="N81" i="3" s="1"/>
  <c r="M81" i="3" a="1"/>
  <c r="M81" i="3" s="1"/>
  <c r="I78" i="3"/>
  <c r="I98" i="3"/>
  <c r="M41" i="3"/>
  <c r="L41" i="3"/>
  <c r="N41" i="3"/>
  <c r="I95" i="3"/>
  <c r="I41" i="3"/>
  <c r="I77" i="3"/>
  <c r="I94" i="3"/>
  <c r="L58" i="3"/>
  <c r="M58" i="3"/>
  <c r="N58" i="3"/>
  <c r="J29" i="3"/>
  <c r="D29" i="3"/>
  <c r="I75" i="3"/>
  <c r="I73" i="3"/>
  <c r="L70" i="3" a="1"/>
  <c r="L70" i="3" s="1"/>
  <c r="N70" i="3"/>
  <c r="M70" i="3"/>
  <c r="I51" i="3"/>
  <c r="I42" i="3"/>
  <c r="M74" i="3"/>
  <c r="N74" i="3"/>
  <c r="L74" i="3" a="1"/>
  <c r="L74" i="3" s="1"/>
  <c r="I71" i="3"/>
  <c r="I96" i="3"/>
  <c r="M76" i="3"/>
  <c r="N76" i="3"/>
  <c r="L76" i="3" a="1"/>
  <c r="L76" i="3" s="1"/>
  <c r="I79" i="3"/>
  <c r="I4" i="3"/>
  <c r="N53" i="3"/>
  <c r="M53" i="3"/>
  <c r="L53" i="3"/>
  <c r="D17" i="3"/>
  <c r="J17" i="3"/>
  <c r="I92" i="3"/>
  <c r="I66" i="3"/>
  <c r="I89" i="3"/>
  <c r="J26" i="3"/>
  <c r="D26" i="3"/>
  <c r="N84" i="3" a="1"/>
  <c r="N84" i="3" s="1"/>
  <c r="M84" i="3"/>
  <c r="L84" i="3"/>
  <c r="I69" i="3"/>
  <c r="N45" i="3"/>
  <c r="M45" i="3" a="1"/>
  <c r="M45" i="3" s="1"/>
  <c r="L45" i="3" a="1"/>
  <c r="L45" i="3" s="1"/>
  <c r="L73" i="3" a="1"/>
  <c r="L73" i="3" s="1"/>
  <c r="N73" i="3"/>
  <c r="M73" i="3"/>
  <c r="M89" i="3"/>
  <c r="N89" i="3" a="1"/>
  <c r="N89" i="3" s="1"/>
  <c r="L89" i="3"/>
  <c r="I52" i="3"/>
  <c r="I102" i="3"/>
  <c r="N85" i="3" a="1"/>
  <c r="N85" i="3" s="1"/>
  <c r="M85" i="3" a="1"/>
  <c r="M85" i="3" s="1"/>
  <c r="L85" i="3" a="1"/>
  <c r="L85" i="3" s="1"/>
  <c r="J32" i="3"/>
  <c r="D32" i="3"/>
  <c r="M79" i="3" a="1"/>
  <c r="M79" i="3" s="1"/>
  <c r="N79" i="3" a="1"/>
  <c r="N79" i="3" s="1"/>
  <c r="L79" i="3" a="1"/>
  <c r="L79" i="3" s="1"/>
  <c r="I46" i="3"/>
  <c r="M68" i="3"/>
  <c r="L68" i="3" a="1"/>
  <c r="L68" i="3" s="1"/>
  <c r="N68" i="3"/>
  <c r="N77" i="3"/>
  <c r="M77" i="3"/>
  <c r="L77" i="3" a="1"/>
  <c r="L77" i="3" s="1"/>
  <c r="I59" i="3"/>
  <c r="D5" i="3"/>
  <c r="J5" i="3"/>
  <c r="F19" i="3" a="1"/>
  <c r="F34" i="3" a="1"/>
  <c r="F7" i="3" a="1"/>
  <c r="F7" i="3" l="1"/>
  <c r="F34" i="3"/>
  <c r="F19" i="3"/>
  <c r="I47" i="8"/>
  <c r="I48" i="8" s="1"/>
  <c r="H47" i="8"/>
  <c r="H48" i="8" s="1"/>
  <c r="G47" i="8"/>
  <c r="G48" i="8" s="1"/>
  <c r="D6" i="3"/>
  <c r="J6" i="3"/>
  <c r="C6" i="3"/>
  <c r="J33" i="3"/>
  <c r="D33" i="3"/>
  <c r="C33" i="3"/>
  <c r="J27" i="3"/>
  <c r="D27" i="3"/>
  <c r="C27" i="3"/>
  <c r="K27" i="3" s="1"/>
  <c r="D18" i="3"/>
  <c r="J18" i="3"/>
  <c r="C18" i="3"/>
  <c r="D30" i="3"/>
  <c r="J30" i="3"/>
  <c r="C30" i="3"/>
  <c r="K30" i="3" s="1"/>
  <c r="F8" i="3" a="1"/>
  <c r="F35" i="3" a="1"/>
  <c r="F20" i="3" a="1"/>
  <c r="N5" i="3"/>
  <c r="M5" i="3" a="1"/>
  <c r="M5" i="3" l="1"/>
  <c r="F20" i="3"/>
  <c r="F35" i="3"/>
  <c r="F8" i="3"/>
  <c r="D19" i="3"/>
  <c r="J19" i="3"/>
  <c r="C19" i="3"/>
  <c r="K33" i="3"/>
  <c r="I33" i="3"/>
  <c r="K18" i="3"/>
  <c r="I18" i="3"/>
  <c r="K6" i="3"/>
  <c r="I6" i="3"/>
  <c r="J34" i="3"/>
  <c r="D34" i="3"/>
  <c r="C34" i="3"/>
  <c r="D7" i="3"/>
  <c r="J7" i="3"/>
  <c r="C7" i="3"/>
  <c r="F21" i="3" a="1"/>
  <c r="F36" i="3" a="1"/>
  <c r="L5" i="3"/>
  <c r="F9" i="3" a="1"/>
  <c r="M6" i="3" a="1"/>
  <c r="N6" i="3"/>
  <c r="L6" i="3"/>
  <c r="M6" i="3" l="1"/>
  <c r="F9" i="3"/>
  <c r="F36" i="3"/>
  <c r="F21" i="3"/>
  <c r="K34" i="3"/>
  <c r="I34" i="3"/>
  <c r="K7" i="3"/>
  <c r="I7" i="3"/>
  <c r="K19" i="3"/>
  <c r="I19" i="3"/>
  <c r="J8" i="3"/>
  <c r="D8" i="3"/>
  <c r="C8" i="3"/>
  <c r="D35" i="3"/>
  <c r="J35" i="3"/>
  <c r="C35" i="3"/>
  <c r="D20" i="3"/>
  <c r="J20" i="3"/>
  <c r="C20" i="3"/>
  <c r="M7" i="3" a="1"/>
  <c r="F10" i="3" a="1"/>
  <c r="L7" i="3"/>
  <c r="F37" i="3" a="1"/>
  <c r="N7" i="3"/>
  <c r="F22" i="3" a="1"/>
  <c r="F22" i="3" l="1"/>
  <c r="F37" i="3"/>
  <c r="F10" i="3"/>
  <c r="M7" i="3"/>
  <c r="K35" i="3"/>
  <c r="I35" i="3"/>
  <c r="K8" i="3"/>
  <c r="I8" i="3"/>
  <c r="D21" i="3"/>
  <c r="J21" i="3"/>
  <c r="C21" i="3"/>
  <c r="K20" i="3"/>
  <c r="I20" i="3"/>
  <c r="D36" i="3"/>
  <c r="J36" i="3"/>
  <c r="C36" i="3"/>
  <c r="D9" i="3"/>
  <c r="J9" i="3"/>
  <c r="C9" i="3"/>
  <c r="F23" i="3" a="1"/>
  <c r="L8" i="3"/>
  <c r="F38" i="3" a="1"/>
  <c r="F11" i="3" a="1"/>
  <c r="M8" i="3" a="1"/>
  <c r="N8" i="3"/>
  <c r="M8" i="3" l="1"/>
  <c r="F11" i="3"/>
  <c r="F38" i="3"/>
  <c r="F23" i="3"/>
  <c r="K36" i="3"/>
  <c r="I36" i="3"/>
  <c r="K21" i="3"/>
  <c r="I21" i="3"/>
  <c r="K9" i="3"/>
  <c r="I9" i="3"/>
  <c r="D10" i="3"/>
  <c r="J10" i="3"/>
  <c r="C10" i="3"/>
  <c r="D37" i="3"/>
  <c r="J37" i="3"/>
  <c r="C37" i="3"/>
  <c r="D22" i="3"/>
  <c r="J22" i="3"/>
  <c r="C22" i="3"/>
  <c r="F12" i="3" a="1"/>
  <c r="N9" i="3"/>
  <c r="F39" i="3" a="1"/>
  <c r="M9" i="3" a="1"/>
  <c r="F24" i="3" a="1"/>
  <c r="L9" i="3"/>
  <c r="F24" i="3" l="1"/>
  <c r="M9" i="3"/>
  <c r="F39" i="3"/>
  <c r="F12" i="3"/>
  <c r="K10" i="3"/>
  <c r="I10" i="3"/>
  <c r="K22" i="3"/>
  <c r="I22" i="3"/>
  <c r="J23" i="3"/>
  <c r="D23" i="3"/>
  <c r="C23" i="3"/>
  <c r="D38" i="3"/>
  <c r="J38" i="3"/>
  <c r="C38" i="3"/>
  <c r="J11" i="3"/>
  <c r="D11" i="3"/>
  <c r="C11" i="3"/>
  <c r="K37" i="3"/>
  <c r="I37" i="3"/>
  <c r="F13" i="3" a="1"/>
  <c r="L10" i="3"/>
  <c r="N10" i="3"/>
  <c r="M10" i="3" a="1"/>
  <c r="M10" i="3" l="1"/>
  <c r="F13" i="3"/>
  <c r="K11" i="3"/>
  <c r="I11" i="3"/>
  <c r="K38" i="3"/>
  <c r="I38" i="3"/>
  <c r="D12" i="3"/>
  <c r="J12" i="3"/>
  <c r="C12" i="3"/>
  <c r="J39" i="3"/>
  <c r="D39" i="3"/>
  <c r="C39" i="3"/>
  <c r="K23" i="3"/>
  <c r="I23" i="3"/>
  <c r="D24" i="3"/>
  <c r="J24" i="3"/>
  <c r="C24" i="3"/>
  <c r="L11" i="3"/>
  <c r="F14" i="3" a="1"/>
  <c r="M11" i="3" a="1"/>
  <c r="N11" i="3"/>
  <c r="M11" i="3" l="1"/>
  <c r="F14" i="3"/>
  <c r="K12" i="3"/>
  <c r="I12" i="3"/>
  <c r="K39" i="3"/>
  <c r="I39" i="3"/>
  <c r="K24" i="3"/>
  <c r="I24" i="3"/>
  <c r="D13" i="3"/>
  <c r="J13" i="3"/>
  <c r="C13" i="3"/>
  <c r="F15" i="3" a="1"/>
  <c r="M12" i="3" a="1"/>
  <c r="L12" i="3"/>
  <c r="N12" i="3"/>
  <c r="M12" i="3" l="1"/>
  <c r="F15" i="3"/>
  <c r="K13" i="3"/>
  <c r="I13" i="3"/>
  <c r="D14" i="3"/>
  <c r="J14" i="3"/>
  <c r="C14" i="3"/>
  <c r="N13" i="3"/>
  <c r="M13" i="3" a="1"/>
  <c r="L13" i="3"/>
  <c r="M13" i="3" l="1"/>
  <c r="J15" i="3"/>
  <c r="D15" i="3"/>
  <c r="F13" i="8" s="1"/>
  <c r="C15" i="3"/>
  <c r="F29" i="8"/>
  <c r="K14" i="3"/>
  <c r="I14" i="3"/>
  <c r="M14" i="3" a="1"/>
  <c r="L14" i="3"/>
  <c r="N14" i="3"/>
  <c r="M14" i="3" l="1"/>
  <c r="I13" i="8"/>
  <c r="H13" i="8"/>
  <c r="G13" i="8"/>
  <c r="I29" i="8"/>
  <c r="I30" i="8" s="1"/>
  <c r="H29" i="8"/>
  <c r="H30" i="8" s="1"/>
  <c r="G29" i="8"/>
  <c r="G30" i="8" s="1"/>
  <c r="F69" i="8"/>
  <c r="F41" i="8"/>
  <c r="F9" i="8"/>
  <c r="F7" i="8"/>
  <c r="F25" i="8"/>
  <c r="F37" i="8"/>
  <c r="F23" i="8"/>
  <c r="F49" i="8"/>
  <c r="F51" i="8"/>
  <c r="F53" i="8"/>
  <c r="F43" i="8"/>
  <c r="F65" i="8"/>
  <c r="F21" i="8"/>
  <c r="F35" i="8"/>
  <c r="F59" i="8"/>
  <c r="F63" i="8"/>
  <c r="K15" i="3"/>
  <c r="I15" i="3"/>
  <c r="F17" i="8"/>
  <c r="F61" i="8"/>
  <c r="F67" i="8"/>
  <c r="F55" i="8"/>
  <c r="F19" i="8"/>
  <c r="F31" i="8"/>
  <c r="F33" i="8"/>
  <c r="F45" i="8"/>
  <c r="F57" i="8"/>
  <c r="F39" i="8"/>
  <c r="F15" i="8"/>
  <c r="F11" i="8"/>
  <c r="F27" i="8"/>
  <c r="M15" i="3" a="1"/>
  <c r="L15" i="3"/>
  <c r="N15" i="3"/>
  <c r="M15" i="3" l="1"/>
  <c r="I45" i="8"/>
  <c r="I46" i="8" s="1"/>
  <c r="H45" i="8"/>
  <c r="H46" i="8" s="1"/>
  <c r="G45" i="8"/>
  <c r="G46" i="8" s="1"/>
  <c r="I7" i="8"/>
  <c r="H7" i="8"/>
  <c r="G7" i="8"/>
  <c r="I31" i="8"/>
  <c r="I32" i="8" s="1"/>
  <c r="H31" i="8"/>
  <c r="H32" i="8" s="1"/>
  <c r="G31" i="8"/>
  <c r="G32" i="8" s="1"/>
  <c r="I19" i="8"/>
  <c r="I20" i="8" s="1"/>
  <c r="H19" i="8"/>
  <c r="H20" i="8" s="1"/>
  <c r="G19" i="8"/>
  <c r="G20" i="8" s="1"/>
  <c r="I43" i="8"/>
  <c r="I44" i="8" s="1"/>
  <c r="H43" i="8"/>
  <c r="H44" i="8" s="1"/>
  <c r="G43" i="8"/>
  <c r="G44" i="8" s="1"/>
  <c r="G41" i="8"/>
  <c r="G42" i="8" s="1"/>
  <c r="I41" i="8"/>
  <c r="I42" i="8" s="1"/>
  <c r="H41" i="8"/>
  <c r="H42" i="8" s="1"/>
  <c r="G17" i="8"/>
  <c r="G18" i="8" s="1"/>
  <c r="I17" i="8"/>
  <c r="I18" i="8" s="1"/>
  <c r="H17" i="8"/>
  <c r="H18" i="8" s="1"/>
  <c r="G33" i="8"/>
  <c r="G34" i="8" s="1"/>
  <c r="I33" i="8"/>
  <c r="I34" i="8" s="1"/>
  <c r="H33" i="8"/>
  <c r="H34" i="8" s="1"/>
  <c r="G65" i="8"/>
  <c r="G66" i="8" s="1"/>
  <c r="I65" i="8"/>
  <c r="I66" i="8" s="1"/>
  <c r="H65" i="8"/>
  <c r="H66" i="8" s="1"/>
  <c r="I55" i="8"/>
  <c r="I56" i="8" s="1"/>
  <c r="H55" i="8"/>
  <c r="H56" i="8" s="1"/>
  <c r="G55" i="8"/>
  <c r="G56" i="8" s="1"/>
  <c r="I53" i="8"/>
  <c r="I54" i="8" s="1"/>
  <c r="H53" i="8"/>
  <c r="H54" i="8" s="1"/>
  <c r="G53" i="8"/>
  <c r="G54" i="8" s="1"/>
  <c r="I69" i="8"/>
  <c r="H69" i="8"/>
  <c r="G69" i="8"/>
  <c r="I67" i="8"/>
  <c r="I68" i="8" s="1"/>
  <c r="H67" i="8"/>
  <c r="H68" i="8" s="1"/>
  <c r="G67" i="8"/>
  <c r="G68" i="8" s="1"/>
  <c r="I51" i="8"/>
  <c r="I52" i="8" s="1"/>
  <c r="H51" i="8"/>
  <c r="H52" i="8" s="1"/>
  <c r="G51" i="8"/>
  <c r="G52" i="8" s="1"/>
  <c r="I35" i="8"/>
  <c r="I36" i="8" s="1"/>
  <c r="H35" i="8"/>
  <c r="H36" i="8" s="1"/>
  <c r="G35" i="8"/>
  <c r="G36" i="8" s="1"/>
  <c r="I21" i="8"/>
  <c r="I22" i="8" s="1"/>
  <c r="H21" i="8"/>
  <c r="H22" i="8" s="1"/>
  <c r="G21" i="8"/>
  <c r="G22" i="8" s="1"/>
  <c r="G9" i="8"/>
  <c r="G10" i="8" s="1"/>
  <c r="I9" i="8"/>
  <c r="I10" i="8" s="1"/>
  <c r="H9" i="8"/>
  <c r="H10" i="8" s="1"/>
  <c r="I61" i="8"/>
  <c r="I62" i="8" s="1"/>
  <c r="H61" i="8"/>
  <c r="H62" i="8" s="1"/>
  <c r="G61" i="8"/>
  <c r="G62" i="8" s="1"/>
  <c r="G49" i="8"/>
  <c r="G50" i="8" s="1"/>
  <c r="I49" i="8"/>
  <c r="I50" i="8" s="1"/>
  <c r="H49" i="8"/>
  <c r="H50" i="8" s="1"/>
  <c r="I23" i="8"/>
  <c r="I24" i="8" s="1"/>
  <c r="H23" i="8"/>
  <c r="H24" i="8" s="1"/>
  <c r="G23" i="8"/>
  <c r="G24" i="8" s="1"/>
  <c r="I37" i="8"/>
  <c r="I38" i="8" s="1"/>
  <c r="H37" i="8"/>
  <c r="H38" i="8" s="1"/>
  <c r="G37" i="8"/>
  <c r="G38" i="8" s="1"/>
  <c r="G14" i="8"/>
  <c r="H14" i="8"/>
  <c r="I14" i="8"/>
  <c r="I27" i="8"/>
  <c r="I28" i="8" s="1"/>
  <c r="H27" i="8"/>
  <c r="H28" i="8" s="1"/>
  <c r="G27" i="8"/>
  <c r="G28" i="8" s="1"/>
  <c r="I11" i="8"/>
  <c r="H11" i="8"/>
  <c r="G11" i="8"/>
  <c r="I15" i="8"/>
  <c r="I16" i="8" s="1"/>
  <c r="H15" i="8"/>
  <c r="H16" i="8" s="1"/>
  <c r="G15" i="8"/>
  <c r="G16" i="8" s="1"/>
  <c r="G25" i="8"/>
  <c r="G26" i="8" s="1"/>
  <c r="I25" i="8"/>
  <c r="I26" i="8" s="1"/>
  <c r="H25" i="8"/>
  <c r="H26" i="8" s="1"/>
  <c r="I39" i="8"/>
  <c r="I40" i="8" s="1"/>
  <c r="H39" i="8"/>
  <c r="H40" i="8" s="1"/>
  <c r="G39" i="8"/>
  <c r="G40" i="8" s="1"/>
  <c r="I63" i="8"/>
  <c r="I64" i="8" s="1"/>
  <c r="H63" i="8"/>
  <c r="H64" i="8" s="1"/>
  <c r="G63" i="8"/>
  <c r="G64" i="8" s="1"/>
  <c r="G57" i="8"/>
  <c r="G58" i="8" s="1"/>
  <c r="I57" i="8"/>
  <c r="I58" i="8" s="1"/>
  <c r="H57" i="8"/>
  <c r="H58" i="8" s="1"/>
  <c r="I59" i="8"/>
  <c r="I60" i="8" s="1"/>
  <c r="H59" i="8"/>
  <c r="H60" i="8" s="1"/>
  <c r="G59" i="8"/>
  <c r="G60" i="8" s="1"/>
  <c r="N30" i="3"/>
  <c r="L29" i="3" a="1"/>
  <c r="N29" i="3"/>
  <c r="L30" i="3" a="1"/>
  <c r="M29" i="3"/>
  <c r="M30" i="3"/>
  <c r="L30" i="3" l="1"/>
  <c r="L29" i="3"/>
  <c r="G12" i="8"/>
  <c r="G8" i="8"/>
  <c r="H8" i="8"/>
  <c r="I8" i="8"/>
  <c r="I12" i="8"/>
  <c r="H12" i="8"/>
  <c r="H70" i="8"/>
  <c r="I70" i="8"/>
  <c r="G70" i="8"/>
  <c r="L23" i="3" a="1"/>
  <c r="N17" i="3"/>
  <c r="M26" i="3" a="1"/>
  <c r="N35" i="3"/>
  <c r="L24" i="3" a="1"/>
  <c r="N18" i="3"/>
  <c r="M27" i="3" a="1"/>
  <c r="N36" i="3"/>
  <c r="N19" i="3"/>
  <c r="N38" i="3"/>
  <c r="M17" i="3" a="1"/>
  <c r="M32" i="3" a="1"/>
  <c r="N39" i="3"/>
  <c r="M18" i="3" a="1"/>
  <c r="N21" i="3"/>
  <c r="M33" i="3" a="1"/>
  <c r="N20" i="3"/>
  <c r="L26" i="3" a="1"/>
  <c r="L27" i="3" a="1"/>
  <c r="M19" i="3" a="1"/>
  <c r="N22" i="3"/>
  <c r="M35" i="3" a="1"/>
  <c r="L32" i="3" a="1"/>
  <c r="M22" i="3" a="1"/>
  <c r="L36" i="3" a="1"/>
  <c r="N26" i="3"/>
  <c r="M24" i="3" a="1"/>
  <c r="L39" i="3" a="1"/>
  <c r="L17" i="3" a="1"/>
  <c r="M20" i="3" a="1"/>
  <c r="N23" i="3"/>
  <c r="M36" i="3" a="1"/>
  <c r="L33" i="3" a="1"/>
  <c r="L19" i="3" a="1"/>
  <c r="L20" i="3" a="1"/>
  <c r="L38" i="3" a="1"/>
  <c r="L22" i="3" a="1"/>
  <c r="N33" i="3"/>
  <c r="L18" i="3" a="1"/>
  <c r="M21" i="3" a="1"/>
  <c r="N24" i="3"/>
  <c r="M38" i="3"/>
  <c r="L35" i="3" a="1"/>
  <c r="M39" i="3"/>
  <c r="M23" i="3" a="1"/>
  <c r="N27" i="3"/>
  <c r="N32" i="3"/>
  <c r="L21" i="3" a="1"/>
  <c r="L21" i="3" l="1"/>
  <c r="M23" i="3"/>
  <c r="L35" i="3"/>
  <c r="M21" i="3"/>
  <c r="L18" i="3"/>
  <c r="L22" i="3"/>
  <c r="L38" i="3"/>
  <c r="L20" i="3"/>
  <c r="L19" i="3"/>
  <c r="L33" i="3"/>
  <c r="M36" i="3"/>
  <c r="M20" i="3"/>
  <c r="L17" i="3"/>
  <c r="L39" i="3"/>
  <c r="M24" i="3"/>
  <c r="L36" i="3"/>
  <c r="M22" i="3"/>
  <c r="L32" i="3"/>
  <c r="M35" i="3"/>
  <c r="M19" i="3"/>
  <c r="L27" i="3"/>
  <c r="L26" i="3"/>
  <c r="M33" i="3"/>
  <c r="M18" i="3"/>
  <c r="M32" i="3"/>
  <c r="M17" i="3"/>
  <c r="M27" i="3"/>
  <c r="L24" i="3"/>
  <c r="M26" i="3"/>
  <c r="L23" i="3"/>
</calcChain>
</file>

<file path=xl/sharedStrings.xml><?xml version="1.0" encoding="utf-8"?>
<sst xmlns="http://schemas.openxmlformats.org/spreadsheetml/2006/main" count="1466" uniqueCount="598">
  <si>
    <t>Spreadsheet giving details about the various input parameters used in the ITHIM Global run for Bogotá, note that any distribution parameters used for running ITHIM-Global in sampling mode are omitted</t>
  </si>
  <si>
    <t>blue cells</t>
  </si>
  <si>
    <t>contain formula</t>
  </si>
  <si>
    <t>green cells</t>
  </si>
  <si>
    <t xml:space="preserve">need manual filling in </t>
  </si>
  <si>
    <t>Tab name</t>
  </si>
  <si>
    <t>Description</t>
  </si>
  <si>
    <t>all_city_parameter_inputs</t>
  </si>
  <si>
    <t>Table detailing all the city specific parameters which are read in during an ITHIM-Global run</t>
  </si>
  <si>
    <t>All_city_list</t>
  </si>
  <si>
    <t>List of all city specific parameters including their source and and explanation of what the parameter does. Takes its values from all_city_parameter_inputs and Default tabs. Parameter explanations and sources are added manually. 
To add a new city, add the city to the all_city_parameter_inputs tab (new column) and copy down the blue cells of the last populated row.
If the structure of all_city_parameter_inputs is changed, i.e. if parameters are added or deleted, add or delete rows for all cities to ensure the parameter descriptions and references are still in line with the correct parameter. The input values from all_city_parameter_inputs are currently being read based on their row and column value.</t>
  </si>
  <si>
    <t>all_global_parameter_inputs</t>
  </si>
  <si>
    <t>Details the global parameters, used as input file for ITHIM runs.</t>
  </si>
  <si>
    <t>All_global_list</t>
  </si>
  <si>
    <t xml:space="preserve">Details the values of the global parameters, i.e. the values that are not city specific. Reads values from all_global_parameter_inputs tab and Default tab and gives further information of where these values come from. </t>
  </si>
  <si>
    <t>Default</t>
  </si>
  <si>
    <t>List default values for all parameters, parameter explanations added to this tab are used in All_city_list</t>
  </si>
  <si>
    <t>Further_input_files</t>
  </si>
  <si>
    <t>Details where the additional input files needed for an ITHIM run can be found within the ITHIM-Global R package</t>
  </si>
  <si>
    <t>Grouped_sources</t>
  </si>
  <si>
    <t xml:space="preserve">Lookup table that shows from which city input parameter information on the all_city_list tab can be copied for other cities </t>
  </si>
  <si>
    <t xml:space="preserve">Lookup </t>
  </si>
  <si>
    <t>table linking different parameter names and classifications</t>
  </si>
  <si>
    <t>Safety in Numbers</t>
  </si>
  <si>
    <t>Details how the safety in numbers parameters were derived</t>
  </si>
  <si>
    <t>Document history</t>
  </si>
  <si>
    <t>version</t>
  </si>
  <si>
    <t>Changes made</t>
  </si>
  <si>
    <t>Author</t>
  </si>
  <si>
    <t>Date</t>
  </si>
  <si>
    <t>v0.1</t>
  </si>
  <si>
    <t>Initial set-up based on InputParameters_v35.1</t>
  </si>
  <si>
    <t>AKS</t>
  </si>
  <si>
    <t>v1.0</t>
  </si>
  <si>
    <t>Changed the retirement ages of bus, truck and commercial motorcycle drivers</t>
  </si>
  <si>
    <t>v1.01</t>
  </si>
  <si>
    <t>update MET values for light activity</t>
  </si>
  <si>
    <t>LT</t>
  </si>
  <si>
    <t>21/03/2024</t>
  </si>
  <si>
    <t>v1.02</t>
  </si>
  <si>
    <t>update CO2 from EDGAR database. The values come from: https://github.com/ITHIM/CO2_EDGAR_2018/blob/main/output/CO2_2018_ALL_cities.csv</t>
  </si>
  <si>
    <t>AA</t>
  </si>
  <si>
    <t>v2.0</t>
  </si>
  <si>
    <t>Removed backround_pa_confidence, PM_emissions_confidence and CO2_emissions_confidence parameter values as not needed for constant model run, updated cycling MET source, set minimum_pt_time to 5</t>
  </si>
  <si>
    <t>v2.1</t>
  </si>
  <si>
    <t>Introduced a new parameter called TREAT_TAXI_AS_CAR, which treats taxis as cars (and essentially adds taxi's distance to car/car_driver)</t>
  </si>
  <si>
    <t>v2.2</t>
  </si>
  <si>
    <t>Set TREAT_TAXI_AS_CAR to FALSE</t>
  </si>
  <si>
    <t>v3.0</t>
  </si>
  <si>
    <t>updated the SIN coefficients using the random effects values from the meta analysis</t>
  </si>
  <si>
    <t>v3.1</t>
  </si>
  <si>
    <t>Replaced big_truck with heavy_truck</t>
  </si>
  <si>
    <t>v3.2</t>
  </si>
  <si>
    <t>Set auto_rickshaw speed to 4, same as default speed in model</t>
  </si>
  <si>
    <t>v3.3</t>
  </si>
  <si>
    <t>Updated references</t>
  </si>
  <si>
    <t>v3.4</t>
  </si>
  <si>
    <t>added TREAT_TAXI_AS_CAR parameter to entire spreadsheet</t>
  </si>
  <si>
    <t>v4.0</t>
  </si>
  <si>
    <t>converted MET to MMET input parameters</t>
  </si>
  <si>
    <t>V5.0</t>
  </si>
  <si>
    <t>ITHIM Simple stripped down version with only handful parameters. Also, note injury module is turned off</t>
  </si>
  <si>
    <t>22/4/2025</t>
  </si>
  <si>
    <t>parameter</t>
  </si>
  <si>
    <t>detail</t>
  </si>
  <si>
    <t>bogota</t>
  </si>
  <si>
    <t>speeds</t>
  </si>
  <si>
    <t>auto_rickshaw</t>
  </si>
  <si>
    <t>bus</t>
  </si>
  <si>
    <t>car</t>
  </si>
  <si>
    <t>cycle</t>
  </si>
  <si>
    <t>subway</t>
  </si>
  <si>
    <t>motorcycle</t>
  </si>
  <si>
    <t>other</t>
  </si>
  <si>
    <t>pedestrian</t>
  </si>
  <si>
    <t>rail</t>
  </si>
  <si>
    <t>taxi</t>
  </si>
  <si>
    <t>truck</t>
  </si>
  <si>
    <t>van</t>
  </si>
  <si>
    <t>PM_emission_inventories</t>
  </si>
  <si>
    <t>bus_driver</t>
  </si>
  <si>
    <t>heavy_truck</t>
  </si>
  <si>
    <t>pm_conc_base</t>
  </si>
  <si>
    <t>constant</t>
  </si>
  <si>
    <t>mean</t>
  </si>
  <si>
    <t>sd</t>
  </si>
  <si>
    <t>pm_trans_share</t>
  </si>
  <si>
    <t>alpha</t>
  </si>
  <si>
    <t>beta</t>
  </si>
  <si>
    <t>CO2_emission_inventories</t>
  </si>
  <si>
    <t>country</t>
  </si>
  <si>
    <t>Colombia</t>
  </si>
  <si>
    <t>continent</t>
  </si>
  <si>
    <t>Latin_America</t>
  </si>
  <si>
    <t>List of parameters found in all_city_parameter_inputs</t>
  </si>
  <si>
    <t>Values that have been entered manually</t>
  </si>
  <si>
    <t>Values read in from other locations</t>
  </si>
  <si>
    <t>Location column</t>
  </si>
  <si>
    <t>Row location</t>
  </si>
  <si>
    <t>Default lookup</t>
  </si>
  <si>
    <t>Grouped sources lookup</t>
  </si>
  <si>
    <t>Location</t>
  </si>
  <si>
    <t>Parameter</t>
  </si>
  <si>
    <t>Detail</t>
  </si>
  <si>
    <t>Value</t>
  </si>
  <si>
    <t>Default value</t>
  </si>
  <si>
    <t>Classification</t>
  </si>
  <si>
    <t>Location of data (e.g. in v-drive, web link)</t>
  </si>
  <si>
    <t>Source of data</t>
  </si>
  <si>
    <t>Comments</t>
  </si>
  <si>
    <t>average speeds between London and Delhi travel surveys and where the speeds for Delhi are higher than those for London, the London speeds are chosen</t>
  </si>
  <si>
    <t>https://edgar.jrc.ec.europa.eu/, obtained values based on private correspondence</t>
  </si>
  <si>
    <t>EDGAR, 2018</t>
  </si>
  <si>
    <t xml:space="preserve">https://www.who.int/publications/i/item/9789241565684 </t>
  </si>
  <si>
    <t>WHO report giving reported and estimated injury statistics at a country level. The underreporting for Colombia is approx 20% but we assumed that the underreporting at a city level is half this value, i.e. 10%. So parameter was set to 1-0.1= 0.9</t>
  </si>
  <si>
    <t>assumes no bias in the disease data, distribution values need updating</t>
  </si>
  <si>
    <t xml:space="preserve">https://www.who.int/publications/m/item/who-air-quality-database-2022 </t>
  </si>
  <si>
    <t>WHO Air Quality Database, Update 2022</t>
  </si>
  <si>
    <t>HEYDARI, S., TAINIO, M., WOODCOCK, J. &amp; DE NAZELLE, A. 2020. Estimating traffic contribution to particulate matter concentration in urban areas using a multilevel Bayesian meta-regression approach. Environment international, 141, 105800.</t>
  </si>
  <si>
    <t>EDGAR and various other sources, detailed in document</t>
  </si>
  <si>
    <t>deduced values</t>
  </si>
  <si>
    <t xml:space="preserve">assumes no bias in PA data (could be improved by looking at PA surveys) </t>
  </si>
  <si>
    <t>https://www.datos.gov.co/Transporte/Encuesta-de-movilidad-de-Bogot-2015-Caracterizaci-/mvbb-bn7j</t>
  </si>
  <si>
    <t>median walking stage duration for all bus trips with a walking stage in the Bogota 2019 travel survey</t>
  </si>
  <si>
    <t>Sao Paulo: https://transparencia.metrosp.com.br/dataset/pesquisa-de-mobilidade-urbana
Mexico City: http://www.beta.inegi.org.mx/programas/eod/2017/</t>
  </si>
  <si>
    <t>average of median walking stage duration for all rail trips with a walking stage in the Sao Paulo 2017 and the Mexico City 2017 travel surveys</t>
  </si>
  <si>
    <t>Bogotá travel survey contains motorcycle trips</t>
  </si>
  <si>
    <t>want to add commercial motorcycle trips</t>
  </si>
  <si>
    <t xml:space="preserve">https://scioteca.caf.com/bitstream/handle/123456789/754/CAF%20LIBRO%20motos%20digital.pdf?sequence=1&amp;isAllowed=y </t>
  </si>
  <si>
    <t xml:space="preserve">Rodríguez 2015 </t>
  </si>
  <si>
    <t>Not used for constant run</t>
  </si>
  <si>
    <t>Want to include all walk to pt trips</t>
  </si>
  <si>
    <t>WRI Mexico: https://www.dtpm.cl/descargas/estudios/Estudio%20evaluaci%C3%B3n%20Transantiago%202016.pdf  
Camara de comercio: https://bibliotecadigital.ccb.org.co/handle/11520/25083</t>
  </si>
  <si>
    <t xml:space="preserve">Get number of passengers per km, speed and passenger duration from WRI Mèxico, Cámara de comercio de Bogotá gives proportion of each bus type </t>
  </si>
  <si>
    <t>Banco de desarollog: https://publications.iadb.org/publications/spanish/document/Congestion-urbana-en-America-Latina-y-el-Caribe-Caracter%C3%ADsticas-costos-mitigacion.pdf
Cano Torres: CANO TORRES, A.M., RODRIGUEZ DURÁN, S. 2018. Influencia de los vehículos de carga pesada en la congestión vial de la ciudad de Bogotá D.C., Colombia</t>
  </si>
  <si>
    <t xml:space="preserve">Banco de desarollo to get car vehicle kilometres travelled by car and Cano Torres to get HGV km </t>
  </si>
  <si>
    <t>set to 1 as distances in travel survey are expected to be without bias</t>
  </si>
  <si>
    <t xml:space="preserve">https://www.autofact.com.co/blog/mi-carro/actividades/carpooling-colombia </t>
  </si>
  <si>
    <t xml:space="preserve">Autofact, 2022 </t>
  </si>
  <si>
    <t>https://www.despacio.org/wp-content/uploads/2020/03/mujeresbogotalascuentas20200303web.pdf, p.90</t>
  </si>
  <si>
    <t>Moscoso, 2020</t>
  </si>
  <si>
    <t>Sí hay empleo para ser operadores de TransMilenio, https://www.oecd.org/els/public-pensions/OECD-Pension-Policy-Notes-Colombia.pdf, One year of driving experience is required and you can get your licence with 18, retirement age for men is 62</t>
  </si>
  <si>
    <t>Transmilenio, 2019, OECD data explorer, 2020</t>
  </si>
  <si>
    <t>Sí hay empleo para ser operadores de  https://www.oecd.org/els/public-pensions/OECD-Pension-Policy-Notes-Colombia.pdf, One year of driving experience is required and you can get your licence with 18, retirement age for women is 57</t>
  </si>
  <si>
    <t>Guesstimate, in 2020, 2.328 females had driving licence for tractocamiones (trucks? https://www.busesycamioneschevrolet.com.co/blog/mujeres-y-madres-transportadoras-un-mundo-que-cada-vez-crece-mas/), used same percentage as for male bus drivers</t>
  </si>
  <si>
    <t>https://www.autofact.com.co/blog/mi-carro/licencias/licencia-c3#:~:text=La%20licencia%20C3%20pertenece%20a,identifican%20por%20llevar%20placa%20blanca., https://data-explorer.oecd.org/vis?df[ds]=DisseminateFinalDMZ&amp;df[id]=DSD_PAG%40DF_PAG&amp;df[ag]=OECD.ELS.SPD&amp;dq=.A.CRPLF22%2BFRPLF22%2BGPRR100%2BATRW%2BATRAEP%2BATRPPAE%2BNPRR100%2BGPW100%2BNPW100%2BFR%2BLE%2BER%2BOAWAR%2BELMEA%2BEYLME%2BEDIOP%2BPTOP%2BOCOP%2BCIOP%2BEIOP%2BAWGW%2BOAIP%2BPEP%2BPPEP....&amp;pd=2019%2C2022&amp;to[TIME_PERIOD]=true&amp;ly[cl]=COMBINED_MEASURE%2CCOMBINED_UNIT_MEASURE%2CTIME_PERIOD&amp;ly[rw]=REF_AREA&amp;vw=tb, You can get your licence with 18, retirement age for men is 62</t>
  </si>
  <si>
    <t>Autofact, 2024, OECD data explorer, 2020</t>
  </si>
  <si>
    <t>https://www.autofact.com.co/blog/mi-carro/licencias/licencia-c3#:~:text=La%20licencia%20C3%20pertenece%20a,identifican%20por%20llevar%20placa%20blanca., https://data-explorer.oecd.org/vis?df[ds]=DisseminateFinalDMZ&amp;df[id]=DSD_PAG%40DF_PAG&amp;df[ag]=OECD.ELS.SPD&amp;dq=.A.CRPLF22%2BFRPLF22%2BGPRR100%2BATRW%2BATRAEP%2BATRPPAE%2BNPRR100%2BGPW100%2BNPW100%2BFR%2BLE%2BER%2BOAWAR%2BELMEA%2BEYLME%2BEDIOP%2BPTOP%2BOCOP%2BCIOP%2BEIOP%2BAWGW%2BOAIP%2BPEP%2BPPEP....&amp;pd=2019%2C2022&amp;to[TIME_PERIOD]=true&amp;ly[cl]=COMBINED_MEASURE%2CCOMBINED_UNIT_MEASURE%2CTIME_PERIOD&amp;ly[rw]=REF_AREA&amp;vw=tb, you can get your licence with 18, retirement age for women is 57</t>
  </si>
  <si>
    <t>La motocicleta en América Latina (CAF LIBRO motos digital.pdf)</t>
  </si>
  <si>
    <t>La motocicleta en América Latina (CAF LIBRO motos digital.pdf), https://data-explorer.oecd.org/vis?df[ds]=DisseminateFinalDMZ&amp;df[id]=DSD_PAG%40DF_PAG&amp;df[ag]=OECD.ELS.SPD&amp;dq=.A.CRPLF22%2BFRPLF22%2BGPRR100%2BATRW%2BATRAEP%2BATRPPAE%2BNPRR100%2BGPW100%2BNPW100%2BFR%2BLE%2BER%2BOAWAR%2BELMEA%2BEYLME%2BEDIOP%2BPTOP%2BOCOP%2BCIOP%2BEIOP%2BAWGW%2BOAIP%2BPEP%2BPPEP....&amp;pd=2019%2C2022&amp;to[TIME_PERIOD]=true&amp;ly[cl]=COMBINED_MEASURE%2CCOMBINED_UNIT_MEASURE%2CTIME_PERIOD&amp;ly[rw]=REF_AREA&amp;vw=tb, retirement age for men is 62</t>
  </si>
  <si>
    <t>Rodríguez 2015 , OECD data explorer 2020</t>
  </si>
  <si>
    <t>La motocicleta en América Latina (CAF LIBRO motos digital.pdf), https://data-explorer.oecd.org/vis?df[ds]=DisseminateFinalDMZ&amp;df[id]=DSD_PAG%40DF_PAG&amp;df[ag]=OECD.ELS.SPD&amp;dq=.A.CRPLF22%2BFRPLF22%2BGPRR100%2BATRW%2BATRAEP%2BATRPPAE%2BNPRR100%2BGPW100%2BNPW100%2BFR%2BLE%2BER%2BOAWAR%2BELMEA%2BEYLME%2BEDIOP%2BPTOP%2BOCOP%2BCIOP%2BEIOP%2BAWGW%2BOAIP%2BPEP%2BPPEP....&amp;pd=2019%2C2022&amp;to[TIME_PERIOD]=true&amp;ly[cl]=COMBINED_MEASURE%2CCOMBINED_UNIT_MEASURE%2CTIME_PERIOD&amp;ly[rw]=REF_AREA&amp;vw=tb, p.150, retirement age for women is 57</t>
  </si>
  <si>
    <t>Assumption that travel in travel survey represents a typical day within a week</t>
  </si>
  <si>
    <t>If set to False do not include taxi distance when calculating car vehicle emission factors</t>
  </si>
  <si>
    <t>global</t>
  </si>
  <si>
    <t>cycling_mmet</t>
  </si>
  <si>
    <t>walking_mmet</t>
  </si>
  <si>
    <t>passenger_mmet</t>
  </si>
  <si>
    <t>car_driver_mmet</t>
  </si>
  <si>
    <t>motorcyclist_mmet</t>
  </si>
  <si>
    <t>sedentary_activity_mmet</t>
  </si>
  <si>
    <t>light_activity_mmet</t>
  </si>
  <si>
    <t>moderate_pa_mmet</t>
  </si>
  <si>
    <t>vigorous_pa_mmet</t>
  </si>
  <si>
    <t>pa_dr_quantile_city1</t>
  </si>
  <si>
    <t>T</t>
  </si>
  <si>
    <t>ap_dr_quantile_city1</t>
  </si>
  <si>
    <t>min_age</t>
  </si>
  <si>
    <t>max_age</t>
  </si>
  <si>
    <t>dist_cat</t>
  </si>
  <si>
    <t>0-2 km, 2-6 km, 6+ km</t>
  </si>
  <si>
    <t>minimum_pt_time</t>
  </si>
  <si>
    <t>moderate_pa_contribution</t>
  </si>
  <si>
    <t xml:space="preserve">Compendium of physical activity https://sites.google.com/site/compendiumofphysicalactivities/Activity-Categories/bicycling?authuser=1 </t>
  </si>
  <si>
    <t>Compendium of physical activity 16060 https://sites.google.com/site/compendiumofphysicalactivities/Activity-Categories/transportation?authuser=0</t>
  </si>
  <si>
    <t>Compendium of physical activity 16015-15016 https://sites.google.com/site/compendiumofphysicalactivities/Activity-Categories/transportation?authuser=1</t>
  </si>
  <si>
    <t>Compendium of physical activity 16010 https://sites.google.com/site/compendiumofphysicalactivities/Activity-Categories/transportation?authuser=2</t>
  </si>
  <si>
    <t>Compendium of physical activity 16030 https://sites.google.com/site/compendiumofphysicalactivities/Activity-Categories/transportation?authuser=3</t>
  </si>
  <si>
    <t>Compendium of physical activity 05080 https://sites.google.com/site/compendiumofphysicalactivities/Activity-Categories/home-activity?authuser=0</t>
  </si>
  <si>
    <t>Compendium of physical activity 05160 (https://sites.google.com/site/compendiumofphysicalactivities/Activity-Categories/home-activity?authuser=1</t>
  </si>
  <si>
    <t>--</t>
  </si>
  <si>
    <t>GPAQ. P3. https://www.who.int/docs/default-source/ncds/ncd-surveillance/gpaq-analysis-guide.pdf</t>
  </si>
  <si>
    <t>sin_exponent_sum</t>
  </si>
  <si>
    <t>see Safety in Numbers tab</t>
  </si>
  <si>
    <t>casualty_exponent_fraction</t>
  </si>
  <si>
    <t>sin_exponent_sum_nov</t>
  </si>
  <si>
    <t>sin_exponent_sum_cycle</t>
  </si>
  <si>
    <t>casualty_exponent_fraction_cycle</t>
  </si>
  <si>
    <t>sin_exponent_sum_ped</t>
  </si>
  <si>
    <t>casualty_exponent_fraction_ped</t>
  </si>
  <si>
    <t>sin_exponent_sum_veh</t>
  </si>
  <si>
    <t>casualty_exponent_fraction_veh</t>
  </si>
  <si>
    <t>call_individual_sin</t>
  </si>
  <si>
    <t>Assumed that individual safety in number coefficients give more accurate results, see Safety in Numbers tab</t>
  </si>
  <si>
    <t>add_truck_drivers</t>
  </si>
  <si>
    <t>set to true as this mode is not given in travel survey</t>
  </si>
  <si>
    <t>add_bus_drivers</t>
  </si>
  <si>
    <t>add_car_drivers</t>
  </si>
  <si>
    <t>pa_dose_response_quantile</t>
  </si>
  <si>
    <t>Whether or not to sample from DR curves, set for first city and then repeated for all other cities</t>
  </si>
  <si>
    <t>set to true as want to sample from DR curves in VoI analysis</t>
  </si>
  <si>
    <t>ap_dose_response_quantile</t>
  </si>
  <si>
    <t>age_range</t>
  </si>
  <si>
    <t>to include working population</t>
  </si>
  <si>
    <t>seemed like a sensible assumption</t>
  </si>
  <si>
    <t>no default values</t>
  </si>
  <si>
    <t>output</t>
  </si>
  <si>
    <t>Classification of age ranges for reporting of results</t>
  </si>
  <si>
    <t>Note that any values given in the all_city_parameter_inputs or all_global_parameter_inputs tabs overwrite the given default values</t>
  </si>
  <si>
    <t>Parameter name in all_xxx_parameter_inputs</t>
  </si>
  <si>
    <t>Default parameter values</t>
  </si>
  <si>
    <t>Defined in</t>
  </si>
  <si>
    <t>Type</t>
  </si>
  <si>
    <t>Default Value</t>
  </si>
  <si>
    <t>Global / city specific</t>
  </si>
  <si>
    <t>Pollution values</t>
  </si>
  <si>
    <t>PM_CONC_BASE</t>
  </si>
  <si>
    <t>background PM2.5 concentration</t>
  </si>
  <si>
    <t>all_city_parameter_inputs tab / ithim_setup_parameters.R</t>
  </si>
  <si>
    <t>scalar / lognormal</t>
  </si>
  <si>
    <t xml:space="preserve">City specific </t>
  </si>
  <si>
    <t>Used Bogota values</t>
  </si>
  <si>
    <t>PM_TRANS_SHARE</t>
  </si>
  <si>
    <t>proportion of background PM2.5 attributable to transport</t>
  </si>
  <si>
    <t>Scalar / beta distribution</t>
  </si>
  <si>
    <t>City specific</t>
  </si>
  <si>
    <r>
      <rPr>
        <sz val="11"/>
        <color theme="1"/>
        <rFont val="Calibri"/>
        <family val="2"/>
        <charset val="1"/>
      </rPr>
      <t xml:space="preserve">HEYDARI, S., TAINIO, M., WOODCOCK, J. &amp; DE NAZELLE, A. 2020. Estimating traffic contribution to particulate matter concentration in urban areas using a multilevel Bayesian meta-regression approach. </t>
    </r>
    <r>
      <rPr>
        <i/>
        <sz val="11"/>
        <color theme="1"/>
        <rFont val="Calibri"/>
        <family val="2"/>
        <charset val="1"/>
      </rPr>
      <t>Environment international,</t>
    </r>
    <r>
      <rPr>
        <sz val="11"/>
        <color theme="1"/>
        <rFont val="Calibri"/>
        <family val="2"/>
        <charset val="1"/>
      </rPr>
      <t xml:space="preserve"> 141</t>
    </r>
    <r>
      <rPr>
        <b/>
        <sz val="11"/>
        <color theme="1"/>
        <rFont val="Calibri"/>
        <family val="2"/>
        <charset val="1"/>
      </rPr>
      <t>,</t>
    </r>
    <r>
      <rPr>
        <sz val="11"/>
        <color theme="1"/>
        <rFont val="Calibri"/>
        <family val="2"/>
        <charset val="1"/>
      </rPr>
      <t xml:space="preserve"> 105800.</t>
    </r>
  </si>
  <si>
    <t>Deduced values</t>
  </si>
  <si>
    <t>PM_EMISSION_INVENTORY_CONFIDENCE</t>
  </si>
  <si>
    <t>how confident we are about the PM emissions inventory mode split. Used to change the mode emission split. I.e. if cars produce 40% emissions and trucks 60%, then in the VoI run, might sample to get 45% emissions from cars and 55% emissions from trucks. If PM_EMISSION_INVENTORY_CONFIDENCE = 1, no sampling. The higher this parameter, the more confident we are in the mode split</t>
  </si>
  <si>
    <t>Scalar</t>
  </si>
  <si>
    <t>set to 1 for constant mode</t>
  </si>
  <si>
    <t>PM_emission_inventories motorcycle</t>
  </si>
  <si>
    <t>PM_emission_inventory motorcycle</t>
  </si>
  <si>
    <t>- Used to estimate the PM for scenarios (function "scenario_pm_calculations").
- used as reference to compute confidence around it (function "ithim_setup_parameters").
- used to create VEHICLE_INVENTORY, with speeds, PM and CO2 emissions (function "set_vehicle_inventory").</t>
  </si>
  <si>
    <t>all_city_parameter_inputs tab / run_ithim_setup.R</t>
  </si>
  <si>
    <t>PM_emission_inventories car</t>
  </si>
  <si>
    <t>PM_emission_inventory car</t>
  </si>
  <si>
    <t>EDGAR, 2019</t>
  </si>
  <si>
    <t>PM_emission_inventories bus_driver</t>
  </si>
  <si>
    <t>PM_emission_inventory bus driver</t>
  </si>
  <si>
    <t>EDGAR, 2020</t>
  </si>
  <si>
    <t>PM_emission_inventories heavy_truck</t>
  </si>
  <si>
    <t>PM_emission_inventory heavy_truck</t>
  </si>
  <si>
    <t>EDGAR, 2021</t>
  </si>
  <si>
    <t>PM_emission_inventories truck</t>
  </si>
  <si>
    <t>PM_emission_inventory truck</t>
  </si>
  <si>
    <t>EDGAR, 2022</t>
  </si>
  <si>
    <t>PM_emission_inventories van</t>
  </si>
  <si>
    <t>PM_emission_inventory van</t>
  </si>
  <si>
    <t>EDGAR, 2023</t>
  </si>
  <si>
    <t>PM_emission_inventories other</t>
  </si>
  <si>
    <t>PM_emission_inventory other</t>
  </si>
  <si>
    <t>EDGAR, 2024</t>
  </si>
  <si>
    <t>PM_emission_inventories taxi</t>
  </si>
  <si>
    <t>PM_emission_inventory taxi</t>
  </si>
  <si>
    <t>EDGAR, 2025</t>
  </si>
  <si>
    <t>PM_emission_inventories auto_rickshaw</t>
  </si>
  <si>
    <t>PM_emission_inventory auto_rickshaw</t>
  </si>
  <si>
    <t>EDGAR, 2026</t>
  </si>
  <si>
    <t>CO2_EMISSION_INVENTORY_CONFIDENCE</t>
  </si>
  <si>
    <t>how confident we are about the CO2 emissions inventory (equivalent to PM_EMISSION_INVENTORY_CONFIDENCE)</t>
  </si>
  <si>
    <t>CO2_emission_inventories motorcycle</t>
  </si>
  <si>
    <t>CO2_emission_inventory motorcycle</t>
  </si>
  <si>
    <t>- used to estimate the CO2 for scenarios (function "scenario_co2_calculations").
- used to create the VEHICLE_INVENTORY, with speeds, PM and CO2 emissions (function "set_vehicle_inventory").</t>
  </si>
  <si>
    <t>CO2_emission_inventories car</t>
  </si>
  <si>
    <t>CO2_emission_inventory car</t>
  </si>
  <si>
    <t>CO2_emission_inventories bus_driver</t>
  </si>
  <si>
    <t>CO2_emission_inventory bus driver</t>
  </si>
  <si>
    <t>CO2_emission_inventories heavy_truck</t>
  </si>
  <si>
    <t>CO2_emission_inventory heavy_truck</t>
  </si>
  <si>
    <t>CO2_emission_inventories truck</t>
  </si>
  <si>
    <t>CO2_emission_inventory truck</t>
  </si>
  <si>
    <t>CO2_emission_inventories van</t>
  </si>
  <si>
    <t>CO2_emission_inventory van</t>
  </si>
  <si>
    <t>CO2_emission_inventories other</t>
  </si>
  <si>
    <t>CO2_emission_inventory other</t>
  </si>
  <si>
    <t>CO2_emission_inventories taxi</t>
  </si>
  <si>
    <t>CO2_emission_inventory taxi</t>
  </si>
  <si>
    <t>CO2_emission_inventories auto_rickshaw</t>
  </si>
  <si>
    <t>CO2_emission_inventory auto_rickshaw</t>
  </si>
  <si>
    <t>TREAT_TAXI_AS_CAR</t>
  </si>
  <si>
    <t>If set to false do not add taxi km when calculating car emission factors</t>
  </si>
  <si>
    <t>'all_city_parameter_inputs tab / run_ithim_setup.R</t>
  </si>
  <si>
    <t>Logical</t>
  </si>
  <si>
    <t>F</t>
  </si>
  <si>
    <t>PA values</t>
  </si>
  <si>
    <t>BACKGROUND_PA_CONFIDENCE</t>
  </si>
  <si>
    <t>how confident we are in the PA survey (in terms of number of people who report zero PA)</t>
  </si>
  <si>
    <t>Scalar between 0 and 1</t>
  </si>
  <si>
    <t>set to 1 if confident in background PA values</t>
  </si>
  <si>
    <t>BACKGROUND_PA_SCALAR</t>
  </si>
  <si>
    <t>scalar for physical activity</t>
  </si>
  <si>
    <t>set to 1 if no bias expected</t>
  </si>
  <si>
    <t>CYCLING_MMET</t>
  </si>
  <si>
    <t>marginal MET value associated with cycling</t>
  </si>
  <si>
    <t>all_global_parameter_inputs tab / run_ithim_setup.R</t>
  </si>
  <si>
    <t>Global</t>
  </si>
  <si>
    <t>https://sites.google.com/site/compendiumofphysicalactivities/Activity-Categories/transportation?authuser=1</t>
  </si>
  <si>
    <t xml:space="preserve">Compendium of physical activity 01011 </t>
  </si>
  <si>
    <t>WALKING_MMET</t>
  </si>
  <si>
    <t>marginal MET value associated with walking</t>
  </si>
  <si>
    <t>https://sites.google.com/site/compendiumofphysicalactivities/Activity-Categories/transportation?authuser=2</t>
  </si>
  <si>
    <t>Compendium of physical activity 16060</t>
  </si>
  <si>
    <t>PASSENGER_MMET</t>
  </si>
  <si>
    <t>marginal MET value associated with being a passenger on public transport</t>
  </si>
  <si>
    <t>https://sites.google.com/site/compendiumofphysicalactivities/Activity-Categories/transportation?authuser=3</t>
  </si>
  <si>
    <t xml:space="preserve">Compendium of physical activity 16015-15016 </t>
  </si>
  <si>
    <t>CAR_DRIVER_MMET</t>
  </si>
  <si>
    <t>marginal MET value associated with being a car driver or passenger</t>
  </si>
  <si>
    <t>https://sites.google.com/site/compendiumofphysicalactivities/Activity-Categories/transportation?authuser=4</t>
  </si>
  <si>
    <t>Compendium of physical activity 16010</t>
  </si>
  <si>
    <t>MOTORCYCLIST_MMET</t>
  </si>
  <si>
    <t>marginal MET value associated with being a motorcyclist</t>
  </si>
  <si>
    <t>https://sites.google.com/site/compendiumofphysicalactivities/Activity-Categories/transportation?authuser=5</t>
  </si>
  <si>
    <t xml:space="preserve">Compendium of physical activity 16030 </t>
  </si>
  <si>
    <t>SEDENTARY_ACTIVITY_MMET</t>
  </si>
  <si>
    <t>marginal MET value associated with sedentary activity</t>
  </si>
  <si>
    <t>https://sites.google.com/site/compendiumofphysicalactivities/Activity-Categories/home-activity?authuser=0</t>
  </si>
  <si>
    <t xml:space="preserve">Compendium of physical activity 05080 </t>
  </si>
  <si>
    <t>LIGHT_ACTIVITY_MMET</t>
  </si>
  <si>
    <t>marginal MET value associated with light activity</t>
  </si>
  <si>
    <t>https://sites.google.com/site/compendiumofphysicalactivities/Activity-Categories/home-activity?authuser=1</t>
  </si>
  <si>
    <t>MODERATE_PA_MMET</t>
  </si>
  <si>
    <t>marginal MET value associated with moderate activity</t>
  </si>
  <si>
    <t>https://www.who.int/docs/default-source/ncds/ncd-surveillance/gpaq-analysis-guide.pdf</t>
  </si>
  <si>
    <t xml:space="preserve">GPAQ </t>
  </si>
  <si>
    <t>VIGOROUS_PA_MMET</t>
  </si>
  <si>
    <t>marginal MET value associated with vigorous activity</t>
  </si>
  <si>
    <t>MODERATE_PA_CONTRIBUTION</t>
  </si>
  <si>
    <t>To reverse  time spent in moderate and vigorous activities from mmet values</t>
  </si>
  <si>
    <t xml:space="preserve">scalar  </t>
  </si>
  <si>
    <t>We are assuming a 50:50 split between moderate and vigorous physical activity levels as our default</t>
  </si>
  <si>
    <t>guestimate</t>
  </si>
  <si>
    <t>Travel values</t>
  </si>
  <si>
    <t xml:space="preserve">BUS_WALK_TIME </t>
  </si>
  <si>
    <t>time taken to walk to bus stop, added to each trip with main mode bus unless there is already a walking component in the travel survey</t>
  </si>
  <si>
    <t>all_city_parameter_inputs tab / main script / run_ithim_setup.R</t>
  </si>
  <si>
    <t>RAIL_WALK_TIME</t>
  </si>
  <si>
    <t>time taken to walk to train station</t>
  </si>
  <si>
    <t xml:space="preserve">DAY_TO_WEEK_TRAVEL_SCALAR </t>
  </si>
  <si>
    <t>how daily travel scales to a week</t>
  </si>
  <si>
    <t>set to 7 as default assuming that travel survey data represents a an average day</t>
  </si>
  <si>
    <t>BUS_TO_PASSENGER_RATIO</t>
  </si>
  <si>
    <t>number of buses per passenger</t>
  </si>
  <si>
    <t>car_occupancy_ratio</t>
  </si>
  <si>
    <t>CAR_OCCUPANCY_RATIO</t>
  </si>
  <si>
    <t>ratio of cars to passengers (incl driver)</t>
  </si>
  <si>
    <t>TRUCK_TO_CAR_RATIO</t>
  </si>
  <si>
    <t>ratio of truck kilometers to car km travelled, used to add ghost trips that are not changed between the different scenarios</t>
  </si>
  <si>
    <t>DISTANCE_SCALAR_CAR_TAXI</t>
  </si>
  <si>
    <t>scalar for car/taxi distance, i.e. all car and taxi trips get scaled by this scalar</t>
  </si>
  <si>
    <t>set to 1 for default to indicate that no changes are to be made to travel survey distances</t>
  </si>
  <si>
    <t>DISTANCE_SCALAR_WALKING</t>
  </si>
  <si>
    <t>scalar for walking distance, i.e. all walking trips are scaled by this scalar</t>
  </si>
  <si>
    <t>DISTANCE_SCALAR_PT</t>
  </si>
  <si>
    <t>scalar for PT distance, i.e. all public transport journey (incl bus driver if added) are scaled by this scalar</t>
  </si>
  <si>
    <t>DISTANCE_SCALAR_CYCLING</t>
  </si>
  <si>
    <t>scalar for cycling distance, i.e. all cycling trips are scaled by this scalar</t>
  </si>
  <si>
    <t>DISTANCE_SCALAR_MOTORCYCLE</t>
  </si>
  <si>
    <t>scalar for motorcycle distance, i.e. all motorbike trips are scaled by this scalar</t>
  </si>
  <si>
    <t>ADD_TRUCK_DRIVERS</t>
  </si>
  <si>
    <t>whether to add truck drivers as ghost trips based on the TRUCK_TO_CAR_RATIO</t>
  </si>
  <si>
    <t>mode is important for injury and AP analysis and so should be added as default</t>
  </si>
  <si>
    <t>ADD_BUS_DRIVERS</t>
  </si>
  <si>
    <t>whether to add bus drivers, if set to T adds ghost trips, i.e. trips not taken by any participant, using the bus_to_passenger_ratio</t>
  </si>
  <si>
    <t>ADD_CAR_DRIVERS</t>
  </si>
  <si>
    <t>whether or not to add car drivers (or rather look at car numbers). Individual cars are calculated by multiplying total passenger car km by the car_occupancy_ratio</t>
  </si>
  <si>
    <t>mode is important for CO2 analysis and so should be added as default</t>
  </si>
  <si>
    <t>ADD_WALK_TO_PT_TRIPS</t>
  </si>
  <si>
    <t>whether to add walk component to trips with main mode bus</t>
  </si>
  <si>
    <t>logical</t>
  </si>
  <si>
    <t>set to T as it is important to add walk to public transport trips to accurately model all physical activity related to travelling</t>
  </si>
  <si>
    <t>ADD_PERSONAL_MOTORCYCLE_TRIPS</t>
  </si>
  <si>
    <t>if set to 'no', does not add any personal journey motorcycle trip. If set to 'Chile' add motorcycle trips based on Chilean data. Used if no motorcycle trips exist in the travel survey at all</t>
  </si>
  <si>
    <t>character</t>
  </si>
  <si>
    <t>no</t>
  </si>
  <si>
    <t>most travel surveys already include personal motorcycle trips and so the default value is 'no'</t>
  </si>
  <si>
    <t>PROPORTION_MOTORCYCLE_TRIPS</t>
  </si>
  <si>
    <t>proportion of travel survey trips that should be added as motorcycle trips</t>
  </si>
  <si>
    <t>as most travel surveys already include personal motorcycle trips, 0 % of trips need to be added as motorcycle trips</t>
  </si>
  <si>
    <t>ADD_MOTORCYCLE_FLEET</t>
  </si>
  <si>
    <t>whether to add motorcylce ghost trips</t>
  </si>
  <si>
    <t>important to add commercial motorcycle trips for injury analysis</t>
  </si>
  <si>
    <t>FLEET_TO_MOTORCYCLE_RATIO</t>
  </si>
  <si>
    <t xml:space="preserve">ratio of missing motorbike trips, e.g. if ratio = 0.6 and total trip distance in survey is 400, then want to add 600 km of motorbike trips. </t>
  </si>
  <si>
    <t>bus_driver_prop_male</t>
  </si>
  <si>
    <t>BUS_DRIVER_PROP_MALE</t>
  </si>
  <si>
    <t>proportion of bus drivers that are male</t>
  </si>
  <si>
    <t>scalar</t>
  </si>
  <si>
    <t xml:space="preserve">www.despacio.org/hacemos </t>
  </si>
  <si>
    <t>bus_driver_male_agerange</t>
  </si>
  <si>
    <t>BUS_DRIVER_MALE_AGERANGE</t>
  </si>
  <si>
    <t>age range of male bus drivers</t>
  </si>
  <si>
    <t>19, 65</t>
  </si>
  <si>
    <t>https://www.transmilenio.gov.co/publicaciones/146291/si-hay-empleo-para-ser-operadores-de-transmilenio/</t>
  </si>
  <si>
    <t>Transmilenio, 2019</t>
  </si>
  <si>
    <t>bus_driver_female_agerange</t>
  </si>
  <si>
    <t>BUS_DRIVER_FEMALE_AGERANGE</t>
  </si>
  <si>
    <t>age range of female bus drivers</t>
  </si>
  <si>
    <t>truck_driver_prop_male</t>
  </si>
  <si>
    <t>TRUCK_DRIVER_PROP_MALE</t>
  </si>
  <si>
    <t>proportion of male truck drivers</t>
  </si>
  <si>
    <t>Estimate based on the number of  male bus drivers</t>
  </si>
  <si>
    <t>truck_driver_male_agerange</t>
  </si>
  <si>
    <t>TRUCK_DRIVER_MALE_AGERANGE</t>
  </si>
  <si>
    <t>age range of male truck drivers</t>
  </si>
  <si>
    <t>18, 65</t>
  </si>
  <si>
    <t>Estimate as you can get your truck licence at the age of 18</t>
  </si>
  <si>
    <t>truck_driver_female_agerange</t>
  </si>
  <si>
    <t>TRUCK_DRIVER_FEMALE_AGERANGE</t>
  </si>
  <si>
    <t>age range of female truck drivers</t>
  </si>
  <si>
    <t>Estimate as you can get your truck licence at the age of 19</t>
  </si>
  <si>
    <t>commerical_mbike_prop_male</t>
  </si>
  <si>
    <t>COMMERICAL_MBIKE_PROP_MALE</t>
  </si>
  <si>
    <t>proportion of male commercial motorcycle drivers</t>
  </si>
  <si>
    <t>commerical_mbike_male_agerange</t>
  </si>
  <si>
    <t>COMMERICAL_MBIKE_MALE_AGERANGE</t>
  </si>
  <si>
    <t>age range of male commercial motorcycle drivers</t>
  </si>
  <si>
    <t>Rodríguez 2016</t>
  </si>
  <si>
    <t>commerical_mbike_female_agerange</t>
  </si>
  <si>
    <t>COMMERICAL_MBIKE_FEMALE_AGERANGE</t>
  </si>
  <si>
    <t>age range of female commercial motorcycle drivers</t>
  </si>
  <si>
    <t>Rodríguez 2017</t>
  </si>
  <si>
    <t>MINIMUM_PT_TIME</t>
  </si>
  <si>
    <t>minimum time spent on public transport when adding walking component to public transport trip</t>
  </si>
  <si>
    <t>Seems a reasonable estimate</t>
  </si>
  <si>
    <t>speeds bus</t>
  </si>
  <si>
    <t>- Speeds in km/h used for different vehicle categories
- It is used in "add_ghost_trips" to add new trips taken by no one.
- It is used to complete trip distance and duration (function "complete_trip_distance_duration").
- It us used to recompute distances when reassigning new trips for scenarios (function "create_cycle_scenarios", "create_max_mode_share_scenarios", "create_scenario")</t>
  </si>
  <si>
    <t>speeds bus_driver</t>
  </si>
  <si>
    <t>set to bus speeds</t>
  </si>
  <si>
    <t>speeds minibus</t>
  </si>
  <si>
    <t>speeds minibus_driver</t>
  </si>
  <si>
    <t>speeds car</t>
  </si>
  <si>
    <t>speeds car_driver</t>
  </si>
  <si>
    <t>set to car speeds</t>
  </si>
  <si>
    <t>speeds taxi</t>
  </si>
  <si>
    <t>speeds pedestrian</t>
  </si>
  <si>
    <t>speeds walk_to_pt</t>
  </si>
  <si>
    <t>set to pedestrian speed</t>
  </si>
  <si>
    <t>speeds cycle</t>
  </si>
  <si>
    <t>used Bogota values</t>
  </si>
  <si>
    <t>speeds motorcycle</t>
  </si>
  <si>
    <t>speeds truck</t>
  </si>
  <si>
    <t>speeds van</t>
  </si>
  <si>
    <t>speeds subway</t>
  </si>
  <si>
    <t>speeds rail</t>
  </si>
  <si>
    <t>speeds auto_rickshaw</t>
  </si>
  <si>
    <t>speeds in Delhi travel survey</t>
  </si>
  <si>
    <t>Set to Delhi value</t>
  </si>
  <si>
    <t>speeds shared_auto</t>
  </si>
  <si>
    <t>speeds shared_taxi</t>
  </si>
  <si>
    <t>speeds cylce_rickshaw</t>
  </si>
  <si>
    <t>set to auto_rickshaw</t>
  </si>
  <si>
    <t>speeds other</t>
  </si>
  <si>
    <t>Health values</t>
  </si>
  <si>
    <t>PA_DOSE_RESPONSE_QUANTILE</t>
  </si>
  <si>
    <t>whether or not to sample from dose response curves</t>
  </si>
  <si>
    <t>set to F as default to use 50th quartile, i.e. median of dose response curves</t>
  </si>
  <si>
    <t>AP_DOSE_RESPONSE_QUANTILE</t>
  </si>
  <si>
    <t>CHRONIC_DISEASE_SCALAR</t>
  </si>
  <si>
    <t>scalar for GBD data</t>
  </si>
  <si>
    <t>set to 1 as default as no bias in GBD data assumed</t>
  </si>
  <si>
    <t>Injury values</t>
  </si>
  <si>
    <t>INJURY_REPORTING_RATE</t>
  </si>
  <si>
    <t>rate at which injuries are reported</t>
  </si>
  <si>
    <t>set to 1 as default assuming all fatal injuries are reported</t>
  </si>
  <si>
    <t>SIN_EXPONENT_SUM</t>
  </si>
  <si>
    <t>linearity of injuries with respect to two modes. SIN_EXPONENT_SUM=2 means no safety in numbers</t>
  </si>
  <si>
    <t>Set to 2 as default, assuming no safety in number effect</t>
  </si>
  <si>
    <t>CASUALTY_EXPONENT_FRACTION</t>
  </si>
  <si>
    <t>fraction of SIN_EXPONENT_SUM attributed to casualy mode</t>
  </si>
  <si>
    <t>Set to 0.5 as default, assuming no safety in number effect</t>
  </si>
  <si>
    <t>SIN_EXPONENT_SUM_NOV</t>
  </si>
  <si>
    <t>same as global SIN_EXPONENT_SUM but only applies to NOV fatalities which means that this coefficient is only relevant for casualty mode and does not get split between cas and str modes.</t>
  </si>
  <si>
    <t>Set to 1 as default, assuming no safety in number effect</t>
  </si>
  <si>
    <t>SIN_EXPONENT_SUM_CYCLE</t>
  </si>
  <si>
    <t>same as global SIN_EXPONENT_SUM but only applies to cycle fatalities</t>
  </si>
  <si>
    <t>CASUALTY_EXPONENT_FRACTION_CYCLE</t>
  </si>
  <si>
    <t>same as global CASUALTY_EXPONENT_FRACTION but only applies to cycle fatalities</t>
  </si>
  <si>
    <t>SIN_EXPONENT_SUM_PED</t>
  </si>
  <si>
    <t>same as global SIN_EXPONENT_SUM but only applies to pedestrian fatalities</t>
  </si>
  <si>
    <t>CASUALTY_EXPONENT_FRACTION_PED</t>
  </si>
  <si>
    <t>same as global CASUALTY_EXPONENT_FRACTION but only applies to pedestrian fatalities</t>
  </si>
  <si>
    <t>SIN_EXPONENT_SUM_VEH</t>
  </si>
  <si>
    <t>same as global SIN_EXPONENT_SUM but only applies to vehicle fatalities</t>
  </si>
  <si>
    <t>CASUALTY_EXPONENT_FRACTION_VEH</t>
  </si>
  <si>
    <t>same as global CASUALTY_EXPONENT_FRACTION but only applies vehicle fatalities</t>
  </si>
  <si>
    <t>CALL_INDIVIDUAL_SIN</t>
  </si>
  <si>
    <t>flag as to whether to use the overall safety in number parameters or, if if set to TRUE, call the safety in number exponents for different victim modes</t>
  </si>
  <si>
    <t>set to F as default to use the same safety in number coefficients for all modes</t>
  </si>
  <si>
    <t>Scenario parameters</t>
  </si>
  <si>
    <t>SCENARIO_NAME</t>
  </si>
  <si>
    <t>sets the scenario to be run:
TEST_WALK_SCENARIO
MAX_MODE_SHARE_SCENARIO
LATAM
GLOBAL
AFRICA_INDIA
BOGOTA</t>
  </si>
  <si>
    <t xml:space="preserve">main script </t>
  </si>
  <si>
    <t>GLOBAL</t>
  </si>
  <si>
    <t>Set to GLOBAL as default as this can also be used for Bogota</t>
  </si>
  <si>
    <t>REFERENCE_SCENARIO</t>
  </si>
  <si>
    <t>which scenario the other scenarios get compared to, this needs to be a scenario that corresponds to the input data (PA, injuries, demographics, etc)</t>
  </si>
  <si>
    <t>main script / run_ithim_setup.R</t>
  </si>
  <si>
    <t>Character</t>
  </si>
  <si>
    <t>Baseline'</t>
  </si>
  <si>
    <t>Set to 'Baseline' as default as new scenarios are commonly compared with the status quo</t>
  </si>
  <si>
    <t>Miscellaneous</t>
  </si>
  <si>
    <t>COUNTRY</t>
  </si>
  <si>
    <t>country where city lies in</t>
  </si>
  <si>
    <t>all_city_parameter_inputs tab</t>
  </si>
  <si>
    <t>Bogota</t>
  </si>
  <si>
    <t>City</t>
  </si>
  <si>
    <t>Set to Bogota values</t>
  </si>
  <si>
    <t>CONTINENT</t>
  </si>
  <si>
    <t xml:space="preserve">DIST_CAT </t>
  </si>
  <si>
    <t>distance categories for trip lengths</t>
  </si>
  <si>
    <t>categorical</t>
  </si>
  <si>
    <t>c("0-2 km", "2-6 km", "6+ km")</t>
  </si>
  <si>
    <t>Set to have three distance categories: 0-2km, 2-6km and 6+km as default</t>
  </si>
  <si>
    <t>AGE_RANGE</t>
  </si>
  <si>
    <t>age range considered</t>
  </si>
  <si>
    <t>c(15,69)</t>
  </si>
  <si>
    <t>can include age ranges from 0 to 99 (limit of IHD and stroke dose response functions) but most dose response functions are only valid for over 15 year olds and generally only working age population is considered</t>
  </si>
  <si>
    <t>Further input data includes global and local input files which get read in directly from within the ITHIM-Global R package:</t>
  </si>
  <si>
    <t>Further information on the respective datasets is given in the case_cities_data.xlsx document on Dropbox:</t>
  </si>
  <si>
    <t>Methods and Processes – Dropbox</t>
  </si>
  <si>
    <t>Dose response data for AP:</t>
  </si>
  <si>
    <t xml:space="preserve">.../ithimr/extdata/global/dose_response/drap/ </t>
  </si>
  <si>
    <t>(here … stands for the path where R is installed on the computer)</t>
  </si>
  <si>
    <t>Local</t>
  </si>
  <si>
    <t>City specific trips</t>
  </si>
  <si>
    <t xml:space="preserve">.../ithimr/extdata/local//CITY//trips_CITY.csv </t>
  </si>
  <si>
    <t>where CITY is replaced with the corresponding city for which the model is run</t>
  </si>
  <si>
    <t>City specific burden of disease</t>
  </si>
  <si>
    <t xml:space="preserve">.../ithimr/extdata/local//CITY//gbd_CITY.csv </t>
  </si>
  <si>
    <t xml:space="preserve">City specific population </t>
  </si>
  <si>
    <t>.../ithimr/extdata/local//CITY//population_CITY.csv</t>
  </si>
  <si>
    <t>City specific physical activity</t>
  </si>
  <si>
    <t xml:space="preserve">.../ithimr/extdata/local//CITY//pa_CITY.csv </t>
  </si>
  <si>
    <t xml:space="preserve">City specific injury data </t>
  </si>
  <si>
    <t xml:space="preserve">.../ithimr/extdata/local//CITY//injuries_CITY.csv </t>
  </si>
  <si>
    <t xml:space="preserve">Sheet highlights from which cities the information for specific input parameters is to be read from. </t>
  </si>
  <si>
    <t>E.g. for all PM_emission_inventories, the information can be found in the same word document which was manually added to the PM_emissions_inventories Accra location. For all other cities, the location that was given for Accra is copied.</t>
  </si>
  <si>
    <t>Rows highlighted in yellow give the city from which input sources are to be read</t>
  </si>
  <si>
    <t>Lookup</t>
  </si>
  <si>
    <t>Row reference</t>
  </si>
  <si>
    <t>Lookup reference</t>
  </si>
  <si>
    <t>city2</t>
  </si>
  <si>
    <t>chronic_disease_scalar</t>
  </si>
  <si>
    <t>background_pa_scalar</t>
  </si>
  <si>
    <t>bus_to_passenger_ratio</t>
  </si>
  <si>
    <t>truck_to_car_ratio</t>
  </si>
  <si>
    <t>distance_scalar_car_taxi</t>
  </si>
  <si>
    <t>distance_scalar_motorcycle</t>
  </si>
  <si>
    <t>distance_scalar_pt</t>
  </si>
  <si>
    <t>distance_scalar_walking</t>
  </si>
  <si>
    <t>distance_scalar_cycling</t>
  </si>
  <si>
    <t>injury_reporting_rate</t>
  </si>
  <si>
    <t>bus_walk_time</t>
  </si>
  <si>
    <t>rail_walk_time</t>
  </si>
  <si>
    <t>add_motorcycle_fleet</t>
  </si>
  <si>
    <t>fleet_to_motorcycle_ratio</t>
  </si>
  <si>
    <t>add_personal_motorcycle_trips</t>
  </si>
  <si>
    <t>proportion_motorcycle_trips</t>
  </si>
  <si>
    <t>add_walk_to_pt_trips</t>
  </si>
  <si>
    <t>Lookup tables</t>
  </si>
  <si>
    <t>Parameter in all_city_parameter_inputs or all_global_parameter_inputs</t>
  </si>
  <si>
    <t>PM_emission_confidence</t>
  </si>
  <si>
    <t>CO2_emission_confidence</t>
  </si>
  <si>
    <t>PM_emission_inventory</t>
  </si>
  <si>
    <t>CO2_emission_inventory</t>
  </si>
  <si>
    <t>treat_taxi_as_car</t>
  </si>
  <si>
    <t>background_pa_confidence</t>
  </si>
  <si>
    <t>day_to_week_scalar</t>
  </si>
  <si>
    <t>reference_scenario</t>
  </si>
  <si>
    <t>scenario_name</t>
  </si>
  <si>
    <t>Explanation of how the safety in number coefficients were derived</t>
  </si>
  <si>
    <r>
      <rPr>
        <sz val="11"/>
        <color theme="1"/>
        <rFont val="Calibri"/>
        <family val="2"/>
        <charset val="1"/>
      </rPr>
      <t>Two sets of safety in number coefficients are defined for casualty and for strike mode distances (</t>
    </r>
    <r>
      <rPr>
        <i/>
        <sz val="11"/>
        <color theme="1"/>
        <rFont val="Calibri"/>
        <family val="2"/>
        <charset val="1"/>
      </rPr>
      <t>casExponent</t>
    </r>
    <r>
      <rPr>
        <sz val="11"/>
        <color theme="1"/>
        <rFont val="Calibri"/>
        <family val="2"/>
        <charset val="1"/>
      </rPr>
      <t xml:space="preserve"> and </t>
    </r>
    <r>
      <rPr>
        <i/>
        <sz val="11"/>
        <color theme="1"/>
        <rFont val="Calibri"/>
        <family val="2"/>
        <charset val="1"/>
      </rPr>
      <t>strExponent</t>
    </r>
    <r>
      <rPr>
        <sz val="11"/>
        <color theme="1"/>
        <rFont val="Calibri"/>
        <family val="2"/>
        <charset val="1"/>
      </rPr>
      <t xml:space="preserve">). The safety in number effect states that the proportionate number of crashes declines as the number of people using a specific mode increases (Elvik and Goel, 2019). There are two ways in which these two safety in number coefficients can be used. The user can decide that the safety in number coefficients are set to the same value for all modes by setting the logical  </t>
    </r>
    <r>
      <rPr>
        <i/>
        <sz val="11"/>
        <color theme="1"/>
        <rFont val="Calibri"/>
        <family val="2"/>
        <charset val="1"/>
      </rPr>
      <t>call_individual_sin</t>
    </r>
    <r>
      <rPr>
        <sz val="11"/>
        <color theme="1"/>
        <rFont val="Calibri"/>
        <family val="2"/>
        <charset val="1"/>
      </rPr>
      <t xml:space="preserve"> parameter to false or to set this parameter to true to call individual exponents for vehicles, cycles, pedestrians and NOV (no other vehicle) crashes. In order to make sampling easier when it comes to running the model in sampling mode, we do not use </t>
    </r>
    <r>
      <rPr>
        <i/>
        <sz val="11"/>
        <color theme="1"/>
        <rFont val="Calibri"/>
        <family val="2"/>
        <charset val="1"/>
      </rPr>
      <t>casExponent</t>
    </r>
    <r>
      <rPr>
        <sz val="11"/>
        <color theme="1"/>
        <rFont val="Calibri"/>
        <family val="2"/>
        <charset val="1"/>
      </rPr>
      <t xml:space="preserve"> or </t>
    </r>
    <r>
      <rPr>
        <i/>
        <sz val="11"/>
        <color theme="1"/>
        <rFont val="Calibri"/>
        <family val="2"/>
        <charset val="1"/>
      </rPr>
      <t xml:space="preserve">strExponent </t>
    </r>
    <r>
      <rPr>
        <sz val="11"/>
        <color theme="1"/>
        <rFont val="Calibri"/>
        <family val="2"/>
        <charset val="1"/>
      </rPr>
      <t xml:space="preserve">as input parameters directly. Rather we input the sum of the </t>
    </r>
    <r>
      <rPr>
        <i/>
        <sz val="11"/>
        <color theme="1"/>
        <rFont val="Calibri"/>
        <family val="2"/>
        <charset val="1"/>
      </rPr>
      <t>casExponent</t>
    </r>
    <r>
      <rPr>
        <sz val="11"/>
        <color theme="1"/>
        <rFont val="Calibri"/>
        <family val="2"/>
        <charset val="1"/>
      </rPr>
      <t xml:space="preserve"> and </t>
    </r>
    <r>
      <rPr>
        <i/>
        <sz val="11"/>
        <color theme="1"/>
        <rFont val="Calibri"/>
        <family val="2"/>
        <charset val="1"/>
      </rPr>
      <t xml:space="preserve">strExponent </t>
    </r>
    <r>
      <rPr>
        <sz val="11"/>
        <color theme="1"/>
        <rFont val="Calibri"/>
        <family val="2"/>
        <charset val="1"/>
      </rPr>
      <t xml:space="preserve"> as </t>
    </r>
    <r>
      <rPr>
        <i/>
        <sz val="11"/>
        <color theme="1"/>
        <rFont val="Calibri"/>
        <family val="2"/>
        <charset val="1"/>
      </rPr>
      <t>sin_exponent_sum</t>
    </r>
    <r>
      <rPr>
        <sz val="11"/>
        <color theme="1"/>
        <rFont val="Calibri"/>
        <family val="2"/>
        <charset val="1"/>
      </rPr>
      <t xml:space="preserve"> and then define a so called </t>
    </r>
    <r>
      <rPr>
        <i/>
        <sz val="11"/>
        <color theme="1"/>
        <rFont val="Calibri"/>
        <family val="2"/>
        <charset val="1"/>
      </rPr>
      <t>casualty_exponent_fraction</t>
    </r>
    <r>
      <rPr>
        <sz val="11"/>
        <color theme="1"/>
        <rFont val="Calibri"/>
        <family val="2"/>
        <charset val="1"/>
      </rPr>
      <t xml:space="preserve"> parameter which defines the fraction of the </t>
    </r>
    <r>
      <rPr>
        <i/>
        <sz val="11"/>
        <color theme="1"/>
        <rFont val="Calibri"/>
        <family val="2"/>
        <charset val="1"/>
      </rPr>
      <t>sin_exponent_sum</t>
    </r>
    <r>
      <rPr>
        <sz val="11"/>
        <color theme="1"/>
        <rFont val="Calibri"/>
        <family val="2"/>
        <charset val="1"/>
      </rPr>
      <t xml:space="preserve"> that belongs to the </t>
    </r>
    <r>
      <rPr>
        <i/>
        <sz val="11"/>
        <color theme="1"/>
        <rFont val="Calibri"/>
        <family val="2"/>
        <charset val="1"/>
      </rPr>
      <t>casExponent</t>
    </r>
    <r>
      <rPr>
        <sz val="11"/>
        <color theme="1"/>
        <rFont val="Calibri"/>
        <family val="2"/>
        <charset val="1"/>
      </rPr>
      <t xml:space="preserve"> parameter. The same set-up applies when we use individual exponents for different vehicle types. When the model is run for several cities, these exponents universally apply to all cites to allow comparison across cities. When </t>
    </r>
    <r>
      <rPr>
        <i/>
        <sz val="11"/>
        <color theme="1"/>
        <rFont val="Calibri"/>
        <family val="2"/>
        <charset val="1"/>
      </rPr>
      <t>call_individual_sin</t>
    </r>
    <r>
      <rPr>
        <sz val="11"/>
        <color theme="1"/>
        <rFont val="Calibri"/>
        <family val="2"/>
        <charset val="1"/>
      </rPr>
      <t xml:space="preserve"> parameter is set to false, then the entries for the mode specific </t>
    </r>
    <r>
      <rPr>
        <i/>
        <sz val="11"/>
        <color theme="1"/>
        <rFont val="Calibri"/>
        <family val="2"/>
        <charset val="1"/>
      </rPr>
      <t xml:space="preserve">sin_exponent_sum_xxx </t>
    </r>
    <r>
      <rPr>
        <sz val="11"/>
        <color theme="1"/>
        <rFont val="Calibri"/>
        <family val="2"/>
        <charset val="1"/>
      </rPr>
      <t xml:space="preserve">and </t>
    </r>
    <r>
      <rPr>
        <i/>
        <sz val="11"/>
        <color theme="1"/>
        <rFont val="Calibri"/>
        <family val="2"/>
        <charset val="1"/>
      </rPr>
      <t>casualty_exponent_fraction_xxx</t>
    </r>
    <r>
      <rPr>
        <sz val="11"/>
        <color theme="1"/>
        <rFont val="Calibri"/>
        <family val="2"/>
        <charset val="1"/>
      </rPr>
      <t xml:space="preserve"> can be left empty and vice versa.</t>
    </r>
  </si>
  <si>
    <r>
      <rPr>
        <sz val="11"/>
        <color theme="1"/>
        <rFont val="Calibri"/>
        <family val="2"/>
        <charset val="1"/>
      </rPr>
      <t xml:space="preserve">Table: </t>
    </r>
    <r>
      <rPr>
        <b/>
        <sz val="11"/>
        <color theme="1"/>
        <rFont val="Calibri"/>
        <family val="2"/>
        <charset val="1"/>
      </rPr>
      <t>Safety in number coefficients</t>
    </r>
    <r>
      <rPr>
        <sz val="11"/>
        <color theme="1"/>
        <rFont val="Calibri"/>
        <family val="2"/>
        <charset val="1"/>
      </rPr>
      <t xml:space="preserve"> used in Bogotá</t>
    </r>
  </si>
  <si>
    <t>Value used in model (for any city)</t>
  </si>
  <si>
    <t>Source</t>
  </si>
  <si>
    <r>
      <rPr>
        <sz val="11"/>
        <color theme="1"/>
        <rFont val="Calibri"/>
        <family val="2"/>
        <charset val="1"/>
      </rPr>
      <t>casExponent</t>
    </r>
    <r>
      <rPr>
        <sz val="8"/>
        <color theme="1"/>
        <rFont val="Calibri"/>
        <family val="2"/>
        <charset val="1"/>
      </rPr>
      <t> </t>
    </r>
    <r>
      <rPr>
        <sz val="8"/>
        <color theme="1"/>
        <rFont val="Times New Roman"/>
        <family val="1"/>
        <charset val="1"/>
      </rPr>
      <t> </t>
    </r>
  </si>
  <si>
    <t>Exponents used for all modes</t>
  </si>
  <si>
    <t>Reasonable estimate which seems to produce sensible results</t>
  </si>
  <si>
    <t>strExponent</t>
  </si>
  <si>
    <t>casExponent_ped</t>
  </si>
  <si>
    <t>Where the victim is a pedestrian</t>
  </si>
  <si>
    <t>Elvik and Goel, 2019</t>
  </si>
  <si>
    <t>strExponent_ped</t>
  </si>
  <si>
    <t>casExponent_cycle</t>
  </si>
  <si>
    <t>Where the victim is a cyclist</t>
  </si>
  <si>
    <t>strExponent_cycle</t>
  </si>
  <si>
    <t>casExponent_vehicle</t>
  </si>
  <si>
    <t>Where the victim is a vehicle user</t>
  </si>
  <si>
    <t>Elvik, 2009</t>
  </si>
  <si>
    <t>strExponent_vehicle</t>
  </si>
  <si>
    <t>casExponent_nov</t>
  </si>
  <si>
    <t>Where the strike mode is nov (no other vehicle</t>
  </si>
  <si>
    <r>
      <rPr>
        <sz val="11"/>
        <color rgb="FF000000"/>
        <rFont val="Calibri"/>
        <family val="2"/>
        <charset val="1"/>
      </rPr>
      <t xml:space="preserve">ELVIK, R., GOEL, R. 2019. Safety-in-numbers: An updated meta-analysis of estimates. </t>
    </r>
    <r>
      <rPr>
        <i/>
        <sz val="11"/>
        <color rgb="FF000000"/>
        <rFont val="Calibri"/>
        <family val="2"/>
        <charset val="1"/>
      </rPr>
      <t>Accident Analysis &amp; Prevention</t>
    </r>
    <r>
      <rPr>
        <sz val="11"/>
        <color rgb="FF000000"/>
        <rFont val="Calibri"/>
        <family val="2"/>
        <charset val="1"/>
      </rPr>
      <t>, 129, p.136-147</t>
    </r>
  </si>
  <si>
    <t>Rune Elvik, The non-linearity of risk and the promotion of environmentally sustainable transport, Accident Analysis &amp; Prevention, Volume 41, Issue 4, 2009</t>
  </si>
  <si>
    <t>westhub-workshop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</si>
</sst>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0.0000"/>
    <numFmt numFmtId="166" formatCode="0.00000"/>
  </numFmts>
  <fonts count="16" x14ac:knownFonts="1">
    <font>
      <sz val="11"/>
      <color theme="1"/>
      <name val="Calibri"/>
      <family val="2"/>
      <charset val="1"/>
    </font>
    <font>
      <b/>
      <sz val="11"/>
      <color theme="1"/>
      <name val="Calibri"/>
      <family val="2"/>
      <charset val="1"/>
    </font>
    <font>
      <sz val="11"/>
      <color rgb="FF1D1C1D"/>
      <name val="Calibri"/>
      <family val="2"/>
      <charset val="1"/>
    </font>
    <font>
      <sz val="11"/>
      <color theme="0" tint="-0.34998626667073579"/>
      <name val="Calibri"/>
      <family val="2"/>
      <charset val="1"/>
    </font>
    <font>
      <sz val="11"/>
      <name val="Calibri"/>
      <family val="2"/>
      <charset val="1"/>
    </font>
    <font>
      <u/>
      <sz val="11"/>
      <color theme="10"/>
      <name val="Calibri"/>
      <family val="2"/>
      <charset val="1"/>
    </font>
    <font>
      <sz val="11"/>
      <color rgb="FF000000"/>
      <name val="Calibri"/>
      <family val="2"/>
      <charset val="1"/>
    </font>
    <font>
      <b/>
      <sz val="11"/>
      <color theme="0" tint="-0.249977111117893"/>
      <name val="Calibri"/>
      <family val="2"/>
      <charset val="1"/>
    </font>
    <font>
      <sz val="11"/>
      <color theme="0" tint="-0.249977111117893"/>
      <name val="Calibri"/>
      <family val="2"/>
      <charset val="1"/>
    </font>
    <font>
      <i/>
      <sz val="11"/>
      <color theme="1"/>
      <name val="Calibri"/>
      <family val="2"/>
      <charset val="1"/>
    </font>
    <font>
      <sz val="11"/>
      <color rgb="FFFF0000"/>
      <name val="Calibri"/>
      <family val="2"/>
      <charset val="1"/>
    </font>
    <font>
      <sz val="8"/>
      <color theme="1"/>
      <name val="Calibri"/>
      <family val="2"/>
      <charset val="1"/>
    </font>
    <font>
      <sz val="8"/>
      <color theme="1"/>
      <name val="Times New Roman"/>
      <family val="1"/>
      <charset val="1"/>
    </font>
    <font>
      <i/>
      <sz val="11"/>
      <color rgb="FF000000"/>
      <name val="Calibri"/>
      <family val="2"/>
      <charset val="1"/>
    </font>
    <font>
      <sz val="10"/>
      <color theme="1"/>
      <name val="Times New Roman"/>
      <family val="1"/>
      <charset val="1"/>
    </font>
    <font>
      <sz val="11"/>
      <color theme="1"/>
      <name val="Calibri"/>
      <family val="2"/>
      <charset val="1"/>
    </font>
  </fonts>
  <fills count="7">
    <fill>
      <patternFill patternType="none"/>
    </fill>
    <fill>
      <patternFill patternType="gray125"/>
    </fill>
    <fill>
      <patternFill patternType="solid">
        <fgColor theme="4" tint="0.79989013336588644"/>
        <bgColor rgb="FFE2F0D9"/>
      </patternFill>
    </fill>
    <fill>
      <patternFill patternType="solid">
        <fgColor theme="9" tint="0.79989013336588644"/>
        <bgColor rgb="FFDAE3F3"/>
      </patternFill>
    </fill>
    <fill>
      <patternFill patternType="solid">
        <fgColor theme="7" tint="0.59987182226020086"/>
        <bgColor rgb="FFFFCC99"/>
      </patternFill>
    </fill>
    <fill>
      <patternFill patternType="solid">
        <fgColor theme="9" tint="0.59987182226020086"/>
        <bgColor rgb="FFE2F0D9"/>
      </patternFill>
    </fill>
    <fill>
      <patternFill patternType="solid">
        <fgColor rgb="FFFFFF00"/>
        <bgColor rgb="FFFFFF00"/>
      </patternFill>
    </fill>
  </fills>
  <borders count="5">
    <border>
      <left/>
      <right/>
      <top/>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style="medium">
        <color auto="1"/>
      </bottom>
      <diagonal/>
    </border>
    <border>
      <left/>
      <right style="medium">
        <color auto="1"/>
      </right>
      <top/>
      <bottom style="medium">
        <color auto="1"/>
      </bottom>
      <diagonal/>
    </border>
  </borders>
  <cellStyleXfs count="3">
    <xf numFmtId="0" fontId="0" fillId="0" borderId="0"/>
    <xf numFmtId="9" fontId="15" fillId="0" borderId="0" applyBorder="0" applyProtection="0"/>
    <xf numFmtId="0" fontId="5" fillId="0" borderId="0" applyBorder="0" applyProtection="0"/>
  </cellStyleXfs>
  <cellXfs count="76">
    <xf numFmtId="0" fontId="0" fillId="0" borderId="0" xfId="0"/>
    <xf numFmtId="0" fontId="0" fillId="0" borderId="1" xfId="0" applyBorder="1" applyAlignment="1">
      <alignment vertical="center" wrapTex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xf>
    <xf numFmtId="0" fontId="1" fillId="2" borderId="0" xfId="0" applyFont="1" applyFill="1" applyAlignment="1">
      <alignment vertical="center" wrapText="1"/>
    </xf>
    <xf numFmtId="0" fontId="1" fillId="3" borderId="0" xfId="0" applyFont="1" applyFill="1" applyAlignment="1">
      <alignment vertical="center" wrapText="1"/>
    </xf>
    <xf numFmtId="0" fontId="1" fillId="0" borderId="0" xfId="0" applyFont="1" applyAlignment="1">
      <alignment vertical="center" wrapText="1"/>
    </xf>
    <xf numFmtId="0" fontId="1" fillId="4" borderId="0" xfId="0" applyFont="1" applyFill="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164" fontId="0" fillId="0" borderId="0" xfId="0" applyNumberFormat="1"/>
    <xf numFmtId="0" fontId="1" fillId="0" borderId="0" xfId="0" applyFont="1"/>
    <xf numFmtId="0" fontId="0" fillId="0" borderId="0" xfId="0" applyAlignment="1">
      <alignment horizontal="right"/>
    </xf>
    <xf numFmtId="0" fontId="1" fillId="0" borderId="0" xfId="0" applyFont="1" applyAlignment="1">
      <alignment horizontal="right"/>
    </xf>
    <xf numFmtId="0" fontId="2" fillId="0" borderId="0" xfId="0" applyFont="1"/>
    <xf numFmtId="165" fontId="0" fillId="0" borderId="0" xfId="0" applyNumberFormat="1"/>
    <xf numFmtId="166" fontId="0" fillId="0" borderId="0" xfId="0" applyNumberFormat="1"/>
    <xf numFmtId="10" fontId="15" fillId="0" borderId="0" xfId="1" applyNumberFormat="1" applyBorder="1" applyProtection="1"/>
    <xf numFmtId="0" fontId="3" fillId="0" borderId="0" xfId="0" applyFont="1"/>
    <xf numFmtId="0" fontId="0" fillId="0" borderId="0" xfId="0" applyAlignment="1">
      <alignment horizontal="center"/>
    </xf>
    <xf numFmtId="0" fontId="4" fillId="0" borderId="0" xfId="0" applyFont="1"/>
    <xf numFmtId="0" fontId="0" fillId="5" borderId="0" xfId="0" applyFill="1"/>
    <xf numFmtId="0" fontId="0" fillId="3" borderId="0" xfId="0" applyFill="1"/>
    <xf numFmtId="0" fontId="1" fillId="0" borderId="0" xfId="0" applyFont="1" applyAlignment="1">
      <alignment horizontal="center"/>
    </xf>
    <xf numFmtId="0" fontId="0" fillId="2" borderId="0" xfId="0" applyFill="1"/>
    <xf numFmtId="0" fontId="0" fillId="2" borderId="0" xfId="0" applyFill="1" applyAlignment="1">
      <alignment horizontal="center"/>
    </xf>
    <xf numFmtId="0" fontId="0" fillId="6" borderId="0" xfId="0" applyFill="1"/>
    <xf numFmtId="0" fontId="0" fillId="2" borderId="0" xfId="0" applyFill="1" applyAlignment="1">
      <alignment wrapText="1"/>
    </xf>
    <xf numFmtId="0" fontId="5" fillId="5" borderId="0" xfId="2" applyFill="1" applyBorder="1" applyAlignment="1" applyProtection="1">
      <alignment vertical="center"/>
    </xf>
    <xf numFmtId="0" fontId="1" fillId="5" borderId="0" xfId="0" applyFont="1" applyFill="1"/>
    <xf numFmtId="0" fontId="4" fillId="2" borderId="0" xfId="0" applyFont="1" applyFill="1" applyAlignment="1">
      <alignment horizontal="center"/>
    </xf>
    <xf numFmtId="0" fontId="5" fillId="5" borderId="0" xfId="2" applyFill="1" applyBorder="1" applyProtection="1"/>
    <xf numFmtId="0" fontId="4" fillId="5" borderId="0" xfId="2" applyFont="1" applyFill="1" applyBorder="1" applyProtection="1"/>
    <xf numFmtId="0" fontId="1" fillId="3" borderId="0" xfId="0" applyFont="1" applyFill="1"/>
    <xf numFmtId="0" fontId="0" fillId="5" borderId="0" xfId="0" applyFill="1" applyAlignment="1">
      <alignment wrapText="1"/>
    </xf>
    <xf numFmtId="0" fontId="0" fillId="3" borderId="0" xfId="0" applyFill="1" applyAlignment="1">
      <alignment wrapText="1"/>
    </xf>
    <xf numFmtId="0" fontId="0" fillId="5" borderId="0" xfId="0" applyFill="1" applyAlignment="1">
      <alignment vertical="center"/>
    </xf>
    <xf numFmtId="0" fontId="6" fillId="0" borderId="0" xfId="0" applyFont="1"/>
    <xf numFmtId="0" fontId="1" fillId="6" borderId="0" xfId="0" applyFont="1" applyFill="1" applyAlignment="1">
      <alignment vertical="center"/>
    </xf>
    <xf numFmtId="0" fontId="0" fillId="0" borderId="0" xfId="0" applyAlignment="1">
      <alignment horizontal="left"/>
    </xf>
    <xf numFmtId="0" fontId="7" fillId="0" borderId="0" xfId="0" applyFont="1"/>
    <xf numFmtId="0" fontId="1" fillId="0" borderId="0" xfId="0" applyFont="1" applyAlignment="1">
      <alignment horizontal="left"/>
    </xf>
    <xf numFmtId="0" fontId="8" fillId="0" borderId="0" xfId="0" applyFont="1"/>
    <xf numFmtId="0" fontId="0" fillId="2" borderId="0" xfId="0" applyFill="1" applyAlignment="1">
      <alignment horizontal="left"/>
    </xf>
    <xf numFmtId="0" fontId="5" fillId="0" borderId="0" xfId="2" applyBorder="1" applyProtection="1"/>
    <xf numFmtId="0" fontId="0" fillId="3" borderId="0" xfId="0" applyFill="1" applyAlignment="1">
      <alignment horizontal="left"/>
    </xf>
    <xf numFmtId="0" fontId="1" fillId="6" borderId="0" xfId="0" applyFont="1" applyFill="1"/>
    <xf numFmtId="0" fontId="8"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xf>
    <xf numFmtId="0" fontId="5" fillId="3" borderId="0" xfId="2" applyFill="1" applyBorder="1" applyProtection="1"/>
    <xf numFmtId="0" fontId="0" fillId="3" borderId="0" xfId="0" applyFill="1" applyAlignment="1">
      <alignment vertical="top"/>
    </xf>
    <xf numFmtId="0" fontId="0" fillId="0" borderId="0" xfId="0" applyAlignment="1">
      <alignment horizontal="center" vertical="center"/>
    </xf>
    <xf numFmtId="0" fontId="5" fillId="3" borderId="0" xfId="2" applyFill="1" applyBorder="1" applyAlignment="1" applyProtection="1">
      <alignment vertical="center"/>
    </xf>
    <xf numFmtId="0" fontId="0" fillId="3" borderId="0" xfId="0" applyFill="1" applyAlignment="1">
      <alignment vertical="center" wrapText="1"/>
    </xf>
    <xf numFmtId="0" fontId="0" fillId="3" borderId="0" xfId="0" applyFill="1" applyAlignment="1">
      <alignment vertical="center"/>
    </xf>
    <xf numFmtId="0" fontId="1" fillId="0" borderId="0" xfId="0" applyFont="1" applyAlignment="1">
      <alignment wrapText="1"/>
    </xf>
    <xf numFmtId="0" fontId="4" fillId="0" borderId="0" xfId="0" applyFont="1" applyAlignment="1">
      <alignment vertical="center"/>
    </xf>
    <xf numFmtId="0" fontId="0" fillId="0" borderId="0" xfId="0" applyAlignment="1">
      <alignment horizontal="left" vertical="center" wrapText="1"/>
    </xf>
    <xf numFmtId="0" fontId="10" fillId="0" borderId="0" xfId="0" applyFont="1" applyAlignment="1">
      <alignment horizontal="left" vertical="center" wrapText="1"/>
    </xf>
    <xf numFmtId="0" fontId="1" fillId="0" borderId="1" xfId="0" applyFont="1" applyBorder="1" applyAlignment="1">
      <alignment vertical="center" wrapText="1"/>
    </xf>
    <xf numFmtId="0" fontId="1" fillId="0" borderId="2" xfId="0" applyFont="1"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0" fontId="12" fillId="0" borderId="0" xfId="0" applyFont="1" applyAlignment="1">
      <alignment vertical="center"/>
    </xf>
    <xf numFmtId="0" fontId="6" fillId="0" borderId="0" xfId="0" applyFont="1" applyAlignment="1">
      <alignment vertical="center"/>
    </xf>
    <xf numFmtId="0" fontId="4" fillId="0" borderId="0" xfId="2" applyFont="1" applyBorder="1" applyAlignment="1" applyProtection="1">
      <alignment vertical="center"/>
    </xf>
    <xf numFmtId="0" fontId="14" fillId="0" borderId="0" xfId="0" applyFont="1" applyAlignment="1">
      <alignment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5E0B4"/>
      <rgbColor rgb="FF660066"/>
      <rgbColor rgb="FFFF8080"/>
      <rgbColor rgb="FF0563C1"/>
      <rgbColor rgb="FFDAE3F3"/>
      <rgbColor rgb="FF000080"/>
      <rgbColor rgb="FFFF00FF"/>
      <rgbColor rgb="FFFFFF00"/>
      <rgbColor rgb="FF00FFFF"/>
      <rgbColor rgb="FF800080"/>
      <rgbColor rgb="FF800000"/>
      <rgbColor rgb="FF008080"/>
      <rgbColor rgb="FF0000FF"/>
      <rgbColor rgb="FF00CCFF"/>
      <rgbColor rgb="FFCCFFFF"/>
      <rgbColor rgb="FFE2F0D9"/>
      <rgbColor rgb="FFFFE6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s://data-explorer.oecd.org/vis?df%5Bds%5D=DisseminateFinalDMZ&amp;df%5Bid%5D=DSD_PAG%40DF_PAG&amp;df%5Bag%5D=OECD.ELS.SPD&amp;dq=.A.CRPLF22%2BFRPLF22%2BGPRR100%2BATRW%2BATRAEP%2BATRPPAE%2BNPRR100%2BGPW100%2BNPW100%2BFR%2BLE%2BER%2BOAWAR%2BELMEA%2BEYLME%2BEDIOP%2B" TargetMode="External"/><Relationship Id="rId3" Type="http://schemas.openxmlformats.org/officeDocument/2006/relationships/hyperlink" Target="https://edgar.jrc.ec.europa.eu/,%20obtained%20values%20based%20on%20private%20correspondence" TargetMode="External"/><Relationship Id="rId7" Type="http://schemas.openxmlformats.org/officeDocument/2006/relationships/hyperlink" Target="https://data-explorer.oecd.org/vis?df%5Bds%5D=DisseminateFinalDMZ&amp;df%5Bid%5D=DSD_PAG%40DF_PAG&amp;df%5Bag%5D=OECD.ELS.SPD&amp;dq=.A.CRPLF22%2BFRPLF22%2BGPRR100%2BATRW%2BATRAEP%2BATRPPAE%2BNPRR100%2BGPW100%2BNPW100%2BFR%2BLE%2BER%2BOAWAR%2BELMEA%2BEYLME%2BEDIOP%2B" TargetMode="External"/><Relationship Id="rId2" Type="http://schemas.openxmlformats.org/officeDocument/2006/relationships/hyperlink" Target="https://www.who.int/publications/i/item/9789241565684" TargetMode="External"/><Relationship Id="rId1" Type="http://schemas.openxmlformats.org/officeDocument/2006/relationships/hyperlink" Target="https://edgar.jrc.ec.europa.eu/,%20obtained%20values%20based%20on%20private%20correspondence" TargetMode="External"/><Relationship Id="rId6" Type="http://schemas.openxmlformats.org/officeDocument/2006/relationships/hyperlink" Target="https://www.transmilenio.gov.co/publicaciones/146291/si-hay-empleo-para-ser-operadores-de-transmilenio/" TargetMode="External"/><Relationship Id="rId5" Type="http://schemas.openxmlformats.org/officeDocument/2006/relationships/hyperlink" Target="https://www.transmilenio.gov.co/publicaciones/146291/si-hay-empleo-para-ser-operadores-de-transmilenio/" TargetMode="External"/><Relationship Id="rId4" Type="http://schemas.openxmlformats.org/officeDocument/2006/relationships/hyperlink" Target="https://www.despacio.org/wp-content/uploads/2020/03/mujeresbogotalascuentas20200303web.pdf,%20p.9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edgar.jrc.ec.europa.eu/,%20obtained%20values%20based%20on%20private%20correspondence" TargetMode="External"/><Relationship Id="rId13" Type="http://schemas.openxmlformats.org/officeDocument/2006/relationships/hyperlink" Target="https://edgar.jrc.ec.europa.eu/,%20obtained%20values%20based%20on%20private%20correspondence" TargetMode="External"/><Relationship Id="rId18" Type="http://schemas.openxmlformats.org/officeDocument/2006/relationships/hyperlink" Target="https://edgar.jrc.ec.europa.eu/,%20obtained%20values%20based%20on%20private%20correspondence" TargetMode="External"/><Relationship Id="rId26" Type="http://schemas.openxmlformats.org/officeDocument/2006/relationships/hyperlink" Target="https://scioteca.caf.com/bitstream/handle/123456789/754/CAF%20LIBRO%20motos%20digital.pdf?sequence=1&amp;isAllowed=y" TargetMode="External"/><Relationship Id="rId3" Type="http://schemas.openxmlformats.org/officeDocument/2006/relationships/hyperlink" Target="https://edgar.jrc.ec.europa.eu/,%20obtained%20values%20based%20on%20private%20correspondence" TargetMode="External"/><Relationship Id="rId21" Type="http://schemas.openxmlformats.org/officeDocument/2006/relationships/hyperlink" Target="https://scioteca.caf.com/bitstream/handle/123456789/754/CAF%20LIBRO%20motos%20digital.pdf?sequence=1&amp;isAllowed=y" TargetMode="External"/><Relationship Id="rId7" Type="http://schemas.openxmlformats.org/officeDocument/2006/relationships/hyperlink" Target="https://edgar.jrc.ec.europa.eu/,%20obtained%20values%20based%20on%20private%20correspondence" TargetMode="External"/><Relationship Id="rId12" Type="http://schemas.openxmlformats.org/officeDocument/2006/relationships/hyperlink" Target="https://edgar.jrc.ec.europa.eu/,%20obtained%20values%20based%20on%20private%20correspondence" TargetMode="External"/><Relationship Id="rId17" Type="http://schemas.openxmlformats.org/officeDocument/2006/relationships/hyperlink" Target="https://edgar.jrc.ec.europa.eu/,%20obtained%20values%20based%20on%20private%20correspondence" TargetMode="External"/><Relationship Id="rId25" Type="http://schemas.openxmlformats.org/officeDocument/2006/relationships/hyperlink" Target="https://scioteca.caf.com/bitstream/handle/123456789/754/CAF%20LIBRO%20motos%20digital.pdf?sequence=1&amp;isAllowed=y" TargetMode="External"/><Relationship Id="rId2" Type="http://schemas.openxmlformats.org/officeDocument/2006/relationships/hyperlink" Target="https://edgar.jrc.ec.europa.eu/,%20obtained%20values%20based%20on%20private%20correspondence" TargetMode="External"/><Relationship Id="rId16" Type="http://schemas.openxmlformats.org/officeDocument/2006/relationships/hyperlink" Target="https://edgar.jrc.ec.europa.eu/,%20obtained%20values%20based%20on%20private%20correspondence" TargetMode="External"/><Relationship Id="rId20" Type="http://schemas.openxmlformats.org/officeDocument/2006/relationships/hyperlink" Target="https://www.autofact.com.co/blog/mi-carro/actividades/carpooling-colombia" TargetMode="External"/><Relationship Id="rId1" Type="http://schemas.openxmlformats.org/officeDocument/2006/relationships/hyperlink" Target="https://www.who.int/publications/m/item/who-air-quality-database-2022" TargetMode="External"/><Relationship Id="rId6" Type="http://schemas.openxmlformats.org/officeDocument/2006/relationships/hyperlink" Target="https://edgar.jrc.ec.europa.eu/,%20obtained%20values%20based%20on%20private%20correspondence" TargetMode="External"/><Relationship Id="rId11" Type="http://schemas.openxmlformats.org/officeDocument/2006/relationships/hyperlink" Target="https://edgar.jrc.ec.europa.eu/,%20obtained%20values%20based%20on%20private%20correspondence" TargetMode="External"/><Relationship Id="rId24" Type="http://schemas.openxmlformats.org/officeDocument/2006/relationships/hyperlink" Target="https://www.transmilenio.gov.co/publicaciones/146291/si-hay-empleo-para-ser-operadores-de-transmilenio/" TargetMode="External"/><Relationship Id="rId5" Type="http://schemas.openxmlformats.org/officeDocument/2006/relationships/hyperlink" Target="https://edgar.jrc.ec.europa.eu/,%20obtained%20values%20based%20on%20private%20correspondence" TargetMode="External"/><Relationship Id="rId15" Type="http://schemas.openxmlformats.org/officeDocument/2006/relationships/hyperlink" Target="https://edgar.jrc.ec.europa.eu/,%20obtained%20values%20based%20on%20private%20correspondence" TargetMode="External"/><Relationship Id="rId23" Type="http://schemas.openxmlformats.org/officeDocument/2006/relationships/hyperlink" Target="https://www.transmilenio.gov.co/publicaciones/146291/si-hay-empleo-para-ser-operadores-de-transmilenio/" TargetMode="External"/><Relationship Id="rId10" Type="http://schemas.openxmlformats.org/officeDocument/2006/relationships/hyperlink" Target="https://edgar.jrc.ec.europa.eu/,%20obtained%20values%20based%20on%20private%20correspondence" TargetMode="External"/><Relationship Id="rId19" Type="http://schemas.openxmlformats.org/officeDocument/2006/relationships/hyperlink" Target="https://edgar.jrc.ec.europa.eu/,%20obtained%20values%20based%20on%20private%20correspondence" TargetMode="External"/><Relationship Id="rId4" Type="http://schemas.openxmlformats.org/officeDocument/2006/relationships/hyperlink" Target="https://edgar.jrc.ec.europa.eu/,%20obtained%20values%20based%20on%20private%20correspondence" TargetMode="External"/><Relationship Id="rId9" Type="http://schemas.openxmlformats.org/officeDocument/2006/relationships/hyperlink" Target="https://edgar.jrc.ec.europa.eu/,%20obtained%20values%20based%20on%20private%20correspondence" TargetMode="External"/><Relationship Id="rId14" Type="http://schemas.openxmlformats.org/officeDocument/2006/relationships/hyperlink" Target="https://edgar.jrc.ec.europa.eu/,%20obtained%20values%20based%20on%20private%20correspondence" TargetMode="External"/><Relationship Id="rId22" Type="http://schemas.openxmlformats.org/officeDocument/2006/relationships/hyperlink" Target="http://www.despacio.org/hacemos" TargetMode="External"/><Relationship Id="rId27" Type="http://schemas.openxmlformats.org/officeDocument/2006/relationships/hyperlink" Target="https://scioteca.caf.com/bitstream/handle/123456789/754/CAF%20LIBRO%20motos%20digital.pdf?sequence=1&amp;isAllowed=y"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dropbox.com/home/ITHIM%20Global/Methods%20and%20Process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B3:E71"/>
  <sheetViews>
    <sheetView topLeftCell="A19" zoomScaleNormal="100" workbookViewId="0">
      <selection activeCell="A38" sqref="A38"/>
    </sheetView>
  </sheetViews>
  <sheetFormatPr defaultColWidth="8.5703125" defaultRowHeight="15" x14ac:dyDescent="0.25"/>
  <cols>
    <col min="2" max="2" width="35.5703125" style="7" customWidth="1"/>
    <col min="3" max="3" width="66.140625" style="7" customWidth="1"/>
    <col min="5" max="5" width="10.5703125" customWidth="1"/>
  </cols>
  <sheetData>
    <row r="3" spans="2:3" x14ac:dyDescent="0.25">
      <c r="B3" s="8" t="s">
        <v>0</v>
      </c>
    </row>
    <row r="5" spans="2:3" x14ac:dyDescent="0.25">
      <c r="B5" s="9" t="s">
        <v>1</v>
      </c>
      <c r="C5" s="7" t="s">
        <v>2</v>
      </c>
    </row>
    <row r="6" spans="2:3" x14ac:dyDescent="0.25">
      <c r="B6" s="10" t="s">
        <v>3</v>
      </c>
      <c r="C6" s="7" t="s">
        <v>4</v>
      </c>
    </row>
    <row r="10" spans="2:3" x14ac:dyDescent="0.25">
      <c r="B10" s="11" t="s">
        <v>5</v>
      </c>
      <c r="C10" s="11" t="s">
        <v>6</v>
      </c>
    </row>
    <row r="11" spans="2:3" ht="30" x14ac:dyDescent="0.25">
      <c r="B11" s="7" t="s">
        <v>7</v>
      </c>
      <c r="C11" s="7" t="s">
        <v>8</v>
      </c>
    </row>
    <row r="12" spans="2:3" ht="141" customHeight="1" x14ac:dyDescent="0.25">
      <c r="B12" s="7" t="s">
        <v>9</v>
      </c>
      <c r="C12" s="7" t="s">
        <v>10</v>
      </c>
    </row>
    <row r="13" spans="2:3" ht="17.25" customHeight="1" x14ac:dyDescent="0.25">
      <c r="B13" s="7" t="s">
        <v>11</v>
      </c>
      <c r="C13" s="7" t="s">
        <v>12</v>
      </c>
    </row>
    <row r="14" spans="2:3" ht="60" x14ac:dyDescent="0.25">
      <c r="B14" s="7" t="s">
        <v>13</v>
      </c>
      <c r="C14" s="7" t="s">
        <v>14</v>
      </c>
    </row>
    <row r="15" spans="2:3" ht="30" x14ac:dyDescent="0.25">
      <c r="B15" s="7" t="s">
        <v>15</v>
      </c>
      <c r="C15" s="7" t="s">
        <v>16</v>
      </c>
    </row>
    <row r="16" spans="2:3" ht="30" x14ac:dyDescent="0.25">
      <c r="B16" s="7" t="s">
        <v>17</v>
      </c>
      <c r="C16" s="7" t="s">
        <v>18</v>
      </c>
    </row>
    <row r="17" spans="2:5" ht="30" x14ac:dyDescent="0.25">
      <c r="B17" s="7" t="s">
        <v>19</v>
      </c>
      <c r="C17" s="7" t="s">
        <v>20</v>
      </c>
    </row>
    <row r="18" spans="2:5" x14ac:dyDescent="0.25">
      <c r="B18" s="7" t="s">
        <v>21</v>
      </c>
      <c r="C18" s="7" t="s">
        <v>22</v>
      </c>
    </row>
    <row r="19" spans="2:5" x14ac:dyDescent="0.25">
      <c r="B19" s="7" t="s">
        <v>23</v>
      </c>
      <c r="C19" s="7" t="s">
        <v>24</v>
      </c>
    </row>
    <row r="23" spans="2:5" x14ac:dyDescent="0.25">
      <c r="B23" s="12" t="s">
        <v>25</v>
      </c>
      <c r="C23" s="13"/>
      <c r="D23" s="14"/>
      <c r="E23" s="14"/>
    </row>
    <row r="24" spans="2:5" x14ac:dyDescent="0.25">
      <c r="B24" s="15" t="s">
        <v>26</v>
      </c>
      <c r="C24" s="15" t="s">
        <v>27</v>
      </c>
      <c r="D24" s="16" t="s">
        <v>28</v>
      </c>
      <c r="E24" s="16" t="s">
        <v>29</v>
      </c>
    </row>
    <row r="25" spans="2:5" x14ac:dyDescent="0.25">
      <c r="B25" s="13" t="s">
        <v>30</v>
      </c>
      <c r="C25" s="13" t="s">
        <v>31</v>
      </c>
      <c r="D25" s="14" t="s">
        <v>32</v>
      </c>
      <c r="E25" s="17">
        <v>45175</v>
      </c>
    </row>
    <row r="26" spans="2:5" ht="30" x14ac:dyDescent="0.25">
      <c r="B26" s="13" t="s">
        <v>33</v>
      </c>
      <c r="C26" s="13" t="s">
        <v>34</v>
      </c>
      <c r="D26" s="14" t="s">
        <v>32</v>
      </c>
      <c r="E26" s="17">
        <v>45272</v>
      </c>
    </row>
    <row r="27" spans="2:5" ht="87" customHeight="1" x14ac:dyDescent="0.25">
      <c r="B27" s="13" t="s">
        <v>35</v>
      </c>
      <c r="C27" s="13" t="s">
        <v>36</v>
      </c>
      <c r="D27" s="14" t="s">
        <v>37</v>
      </c>
      <c r="E27" s="17" t="s">
        <v>38</v>
      </c>
    </row>
    <row r="28" spans="2:5" ht="45" x14ac:dyDescent="0.25">
      <c r="B28" s="13" t="s">
        <v>39</v>
      </c>
      <c r="C28" s="13" t="s">
        <v>40</v>
      </c>
      <c r="D28" s="14" t="s">
        <v>41</v>
      </c>
      <c r="E28" s="17">
        <v>45455</v>
      </c>
    </row>
    <row r="29" spans="2:5" ht="60" x14ac:dyDescent="0.25">
      <c r="B29" s="13" t="s">
        <v>42</v>
      </c>
      <c r="C29" s="13" t="s">
        <v>43</v>
      </c>
      <c r="D29" s="14" t="s">
        <v>32</v>
      </c>
      <c r="E29" s="17">
        <v>45484</v>
      </c>
    </row>
    <row r="30" spans="2:5" ht="30" x14ac:dyDescent="0.25">
      <c r="B30" s="13" t="s">
        <v>44</v>
      </c>
      <c r="C30" s="13" t="s">
        <v>45</v>
      </c>
      <c r="D30" s="14" t="s">
        <v>41</v>
      </c>
      <c r="E30" s="17">
        <v>45488</v>
      </c>
    </row>
    <row r="31" spans="2:5" x14ac:dyDescent="0.25">
      <c r="B31" s="13" t="s">
        <v>46</v>
      </c>
      <c r="C31" s="13" t="s">
        <v>47</v>
      </c>
      <c r="D31" s="14" t="s">
        <v>41</v>
      </c>
      <c r="E31" s="17">
        <v>45489</v>
      </c>
    </row>
    <row r="32" spans="2:5" ht="30" x14ac:dyDescent="0.25">
      <c r="B32" s="13" t="s">
        <v>48</v>
      </c>
      <c r="C32" s="13" t="s">
        <v>49</v>
      </c>
      <c r="D32" s="14" t="s">
        <v>32</v>
      </c>
      <c r="E32" s="17">
        <v>45491</v>
      </c>
    </row>
    <row r="33" spans="2:5" x14ac:dyDescent="0.25">
      <c r="B33" s="13" t="s">
        <v>50</v>
      </c>
      <c r="C33" s="13" t="s">
        <v>51</v>
      </c>
      <c r="D33" s="14" t="s">
        <v>41</v>
      </c>
      <c r="E33" s="17">
        <v>45495</v>
      </c>
    </row>
    <row r="34" spans="2:5" x14ac:dyDescent="0.25">
      <c r="B34" s="13" t="s">
        <v>52</v>
      </c>
      <c r="C34" s="13" t="s">
        <v>53</v>
      </c>
      <c r="D34" s="14" t="s">
        <v>32</v>
      </c>
      <c r="E34" s="17">
        <v>45496</v>
      </c>
    </row>
    <row r="35" spans="2:5" x14ac:dyDescent="0.25">
      <c r="B35" s="13" t="s">
        <v>54</v>
      </c>
      <c r="C35" s="13" t="s">
        <v>55</v>
      </c>
      <c r="D35" s="14" t="s">
        <v>32</v>
      </c>
      <c r="E35" s="17">
        <v>45496</v>
      </c>
    </row>
    <row r="36" spans="2:5" x14ac:dyDescent="0.25">
      <c r="B36" s="7" t="s">
        <v>56</v>
      </c>
      <c r="C36" s="7" t="s">
        <v>57</v>
      </c>
      <c r="D36" s="14" t="s">
        <v>32</v>
      </c>
      <c r="E36" s="18">
        <v>45531</v>
      </c>
    </row>
    <row r="37" spans="2:5" x14ac:dyDescent="0.25">
      <c r="B37" s="7" t="s">
        <v>58</v>
      </c>
      <c r="C37" s="7" t="s">
        <v>59</v>
      </c>
      <c r="D37" s="14" t="s">
        <v>32</v>
      </c>
      <c r="E37" s="18">
        <v>45539</v>
      </c>
    </row>
    <row r="38" spans="2:5" ht="30" x14ac:dyDescent="0.25">
      <c r="B38" s="7" t="s">
        <v>60</v>
      </c>
      <c r="C38" s="7" t="s">
        <v>61</v>
      </c>
      <c r="D38" s="14" t="s">
        <v>41</v>
      </c>
      <c r="E38" s="18" t="s">
        <v>62</v>
      </c>
    </row>
    <row r="39" spans="2:5" x14ac:dyDescent="0.25">
      <c r="D39" s="14"/>
      <c r="E39" s="18"/>
    </row>
    <row r="40" spans="2:5" x14ac:dyDescent="0.25">
      <c r="D40" s="14"/>
      <c r="E40" s="18"/>
    </row>
    <row r="41" spans="2:5" x14ac:dyDescent="0.25">
      <c r="D41" s="14"/>
      <c r="E41" s="18"/>
    </row>
    <row r="42" spans="2:5" x14ac:dyDescent="0.25">
      <c r="D42" s="14"/>
      <c r="E42" s="18"/>
    </row>
    <row r="43" spans="2:5" x14ac:dyDescent="0.25">
      <c r="D43" s="14"/>
      <c r="E43" s="18"/>
    </row>
    <row r="44" spans="2:5" x14ac:dyDescent="0.25">
      <c r="D44" s="14"/>
      <c r="E44" s="18"/>
    </row>
    <row r="45" spans="2:5" x14ac:dyDescent="0.25">
      <c r="E45" s="18"/>
    </row>
    <row r="46" spans="2:5" x14ac:dyDescent="0.25">
      <c r="D46" s="14"/>
      <c r="E46" s="18"/>
    </row>
    <row r="47" spans="2:5" x14ac:dyDescent="0.25">
      <c r="D47" s="14"/>
      <c r="E47" s="18"/>
    </row>
    <row r="48" spans="2:5" x14ac:dyDescent="0.25">
      <c r="D48" s="14"/>
      <c r="E48" s="18"/>
    </row>
    <row r="49" spans="4:5" x14ac:dyDescent="0.25">
      <c r="D49" s="14"/>
      <c r="E49" s="18"/>
    </row>
    <row r="50" spans="4:5" x14ac:dyDescent="0.25">
      <c r="D50" s="14"/>
      <c r="E50" s="18"/>
    </row>
    <row r="51" spans="4:5" x14ac:dyDescent="0.25">
      <c r="D51" s="14"/>
      <c r="E51" s="18"/>
    </row>
    <row r="52" spans="4:5" x14ac:dyDescent="0.25">
      <c r="D52" s="14"/>
      <c r="E52" s="18"/>
    </row>
    <row r="53" spans="4:5" x14ac:dyDescent="0.25">
      <c r="D53" s="14"/>
      <c r="E53" s="18"/>
    </row>
    <row r="54" spans="4:5" x14ac:dyDescent="0.25">
      <c r="D54" s="14"/>
      <c r="E54" s="18"/>
    </row>
    <row r="55" spans="4:5" x14ac:dyDescent="0.25">
      <c r="D55" s="14"/>
      <c r="E55" s="18"/>
    </row>
    <row r="56" spans="4:5" x14ac:dyDescent="0.25">
      <c r="D56" s="14"/>
      <c r="E56" s="18"/>
    </row>
    <row r="57" spans="4:5" x14ac:dyDescent="0.25">
      <c r="D57" s="14"/>
      <c r="E57" s="18"/>
    </row>
    <row r="58" spans="4:5" x14ac:dyDescent="0.25">
      <c r="D58" s="14"/>
      <c r="E58" s="18"/>
    </row>
    <row r="59" spans="4:5" x14ac:dyDescent="0.25">
      <c r="D59" s="14"/>
      <c r="E59" s="18"/>
    </row>
    <row r="60" spans="4:5" x14ac:dyDescent="0.25">
      <c r="D60" s="14"/>
      <c r="E60" s="18"/>
    </row>
    <row r="61" spans="4:5" x14ac:dyDescent="0.25">
      <c r="D61" s="14"/>
      <c r="E61" s="18"/>
    </row>
    <row r="62" spans="4:5" x14ac:dyDescent="0.25">
      <c r="D62" s="14"/>
      <c r="E62" s="18"/>
    </row>
    <row r="63" spans="4:5" x14ac:dyDescent="0.25">
      <c r="D63" s="14"/>
      <c r="E63" s="18"/>
    </row>
    <row r="64" spans="4:5" x14ac:dyDescent="0.25">
      <c r="D64" s="14"/>
      <c r="E64" s="18"/>
    </row>
    <row r="65" spans="4:5" x14ac:dyDescent="0.25">
      <c r="D65" s="14"/>
      <c r="E65" s="18"/>
    </row>
    <row r="66" spans="4:5" x14ac:dyDescent="0.25">
      <c r="D66" s="14"/>
      <c r="E66" s="18"/>
    </row>
    <row r="67" spans="4:5" x14ac:dyDescent="0.25">
      <c r="D67" s="14"/>
      <c r="E67" s="18"/>
    </row>
    <row r="68" spans="4:5" x14ac:dyDescent="0.25">
      <c r="D68" s="14"/>
      <c r="E68" s="18"/>
    </row>
    <row r="69" spans="4:5" x14ac:dyDescent="0.25">
      <c r="D69" s="14"/>
      <c r="E69" s="18"/>
    </row>
    <row r="70" spans="4:5" x14ac:dyDescent="0.25">
      <c r="D70" s="14"/>
      <c r="E70" s="18"/>
    </row>
    <row r="71" spans="4:5" x14ac:dyDescent="0.25">
      <c r="D71" s="14"/>
      <c r="E71" s="18"/>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9"/>
  <sheetViews>
    <sheetView tabSelected="1" zoomScaleNormal="100" workbookViewId="0">
      <pane ySplit="1" topLeftCell="A2" activePane="bottomLeft" state="frozen"/>
      <selection pane="bottomLeft" activeCell="F9" sqref="F9"/>
    </sheetView>
  </sheetViews>
  <sheetFormatPr defaultColWidth="8.5703125" defaultRowHeight="15" x14ac:dyDescent="0.25"/>
  <cols>
    <col min="1" max="1" width="29.140625" style="19" customWidth="1"/>
    <col min="2" max="2" width="13.5703125" customWidth="1"/>
    <col min="3" max="3" width="14.42578125" style="20" customWidth="1"/>
    <col min="4" max="4" width="19.7109375" style="20" customWidth="1"/>
  </cols>
  <sheetData>
    <row r="1" spans="1:4" s="19" customFormat="1" x14ac:dyDescent="0.25">
      <c r="A1" s="19" t="s">
        <v>63</v>
      </c>
      <c r="B1" s="19" t="s">
        <v>64</v>
      </c>
      <c r="C1" s="21" t="s">
        <v>65</v>
      </c>
      <c r="D1" s="21" t="s">
        <v>597</v>
      </c>
    </row>
    <row r="2" spans="1:4" s="19" customFormat="1" x14ac:dyDescent="0.25">
      <c r="A2" s="19" t="s">
        <v>66</v>
      </c>
      <c r="B2" s="19" t="s">
        <v>67</v>
      </c>
      <c r="C2" s="20">
        <v>4</v>
      </c>
      <c r="D2" s="20">
        <v>4</v>
      </c>
    </row>
    <row r="3" spans="1:4" s="19" customFormat="1" x14ac:dyDescent="0.25">
      <c r="B3" s="19" t="s">
        <v>68</v>
      </c>
      <c r="C3" s="20">
        <v>8.1</v>
      </c>
      <c r="D3" s="20">
        <v>8.1</v>
      </c>
    </row>
    <row r="4" spans="1:4" s="19" customFormat="1" x14ac:dyDescent="0.25">
      <c r="B4" s="19" t="s">
        <v>69</v>
      </c>
      <c r="C4" s="20">
        <v>13.8</v>
      </c>
      <c r="D4" s="20">
        <v>13.8</v>
      </c>
    </row>
    <row r="5" spans="1:4" s="19" customFormat="1" x14ac:dyDescent="0.25">
      <c r="B5" s="19" t="s">
        <v>70</v>
      </c>
      <c r="C5" s="20">
        <v>7.2</v>
      </c>
      <c r="D5" s="20">
        <v>7.2</v>
      </c>
    </row>
    <row r="6" spans="1:4" s="19" customFormat="1" x14ac:dyDescent="0.25">
      <c r="B6" s="19" t="s">
        <v>71</v>
      </c>
      <c r="C6" s="20">
        <v>18.100000000000001</v>
      </c>
      <c r="D6" s="20">
        <v>18.100000000000001</v>
      </c>
    </row>
    <row r="7" spans="1:4" s="19" customFormat="1" x14ac:dyDescent="0.25">
      <c r="B7" s="19" t="s">
        <v>72</v>
      </c>
      <c r="C7" s="20">
        <v>15.2</v>
      </c>
      <c r="D7" s="20">
        <v>15.2</v>
      </c>
    </row>
    <row r="8" spans="1:4" s="19" customFormat="1" x14ac:dyDescent="0.25">
      <c r="B8" s="19" t="s">
        <v>73</v>
      </c>
      <c r="C8" s="20">
        <v>9.1</v>
      </c>
      <c r="D8" s="20">
        <v>9.1</v>
      </c>
    </row>
    <row r="9" spans="1:4" s="19" customFormat="1" x14ac:dyDescent="0.25">
      <c r="B9" s="19" t="s">
        <v>74</v>
      </c>
      <c r="C9" s="20">
        <v>2.5</v>
      </c>
      <c r="D9" s="20">
        <v>2.5</v>
      </c>
    </row>
    <row r="10" spans="1:4" s="19" customFormat="1" x14ac:dyDescent="0.25">
      <c r="B10" s="19" t="s">
        <v>75</v>
      </c>
      <c r="C10" s="20">
        <v>21.9</v>
      </c>
      <c r="D10" s="20">
        <v>21.9</v>
      </c>
    </row>
    <row r="11" spans="1:4" s="19" customFormat="1" x14ac:dyDescent="0.25">
      <c r="B11" s="19" t="s">
        <v>76</v>
      </c>
      <c r="C11" s="20">
        <v>12.56</v>
      </c>
      <c r="D11" s="20">
        <v>12.56</v>
      </c>
    </row>
    <row r="12" spans="1:4" x14ac:dyDescent="0.25">
      <c r="B12" t="s">
        <v>77</v>
      </c>
      <c r="C12" s="20">
        <v>8.1</v>
      </c>
      <c r="D12" s="20">
        <v>8.1</v>
      </c>
    </row>
    <row r="13" spans="1:4" x14ac:dyDescent="0.25">
      <c r="B13" t="s">
        <v>78</v>
      </c>
      <c r="C13" s="20">
        <v>13.8</v>
      </c>
      <c r="D13" s="20">
        <v>13.8</v>
      </c>
    </row>
    <row r="14" spans="1:4" x14ac:dyDescent="0.25">
      <c r="A14" s="19" t="s">
        <v>79</v>
      </c>
      <c r="B14" t="s">
        <v>72</v>
      </c>
      <c r="C14" s="20">
        <v>2.3031654375338202E-3</v>
      </c>
      <c r="D14" s="20">
        <v>2.3031654375338202E-3</v>
      </c>
    </row>
    <row r="15" spans="1:4" x14ac:dyDescent="0.25">
      <c r="B15" t="s">
        <v>69</v>
      </c>
      <c r="C15" s="20">
        <v>8.1980352806225801E-2</v>
      </c>
      <c r="D15" s="20">
        <v>8.1980352806225801E-2</v>
      </c>
    </row>
    <row r="16" spans="1:4" x14ac:dyDescent="0.25">
      <c r="B16" t="s">
        <v>80</v>
      </c>
      <c r="C16" s="20">
        <v>0.12246677425253299</v>
      </c>
      <c r="D16" s="20">
        <v>0.12246677425253299</v>
      </c>
    </row>
    <row r="17" spans="1:5" x14ac:dyDescent="0.25">
      <c r="B17" t="s">
        <v>81</v>
      </c>
      <c r="C17" s="20">
        <v>0.45445403783708499</v>
      </c>
      <c r="D17" s="20">
        <v>0.45445403783708499</v>
      </c>
    </row>
    <row r="18" spans="1:5" x14ac:dyDescent="0.25">
      <c r="B18" t="s">
        <v>77</v>
      </c>
      <c r="C18" s="20">
        <v>0.338795669666623</v>
      </c>
      <c r="D18" s="20">
        <v>0.338795669666623</v>
      </c>
    </row>
    <row r="19" spans="1:5" x14ac:dyDescent="0.25">
      <c r="B19" t="s">
        <v>78</v>
      </c>
      <c r="C19" s="20">
        <v>0</v>
      </c>
      <c r="D19" s="20">
        <v>0</v>
      </c>
    </row>
    <row r="20" spans="1:5" x14ac:dyDescent="0.25">
      <c r="B20" t="s">
        <v>73</v>
      </c>
      <c r="C20" s="20">
        <v>0</v>
      </c>
      <c r="D20" s="20">
        <v>0</v>
      </c>
    </row>
    <row r="21" spans="1:5" x14ac:dyDescent="0.25">
      <c r="B21" t="s">
        <v>76</v>
      </c>
      <c r="C21" s="20">
        <v>0</v>
      </c>
      <c r="D21" s="20">
        <v>0</v>
      </c>
    </row>
    <row r="22" spans="1:5" x14ac:dyDescent="0.25">
      <c r="B22" t="s">
        <v>67</v>
      </c>
      <c r="C22" s="20">
        <v>0</v>
      </c>
      <c r="D22" s="20">
        <v>0</v>
      </c>
    </row>
    <row r="23" spans="1:5" x14ac:dyDescent="0.25">
      <c r="A23" s="19" t="s">
        <v>82</v>
      </c>
      <c r="B23" t="s">
        <v>83</v>
      </c>
      <c r="C23" s="22">
        <v>12.69</v>
      </c>
      <c r="D23" s="22">
        <v>12.69</v>
      </c>
    </row>
    <row r="24" spans="1:5" x14ac:dyDescent="0.25">
      <c r="B24" t="s">
        <v>84</v>
      </c>
      <c r="C24" s="23">
        <v>12.5058316822947</v>
      </c>
      <c r="D24" s="23">
        <v>12.5058316822947</v>
      </c>
    </row>
    <row r="25" spans="1:5" x14ac:dyDescent="0.25">
      <c r="B25" t="s">
        <v>85</v>
      </c>
      <c r="C25" s="24">
        <v>1.18648180943392</v>
      </c>
      <c r="D25" s="24">
        <v>1.18648180943392</v>
      </c>
    </row>
    <row r="26" spans="1:5" x14ac:dyDescent="0.25">
      <c r="A26" s="19" t="s">
        <v>86</v>
      </c>
      <c r="B26" t="s">
        <v>83</v>
      </c>
      <c r="C26" s="20">
        <v>0.42</v>
      </c>
      <c r="D26" s="20">
        <v>0.42</v>
      </c>
    </row>
    <row r="27" spans="1:5" x14ac:dyDescent="0.25">
      <c r="B27" t="s">
        <v>87</v>
      </c>
      <c r="C27">
        <v>12.482050182836399</v>
      </c>
      <c r="D27">
        <v>12.482050182836399</v>
      </c>
    </row>
    <row r="28" spans="1:5" x14ac:dyDescent="0.25">
      <c r="B28" t="s">
        <v>88</v>
      </c>
      <c r="C28">
        <v>17.237116919155099</v>
      </c>
      <c r="D28">
        <v>17.237116919155099</v>
      </c>
    </row>
    <row r="29" spans="1:5" x14ac:dyDescent="0.25">
      <c r="A29" s="19" t="s">
        <v>89</v>
      </c>
      <c r="B29" t="s">
        <v>72</v>
      </c>
      <c r="C29" s="20">
        <v>3340.8173200000001</v>
      </c>
      <c r="D29" s="20">
        <v>3340.8173200000001</v>
      </c>
      <c r="E29" s="25"/>
    </row>
    <row r="30" spans="1:5" x14ac:dyDescent="0.25">
      <c r="B30" t="s">
        <v>69</v>
      </c>
      <c r="C30" s="20">
        <v>278221.03999999998</v>
      </c>
      <c r="D30" s="20">
        <v>278221.03999999998</v>
      </c>
      <c r="E30" s="25"/>
    </row>
    <row r="31" spans="1:5" x14ac:dyDescent="0.25">
      <c r="B31" t="s">
        <v>80</v>
      </c>
      <c r="C31" s="20">
        <v>163823.92000000001</v>
      </c>
      <c r="D31" s="20">
        <v>163823.92000000001</v>
      </c>
      <c r="E31" s="25"/>
    </row>
    <row r="32" spans="1:5" x14ac:dyDescent="0.25">
      <c r="B32" t="s">
        <v>81</v>
      </c>
      <c r="C32" s="20">
        <v>1033752.25</v>
      </c>
      <c r="D32" s="20">
        <v>1033752.25</v>
      </c>
      <c r="E32" s="25"/>
    </row>
    <row r="33" spans="1:5" x14ac:dyDescent="0.25">
      <c r="B33" t="s">
        <v>77</v>
      </c>
      <c r="C33" s="20">
        <v>371604.37</v>
      </c>
      <c r="D33" s="20">
        <v>371604.37</v>
      </c>
      <c r="E33" s="25"/>
    </row>
    <row r="34" spans="1:5" x14ac:dyDescent="0.25">
      <c r="B34" t="s">
        <v>78</v>
      </c>
    </row>
    <row r="35" spans="1:5" x14ac:dyDescent="0.25">
      <c r="B35" t="s">
        <v>73</v>
      </c>
    </row>
    <row r="36" spans="1:5" x14ac:dyDescent="0.25">
      <c r="B36" t="s">
        <v>76</v>
      </c>
    </row>
    <row r="37" spans="1:5" x14ac:dyDescent="0.25">
      <c r="B37" t="s">
        <v>67</v>
      </c>
    </row>
    <row r="38" spans="1:5" x14ac:dyDescent="0.25">
      <c r="A38" s="19" t="s">
        <v>90</v>
      </c>
      <c r="C38" s="20" t="s">
        <v>91</v>
      </c>
      <c r="D38" s="20" t="s">
        <v>91</v>
      </c>
    </row>
    <row r="39" spans="1:5" x14ac:dyDescent="0.25">
      <c r="A39" s="19" t="s">
        <v>92</v>
      </c>
      <c r="C39" s="20" t="s">
        <v>93</v>
      </c>
      <c r="D39" s="20" t="s">
        <v>93</v>
      </c>
    </row>
  </sheetData>
  <autoFilter ref="A1:C39" xr:uid="{00000000-0009-0000-0000-000001000000}"/>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03"/>
  <sheetViews>
    <sheetView topLeftCell="A13" zoomScaleNormal="100" workbookViewId="0">
      <selection activeCell="L104" sqref="L104"/>
    </sheetView>
  </sheetViews>
  <sheetFormatPr defaultColWidth="8.5703125" defaultRowHeight="15" x14ac:dyDescent="0.25"/>
  <cols>
    <col min="1" max="2" width="8.85546875" style="26" customWidth="1"/>
    <col min="3" max="3" width="33.5703125" style="26" customWidth="1"/>
    <col min="4" max="4" width="28" style="26" customWidth="1"/>
    <col min="5" max="5" width="16.5703125" customWidth="1"/>
    <col min="6" max="6" width="24.140625" customWidth="1"/>
    <col min="7" max="7" width="9.85546875" customWidth="1"/>
    <col min="8" max="8" width="8.85546875" style="27" customWidth="1"/>
    <col min="9" max="9" width="12.140625" style="27" customWidth="1"/>
    <col min="10" max="10" width="8.140625" customWidth="1"/>
    <col min="11" max="11" width="16.5703125" customWidth="1"/>
    <col min="12" max="12" width="36.5703125" customWidth="1"/>
  </cols>
  <sheetData>
    <row r="1" spans="1:14" x14ac:dyDescent="0.25">
      <c r="A1" s="28" t="s">
        <v>94</v>
      </c>
      <c r="L1" s="29" t="s">
        <v>95</v>
      </c>
    </row>
    <row r="2" spans="1:14" x14ac:dyDescent="0.25">
      <c r="L2" s="30" t="s">
        <v>96</v>
      </c>
    </row>
    <row r="3" spans="1:14" s="19" customFormat="1" x14ac:dyDescent="0.25">
      <c r="A3" s="26" t="s">
        <v>97</v>
      </c>
      <c r="B3" s="26" t="s">
        <v>98</v>
      </c>
      <c r="C3" s="26" t="s">
        <v>99</v>
      </c>
      <c r="D3" s="26" t="s">
        <v>100</v>
      </c>
      <c r="E3" s="19" t="s">
        <v>101</v>
      </c>
      <c r="F3" s="19" t="s">
        <v>102</v>
      </c>
      <c r="G3" s="19" t="s">
        <v>103</v>
      </c>
      <c r="H3" s="31" t="s">
        <v>104</v>
      </c>
      <c r="I3" s="31" t="s">
        <v>105</v>
      </c>
      <c r="J3" s="19" t="s">
        <v>106</v>
      </c>
      <c r="K3" s="19" t="s">
        <v>6</v>
      </c>
      <c r="L3" s="19" t="s">
        <v>107</v>
      </c>
      <c r="M3" s="19" t="s">
        <v>108</v>
      </c>
      <c r="N3" s="19" t="s">
        <v>109</v>
      </c>
    </row>
    <row r="4" spans="1:14" x14ac:dyDescent="0.25">
      <c r="A4" s="26">
        <v>3</v>
      </c>
      <c r="B4" s="26">
        <v>2</v>
      </c>
      <c r="C4" s="26" t="str">
        <f t="shared" ref="C4:C35" ca="1" si="0">IF(G4 = "",F4,IF(OR(G4="alpha",G4="beta",G4="constant",G4="sd",G4="mean",G4="sample"),F4,F4&amp;" "&amp;G4))</f>
        <v>speeds auto_rickshaw</v>
      </c>
      <c r="D4" s="26" t="str">
        <f t="shared" ref="D4:D35" ca="1" si="1">F4&amp;"_"&amp;E4</f>
        <v>speeds_bogota</v>
      </c>
      <c r="E4" s="32" t="str">
        <f t="array" aca="1" ref="E4" ca="1">INDIRECT(ADDRESS(1,A4,1,1,"all_city_parameter_inputs"))</f>
        <v>bogota</v>
      </c>
      <c r="F4" s="32" t="str">
        <f t="array" aca="1" ref="F4" ca="1">IF(AND(ISBLANK(INDIRECT(ADDRESS(B4,2,1,1,"all_city_parameter_inputs"))), ISBLANK(INDIRECT(ADDRESS(B4,1,1,1,"all_city_parameter_inputs")))), "", IF(ISBLANK(INDIRECT(ADDRESS(B4,1,1,1,"all_city_parameter_inputs"))), All_city_list!F3,INDIRECT(ADDRESS(B4,1,1,1,"all_city_parameter_inputs"))))</f>
        <v>speeds</v>
      </c>
      <c r="G4" s="32" t="str">
        <f t="array" aca="1" ref="G4" ca="1">IF(AND(ISBLANK(INDIRECT(ADDRESS(B4,3,1,1,"all_city_parameter_inputs"))),ISBLANK(INDIRECT(ADDRESS(B4,2,1,1,"all_city_parameter_inputs")))),"",IF(ISBLANK(INDIRECT(ADDRESS(B4,2,1,1,"all_city_parameter_inputs"))),"",INDIRECT(ADDRESS(B4,2,1,1,"all_city_parameter_inputs"))))</f>
        <v>auto_rickshaw</v>
      </c>
      <c r="H4" s="33">
        <f t="array" aca="1" ref="H4" ca="1">IF(ISBLANK(INDIRECT(ADDRESS(B4,A4,1,1,"all_city_parameter_inputs"))), "--",INDIRECT(ADDRESS(B4,A4,1,1,"all_city_parameter_inputs")))</f>
        <v>4</v>
      </c>
      <c r="I4" s="33">
        <f ca="1">IF(OR(G4="alpha",G4="beta",G4="sd",G4="mean"),"--",VLOOKUP(C4,Default!$B$5:$H$114,7,FALSE()))</f>
        <v>4</v>
      </c>
      <c r="J4" s="32" t="str">
        <f ca="1">VLOOKUP(F4,Lookup!$C$5:$D$110,2, FALSE())</f>
        <v>Travel values</v>
      </c>
      <c r="K4" s="32">
        <f ca="1">VLOOKUP(C4,Default!$B$4:$E$114,4, FALSE())</f>
        <v>0</v>
      </c>
      <c r="L4" s="34"/>
      <c r="M4" s="30" t="s">
        <v>110</v>
      </c>
      <c r="N4" s="30"/>
    </row>
    <row r="5" spans="1:14" ht="409.5" x14ac:dyDescent="0.25">
      <c r="A5" s="26">
        <v>3</v>
      </c>
      <c r="B5" s="26">
        <v>3</v>
      </c>
      <c r="C5" s="26" t="str">
        <f t="shared" ca="1" si="0"/>
        <v>speeds bus</v>
      </c>
      <c r="D5" s="26" t="str">
        <f t="shared" ca="1" si="1"/>
        <v>speeds_bogota</v>
      </c>
      <c r="E5" s="32" t="str">
        <f t="array" aca="1" ref="E5" ca="1">INDIRECT(ADDRESS(1,A5,1,1,"all_city_parameter_inputs"))</f>
        <v>bogota</v>
      </c>
      <c r="F5" s="32" t="str">
        <f t="array" aca="1" ref="F5" ca="1">IF(AND(ISBLANK(INDIRECT(ADDRESS(B5,2,1,1,"all_city_parameter_inputs"))), ISBLANK(INDIRECT(ADDRESS(B5,1,1,1,"all_city_parameter_inputs")))), "", IF(ISBLANK(INDIRECT(ADDRESS(B5,1,1,1,"all_city_parameter_inputs"))), All_city_list!F4,INDIRECT(ADDRESS(B5,1,1,1,"all_city_parameter_inputs"))))</f>
        <v>speeds</v>
      </c>
      <c r="G5" s="32" t="str">
        <f t="array" aca="1" ref="G5" ca="1">IF(AND(ISBLANK(INDIRECT(ADDRESS(B5,3,1,1,"all_city_parameter_inputs"))),ISBLANK(INDIRECT(ADDRESS(B5,2,1,1,"all_city_parameter_inputs")))),"",IF(ISBLANK(INDIRECT(ADDRESS(B5,2,1,1,"all_city_parameter_inputs"))),"",INDIRECT(ADDRESS(B5,2,1,1,"all_city_parameter_inputs"))))</f>
        <v>bus</v>
      </c>
      <c r="H5" s="33">
        <f t="array" aca="1" ref="H5" ca="1">IF(ISBLANK(INDIRECT(ADDRESS(B5,A5,1,1,"all_city_parameter_inputs"))), "--",INDIRECT(ADDRESS(B5,A5,1,1,"all_city_parameter_inputs")))</f>
        <v>8.1</v>
      </c>
      <c r="I5" s="33">
        <f ca="1">IF(OR(G5="alpha",G5="beta",G5="sd",G5="mean"),"--",VLOOKUP(C5,Default!$B$5:$H$114,7,FALSE()))</f>
        <v>8.1</v>
      </c>
      <c r="J5" s="32" t="str">
        <f ca="1">VLOOKUP(F5,Lookup!$C$5:$D$110,2, FALSE())</f>
        <v>Travel values</v>
      </c>
      <c r="K5" s="35" t="str">
        <f ca="1">VLOOKUP(C5,Default!$B$4:$E$114,4, FALSE())</f>
        <v>- Speeds in km/h used for different vehicle categories
- It is used in "add_ghost_trips" to add new trips taken by no one.
- It is used to complete trip distance and duration (function "complete_trip_distance_duration").
- It us used to recompute distances when reassigning new trips for scenarios (function "create_cycle_scenarios", "create_max_mode_share_scenarios", "create_scenario")</v>
      </c>
      <c r="L5" s="30">
        <f ca="1">IF(ISNA(VLOOKUP($D5,Grouped_Sources!$C:$C,1,FALSE())),"", INDIRECT(VLOOKUP($D5,Grouped_Sources!$C:$I,5,FALSE())))</f>
        <v>0</v>
      </c>
      <c r="M5" s="30" t="str">
        <f t="array" aca="1" ref="M5" ca="1">IF(ISNA(VLOOKUP($D5,Grouped_Sources!$C:$C,1,FALSE())),"", INDIRECT(VLOOKUP($D5,Grouped_Sources!$C:$I,6,FALSE())))</f>
        <v>average speeds between London and Delhi travel surveys and where the speeds for Delhi are higher than those for London, the London speeds are chosen</v>
      </c>
      <c r="N5" s="30">
        <f ca="1">IF(ISNA(VLOOKUP($D5,Grouped_Sources!$C:$C,1,FALSE())),"", INDIRECT(VLOOKUP($D5,Grouped_Sources!$C:$I,7,FALSE())))</f>
        <v>0</v>
      </c>
    </row>
    <row r="6" spans="1:14" x14ac:dyDescent="0.25">
      <c r="A6" s="26">
        <v>3</v>
      </c>
      <c r="B6" s="26">
        <v>4</v>
      </c>
      <c r="C6" s="26" t="str">
        <f t="shared" ca="1" si="0"/>
        <v>speeds car</v>
      </c>
      <c r="D6" s="26" t="str">
        <f t="shared" ca="1" si="1"/>
        <v>speeds_bogota</v>
      </c>
      <c r="E6" s="32" t="str">
        <f t="array" aca="1" ref="E6" ca="1">INDIRECT(ADDRESS(1,A6,1,1,"all_city_parameter_inputs"))</f>
        <v>bogota</v>
      </c>
      <c r="F6" s="32" t="str">
        <f t="array" aca="1" ref="F6" ca="1">IF(AND(ISBLANK(INDIRECT(ADDRESS(B6,2,1,1,"all_city_parameter_inputs"))), ISBLANK(INDIRECT(ADDRESS(B6,1,1,1,"all_city_parameter_inputs")))), "", IF(ISBLANK(INDIRECT(ADDRESS(B6,1,1,1,"all_city_parameter_inputs"))), All_city_list!F5,INDIRECT(ADDRESS(B6,1,1,1,"all_city_parameter_inputs"))))</f>
        <v>speeds</v>
      </c>
      <c r="G6" s="32" t="str">
        <f t="array" aca="1" ref="G6" ca="1">IF(AND(ISBLANK(INDIRECT(ADDRESS(B6,3,1,1,"all_city_parameter_inputs"))),ISBLANK(INDIRECT(ADDRESS(B6,2,1,1,"all_city_parameter_inputs")))),"",IF(ISBLANK(INDIRECT(ADDRESS(B6,2,1,1,"all_city_parameter_inputs"))),"",INDIRECT(ADDRESS(B6,2,1,1,"all_city_parameter_inputs"))))</f>
        <v>car</v>
      </c>
      <c r="H6" s="33">
        <f t="array" aca="1" ref="H6" ca="1">IF(ISBLANK(INDIRECT(ADDRESS(B6,A6,1,1,"all_city_parameter_inputs"))), "--",INDIRECT(ADDRESS(B6,A6,1,1,"all_city_parameter_inputs")))</f>
        <v>13.8</v>
      </c>
      <c r="I6" s="33">
        <f ca="1">IF(OR(G6="alpha",G6="beta",G6="sd",G6="mean"),"--",VLOOKUP(C6,Default!$B$5:$H$114,7,FALSE()))</f>
        <v>13.8</v>
      </c>
      <c r="J6" s="32" t="str">
        <f ca="1">VLOOKUP(F6,Lookup!$C$5:$D$110,2, FALSE())</f>
        <v>Travel values</v>
      </c>
      <c r="K6" s="32">
        <f ca="1">VLOOKUP(C6,Default!$B$4:$E$114,4, FALSE())</f>
        <v>0</v>
      </c>
      <c r="L6" s="30">
        <f ca="1">IF(ISNA(VLOOKUP($D6,Grouped_Sources!$C:$C,1,FALSE())),"", INDIRECT(VLOOKUP($D6,Grouped_Sources!$C:$I,5,FALSE())))</f>
        <v>0</v>
      </c>
      <c r="M6" s="30" t="str">
        <f t="array" aca="1" ref="M6" ca="1">IF(ISNA(VLOOKUP($D6,Grouped_Sources!$C:$C,1,FALSE())),"", INDIRECT(VLOOKUP($D6,Grouped_Sources!$C:$I,6,FALSE())))</f>
        <v>average speeds between London and Delhi travel surveys and where the speeds for Delhi are higher than those for London, the London speeds are chosen</v>
      </c>
      <c r="N6" s="30">
        <f ca="1">IF(ISNA(VLOOKUP($D6,Grouped_Sources!$C:$C,1,FALSE())),"", INDIRECT(VLOOKUP($D6,Grouped_Sources!$C:$I,7,FALSE())))</f>
        <v>0</v>
      </c>
    </row>
    <row r="7" spans="1:14" x14ac:dyDescent="0.25">
      <c r="A7" s="26">
        <v>3</v>
      </c>
      <c r="B7" s="26">
        <v>5</v>
      </c>
      <c r="C7" s="26" t="str">
        <f t="shared" ca="1" si="0"/>
        <v>speeds cycle</v>
      </c>
      <c r="D7" s="26" t="str">
        <f t="shared" ca="1" si="1"/>
        <v>speeds_bogota</v>
      </c>
      <c r="E7" s="32" t="str">
        <f t="array" aca="1" ref="E7" ca="1">INDIRECT(ADDRESS(1,A7,1,1,"all_city_parameter_inputs"))</f>
        <v>bogota</v>
      </c>
      <c r="F7" s="32" t="str">
        <f t="array" aca="1" ref="F7" ca="1">IF(AND(ISBLANK(INDIRECT(ADDRESS(B7,2,1,1,"all_city_parameter_inputs"))), ISBLANK(INDIRECT(ADDRESS(B7,1,1,1,"all_city_parameter_inputs")))), "", IF(ISBLANK(INDIRECT(ADDRESS(B7,1,1,1,"all_city_parameter_inputs"))), All_city_list!F6,INDIRECT(ADDRESS(B7,1,1,1,"all_city_parameter_inputs"))))</f>
        <v>speeds</v>
      </c>
      <c r="G7" s="32" t="str">
        <f t="array" aca="1" ref="G7" ca="1">IF(AND(ISBLANK(INDIRECT(ADDRESS(B7,3,1,1,"all_city_parameter_inputs"))),ISBLANK(INDIRECT(ADDRESS(B7,2,1,1,"all_city_parameter_inputs")))),"",IF(ISBLANK(INDIRECT(ADDRESS(B7,2,1,1,"all_city_parameter_inputs"))),"",INDIRECT(ADDRESS(B7,2,1,1,"all_city_parameter_inputs"))))</f>
        <v>cycle</v>
      </c>
      <c r="H7" s="33">
        <f t="array" aca="1" ref="H7" ca="1">IF(ISBLANK(INDIRECT(ADDRESS(B7,A7,1,1,"all_city_parameter_inputs"))), "--",INDIRECT(ADDRESS(B7,A7,1,1,"all_city_parameter_inputs")))</f>
        <v>7.2</v>
      </c>
      <c r="I7" s="33">
        <f ca="1">IF(OR(G7="alpha",G7="beta",G7="sd",G7="mean"),"--",VLOOKUP(C7,Default!$B$5:$H$114,7,FALSE()))</f>
        <v>7.2</v>
      </c>
      <c r="J7" s="32" t="str">
        <f ca="1">VLOOKUP(F7,Lookup!$C$5:$D$110,2, FALSE())</f>
        <v>Travel values</v>
      </c>
      <c r="K7" s="32">
        <f ca="1">VLOOKUP(C7,Default!$B$4:$E$114,4, FALSE())</f>
        <v>0</v>
      </c>
      <c r="L7" s="30">
        <f ca="1">IF(ISNA(VLOOKUP($D7,Grouped_Sources!$C:$C,1,FALSE())),"", INDIRECT(VLOOKUP($D7,Grouped_Sources!$C:$I,5,FALSE())))</f>
        <v>0</v>
      </c>
      <c r="M7" s="30" t="str">
        <f t="array" aca="1" ref="M7" ca="1">IF(ISNA(VLOOKUP($D7,Grouped_Sources!$C:$C,1,FALSE())),"", INDIRECT(VLOOKUP($D7,Grouped_Sources!$C:$I,6,FALSE())))</f>
        <v>average speeds between London and Delhi travel surveys and where the speeds for Delhi are higher than those for London, the London speeds are chosen</v>
      </c>
      <c r="N7" s="30">
        <f ca="1">IF(ISNA(VLOOKUP($D7,Grouped_Sources!$C:$C,1,FALSE())),"", INDIRECT(VLOOKUP($D7,Grouped_Sources!$C:$I,7,FALSE())))</f>
        <v>0</v>
      </c>
    </row>
    <row r="8" spans="1:14" x14ac:dyDescent="0.25">
      <c r="A8" s="26">
        <v>3</v>
      </c>
      <c r="B8" s="26">
        <v>6</v>
      </c>
      <c r="C8" s="26" t="str">
        <f t="shared" ca="1" si="0"/>
        <v>speeds subway</v>
      </c>
      <c r="D8" s="26" t="str">
        <f t="shared" ca="1" si="1"/>
        <v>speeds_bogota</v>
      </c>
      <c r="E8" s="32" t="str">
        <f t="array" aca="1" ref="E8" ca="1">INDIRECT(ADDRESS(1,A8,1,1,"all_city_parameter_inputs"))</f>
        <v>bogota</v>
      </c>
      <c r="F8" s="32" t="str">
        <f t="array" aca="1" ref="F8" ca="1">IF(AND(ISBLANK(INDIRECT(ADDRESS(B8,2,1,1,"all_city_parameter_inputs"))), ISBLANK(INDIRECT(ADDRESS(B8,1,1,1,"all_city_parameter_inputs")))), "", IF(ISBLANK(INDIRECT(ADDRESS(B8,1,1,1,"all_city_parameter_inputs"))), All_city_list!F7,INDIRECT(ADDRESS(B8,1,1,1,"all_city_parameter_inputs"))))</f>
        <v>speeds</v>
      </c>
      <c r="G8" s="32" t="str">
        <f t="array" aca="1" ref="G8" ca="1">IF(AND(ISBLANK(INDIRECT(ADDRESS(B8,3,1,1,"all_city_parameter_inputs"))),ISBLANK(INDIRECT(ADDRESS(B8,2,1,1,"all_city_parameter_inputs")))),"",IF(ISBLANK(INDIRECT(ADDRESS(B8,2,1,1,"all_city_parameter_inputs"))),"",INDIRECT(ADDRESS(B8,2,1,1,"all_city_parameter_inputs"))))</f>
        <v>subway</v>
      </c>
      <c r="H8" s="33">
        <f t="array" aca="1" ref="H8" ca="1">IF(ISBLANK(INDIRECT(ADDRESS(B8,A8,1,1,"all_city_parameter_inputs"))), "--",INDIRECT(ADDRESS(B8,A8,1,1,"all_city_parameter_inputs")))</f>
        <v>18.100000000000001</v>
      </c>
      <c r="I8" s="33">
        <f ca="1">IF(OR(G8="alpha",G8="beta",G8="sd",G8="mean"),"--",VLOOKUP(C8,Default!$B$5:$H$114,7,FALSE()))</f>
        <v>18.100000000000001</v>
      </c>
      <c r="J8" s="32" t="str">
        <f ca="1">VLOOKUP(F8,Lookup!$C$5:$D$110,2, FALSE())</f>
        <v>Travel values</v>
      </c>
      <c r="K8" s="32">
        <f ca="1">VLOOKUP(C8,Default!$B$4:$E$114,4, FALSE())</f>
        <v>0</v>
      </c>
      <c r="L8" s="30">
        <f ca="1">IF(ISNA(VLOOKUP($D8,Grouped_Sources!$C:$C,1,FALSE())),"", INDIRECT(VLOOKUP($D8,Grouped_Sources!$C:$I,5,FALSE())))</f>
        <v>0</v>
      </c>
      <c r="M8" s="30" t="str">
        <f t="array" aca="1" ref="M8" ca="1">IF(ISNA(VLOOKUP($D8,Grouped_Sources!$C:$C,1,FALSE())),"", INDIRECT(VLOOKUP($D8,Grouped_Sources!$C:$I,6,FALSE())))</f>
        <v>average speeds between London and Delhi travel surveys and where the speeds for Delhi are higher than those for London, the London speeds are chosen</v>
      </c>
      <c r="N8" s="30">
        <f ca="1">IF(ISNA(VLOOKUP($D8,Grouped_Sources!$C:$C,1,FALSE())),"", INDIRECT(VLOOKUP($D8,Grouped_Sources!$C:$I,7,FALSE())))</f>
        <v>0</v>
      </c>
    </row>
    <row r="9" spans="1:14" x14ac:dyDescent="0.25">
      <c r="A9" s="26">
        <v>3</v>
      </c>
      <c r="B9" s="26">
        <v>7</v>
      </c>
      <c r="C9" s="26" t="str">
        <f t="shared" ca="1" si="0"/>
        <v>speeds motorcycle</v>
      </c>
      <c r="D9" s="26" t="str">
        <f t="shared" ca="1" si="1"/>
        <v>speeds_bogota</v>
      </c>
      <c r="E9" s="32" t="str">
        <f t="array" aca="1" ref="E9" ca="1">INDIRECT(ADDRESS(1,A9,1,1,"all_city_parameter_inputs"))</f>
        <v>bogota</v>
      </c>
      <c r="F9" s="32" t="str">
        <f t="array" aca="1" ref="F9" ca="1">IF(AND(ISBLANK(INDIRECT(ADDRESS(B9,2,1,1,"all_city_parameter_inputs"))), ISBLANK(INDIRECT(ADDRESS(B9,1,1,1,"all_city_parameter_inputs")))), "", IF(ISBLANK(INDIRECT(ADDRESS(B9,1,1,1,"all_city_parameter_inputs"))), All_city_list!F8,INDIRECT(ADDRESS(B9,1,1,1,"all_city_parameter_inputs"))))</f>
        <v>speeds</v>
      </c>
      <c r="G9" s="32" t="str">
        <f t="array" aca="1" ref="G9" ca="1">IF(AND(ISBLANK(INDIRECT(ADDRESS(B9,3,1,1,"all_city_parameter_inputs"))),ISBLANK(INDIRECT(ADDRESS(B9,2,1,1,"all_city_parameter_inputs")))),"",IF(ISBLANK(INDIRECT(ADDRESS(B9,2,1,1,"all_city_parameter_inputs"))),"",INDIRECT(ADDRESS(B9,2,1,1,"all_city_parameter_inputs"))))</f>
        <v>motorcycle</v>
      </c>
      <c r="H9" s="33">
        <f t="array" aca="1" ref="H9" ca="1">IF(ISBLANK(INDIRECT(ADDRESS(B9,A9,1,1,"all_city_parameter_inputs"))), "--",INDIRECT(ADDRESS(B9,A9,1,1,"all_city_parameter_inputs")))</f>
        <v>15.2</v>
      </c>
      <c r="I9" s="33">
        <f ca="1">IF(OR(G9="alpha",G9="beta",G9="sd",G9="mean"),"--",VLOOKUP(C9,Default!$B$5:$H$114,7,FALSE()))</f>
        <v>15.2</v>
      </c>
      <c r="J9" s="32" t="str">
        <f ca="1">VLOOKUP(F9,Lookup!$C$5:$D$110,2, FALSE())</f>
        <v>Travel values</v>
      </c>
      <c r="K9" s="32">
        <f ca="1">VLOOKUP(C9,Default!$B$4:$E$114,4, FALSE())</f>
        <v>0</v>
      </c>
      <c r="L9" s="30">
        <f ca="1">IF(ISNA(VLOOKUP($D9,Grouped_Sources!$C:$C,1,FALSE())),"", INDIRECT(VLOOKUP($D9,Grouped_Sources!$C:$I,5,FALSE())))</f>
        <v>0</v>
      </c>
      <c r="M9" s="30" t="str">
        <f t="array" aca="1" ref="M9" ca="1">IF(ISNA(VLOOKUP($D9,Grouped_Sources!$C:$C,1,FALSE())),"", INDIRECT(VLOOKUP($D9,Grouped_Sources!$C:$I,6,FALSE())))</f>
        <v>average speeds between London and Delhi travel surveys and where the speeds for Delhi are higher than those for London, the London speeds are chosen</v>
      </c>
      <c r="N9" s="30">
        <f ca="1">IF(ISNA(VLOOKUP($D9,Grouped_Sources!$C:$C,1,FALSE())),"", INDIRECT(VLOOKUP($D9,Grouped_Sources!$C:$I,7,FALSE())))</f>
        <v>0</v>
      </c>
    </row>
    <row r="10" spans="1:14" x14ac:dyDescent="0.25">
      <c r="A10" s="26">
        <v>3</v>
      </c>
      <c r="B10" s="26">
        <v>8</v>
      </c>
      <c r="C10" s="26" t="str">
        <f t="shared" ca="1" si="0"/>
        <v>speeds other</v>
      </c>
      <c r="D10" s="26" t="str">
        <f t="shared" ca="1" si="1"/>
        <v>speeds_bogota</v>
      </c>
      <c r="E10" s="32" t="str">
        <f t="array" aca="1" ref="E10" ca="1">INDIRECT(ADDRESS(1,A10,1,1,"all_city_parameter_inputs"))</f>
        <v>bogota</v>
      </c>
      <c r="F10" s="32" t="str">
        <f t="array" aca="1" ref="F10" ca="1">IF(AND(ISBLANK(INDIRECT(ADDRESS(B10,2,1,1,"all_city_parameter_inputs"))), ISBLANK(INDIRECT(ADDRESS(B10,1,1,1,"all_city_parameter_inputs")))), "", IF(ISBLANK(INDIRECT(ADDRESS(B10,1,1,1,"all_city_parameter_inputs"))), All_city_list!F9,INDIRECT(ADDRESS(B10,1,1,1,"all_city_parameter_inputs"))))</f>
        <v>speeds</v>
      </c>
      <c r="G10" s="32" t="str">
        <f t="array" aca="1" ref="G10" ca="1">IF(AND(ISBLANK(INDIRECT(ADDRESS(B10,3,1,1,"all_city_parameter_inputs"))),ISBLANK(INDIRECT(ADDRESS(B10,2,1,1,"all_city_parameter_inputs")))),"",IF(ISBLANK(INDIRECT(ADDRESS(B10,2,1,1,"all_city_parameter_inputs"))),"",INDIRECT(ADDRESS(B10,2,1,1,"all_city_parameter_inputs"))))</f>
        <v>other</v>
      </c>
      <c r="H10" s="33">
        <f t="array" aca="1" ref="H10" ca="1">IF(ISBLANK(INDIRECT(ADDRESS(B10,A10,1,1,"all_city_parameter_inputs"))), "--",INDIRECT(ADDRESS(B10,A10,1,1,"all_city_parameter_inputs")))</f>
        <v>9.1</v>
      </c>
      <c r="I10" s="33">
        <f ca="1">IF(OR(G10="alpha",G10="beta",G10="sd",G10="mean"),"--",VLOOKUP(C10,Default!$B$5:$H$114,7,FALSE()))</f>
        <v>9.1</v>
      </c>
      <c r="J10" s="32" t="str">
        <f ca="1">VLOOKUP(F10,Lookup!$C$5:$D$110,2, FALSE())</f>
        <v>Travel values</v>
      </c>
      <c r="K10" s="32">
        <f ca="1">VLOOKUP(C10,Default!$B$4:$E$114,4, FALSE())</f>
        <v>0</v>
      </c>
      <c r="L10" s="30">
        <f ca="1">IF(ISNA(VLOOKUP($D10,Grouped_Sources!$C:$C,1,FALSE())),"", INDIRECT(VLOOKUP($D10,Grouped_Sources!$C:$I,5,FALSE())))</f>
        <v>0</v>
      </c>
      <c r="M10" s="30" t="str">
        <f t="array" aca="1" ref="M10" ca="1">IF(ISNA(VLOOKUP($D10,Grouped_Sources!$C:$C,1,FALSE())),"", INDIRECT(VLOOKUP($D10,Grouped_Sources!$C:$I,6,FALSE())))</f>
        <v>average speeds between London and Delhi travel surveys and where the speeds for Delhi are higher than those for London, the London speeds are chosen</v>
      </c>
      <c r="N10" s="30">
        <f ca="1">IF(ISNA(VLOOKUP($D10,Grouped_Sources!$C:$C,1,FALSE())),"", INDIRECT(VLOOKUP($D10,Grouped_Sources!$C:$I,7,FALSE())))</f>
        <v>0</v>
      </c>
    </row>
    <row r="11" spans="1:14" x14ac:dyDescent="0.25">
      <c r="A11" s="26">
        <v>3</v>
      </c>
      <c r="B11" s="26">
        <v>9</v>
      </c>
      <c r="C11" s="26" t="str">
        <f t="shared" ca="1" si="0"/>
        <v>speeds pedestrian</v>
      </c>
      <c r="D11" s="26" t="str">
        <f t="shared" ca="1" si="1"/>
        <v>speeds_bogota</v>
      </c>
      <c r="E11" s="32" t="str">
        <f t="array" aca="1" ref="E11" ca="1">INDIRECT(ADDRESS(1,A11,1,1,"all_city_parameter_inputs"))</f>
        <v>bogota</v>
      </c>
      <c r="F11" s="32" t="str">
        <f t="array" aca="1" ref="F11" ca="1">IF(AND(ISBLANK(INDIRECT(ADDRESS(B11,2,1,1,"all_city_parameter_inputs"))), ISBLANK(INDIRECT(ADDRESS(B11,1,1,1,"all_city_parameter_inputs")))), "", IF(ISBLANK(INDIRECT(ADDRESS(B11,1,1,1,"all_city_parameter_inputs"))), All_city_list!F10,INDIRECT(ADDRESS(B11,1,1,1,"all_city_parameter_inputs"))))</f>
        <v>speeds</v>
      </c>
      <c r="G11" s="32" t="str">
        <f t="array" aca="1" ref="G11" ca="1">IF(AND(ISBLANK(INDIRECT(ADDRESS(B11,3,1,1,"all_city_parameter_inputs"))),ISBLANK(INDIRECT(ADDRESS(B11,2,1,1,"all_city_parameter_inputs")))),"",IF(ISBLANK(INDIRECT(ADDRESS(B11,2,1,1,"all_city_parameter_inputs"))),"",INDIRECT(ADDRESS(B11,2,1,1,"all_city_parameter_inputs"))))</f>
        <v>pedestrian</v>
      </c>
      <c r="H11" s="33">
        <f t="array" aca="1" ref="H11" ca="1">IF(ISBLANK(INDIRECT(ADDRESS(B11,A11,1,1,"all_city_parameter_inputs"))), "--",INDIRECT(ADDRESS(B11,A11,1,1,"all_city_parameter_inputs")))</f>
        <v>2.5</v>
      </c>
      <c r="I11" s="33">
        <f ca="1">IF(OR(G11="alpha",G11="beta",G11="sd",G11="mean"),"--",VLOOKUP(C11,Default!$B$5:$H$114,7,FALSE()))</f>
        <v>2.5</v>
      </c>
      <c r="J11" s="32" t="str">
        <f ca="1">VLOOKUP(F11,Lookup!$C$5:$D$110,2, FALSE())</f>
        <v>Travel values</v>
      </c>
      <c r="K11" s="32">
        <f ca="1">VLOOKUP(C11,Default!$B$4:$E$114,4, FALSE())</f>
        <v>0</v>
      </c>
      <c r="L11" s="30">
        <f ca="1">IF(ISNA(VLOOKUP($D11,Grouped_Sources!$C:$C,1,FALSE())),"", INDIRECT(VLOOKUP($D11,Grouped_Sources!$C:$I,5,FALSE())))</f>
        <v>0</v>
      </c>
      <c r="M11" s="30" t="str">
        <f t="array" aca="1" ref="M11" ca="1">IF(ISNA(VLOOKUP($D11,Grouped_Sources!$C:$C,1,FALSE())),"", INDIRECT(VLOOKUP($D11,Grouped_Sources!$C:$I,6,FALSE())))</f>
        <v>average speeds between London and Delhi travel surveys and where the speeds for Delhi are higher than those for London, the London speeds are chosen</v>
      </c>
      <c r="N11" s="30">
        <f ca="1">IF(ISNA(VLOOKUP($D11,Grouped_Sources!$C:$C,1,FALSE())),"", INDIRECT(VLOOKUP($D11,Grouped_Sources!$C:$I,7,FALSE())))</f>
        <v>0</v>
      </c>
    </row>
    <row r="12" spans="1:14" x14ac:dyDescent="0.25">
      <c r="A12" s="26">
        <v>3</v>
      </c>
      <c r="B12" s="26">
        <v>10</v>
      </c>
      <c r="C12" s="26" t="str">
        <f t="shared" ca="1" si="0"/>
        <v>speeds rail</v>
      </c>
      <c r="D12" s="26" t="str">
        <f t="shared" ca="1" si="1"/>
        <v>speeds_bogota</v>
      </c>
      <c r="E12" s="32" t="str">
        <f t="array" aca="1" ref="E12" ca="1">INDIRECT(ADDRESS(1,A12,1,1,"all_city_parameter_inputs"))</f>
        <v>bogota</v>
      </c>
      <c r="F12" s="32" t="str">
        <f t="array" aca="1" ref="F12" ca="1">IF(AND(ISBLANK(INDIRECT(ADDRESS(B12,2,1,1,"all_city_parameter_inputs"))), ISBLANK(INDIRECT(ADDRESS(B12,1,1,1,"all_city_parameter_inputs")))), "", IF(ISBLANK(INDIRECT(ADDRESS(B12,1,1,1,"all_city_parameter_inputs"))), All_city_list!F11,INDIRECT(ADDRESS(B12,1,1,1,"all_city_parameter_inputs"))))</f>
        <v>speeds</v>
      </c>
      <c r="G12" s="32" t="str">
        <f t="array" aca="1" ref="G12" ca="1">IF(AND(ISBLANK(INDIRECT(ADDRESS(B12,3,1,1,"all_city_parameter_inputs"))),ISBLANK(INDIRECT(ADDRESS(B12,2,1,1,"all_city_parameter_inputs")))),"",IF(ISBLANK(INDIRECT(ADDRESS(B12,2,1,1,"all_city_parameter_inputs"))),"",INDIRECT(ADDRESS(B12,2,1,1,"all_city_parameter_inputs"))))</f>
        <v>rail</v>
      </c>
      <c r="H12" s="33">
        <f t="array" aca="1" ref="H12" ca="1">IF(ISBLANK(INDIRECT(ADDRESS(B12,A12,1,1,"all_city_parameter_inputs"))), "--",INDIRECT(ADDRESS(B12,A12,1,1,"all_city_parameter_inputs")))</f>
        <v>21.9</v>
      </c>
      <c r="I12" s="33">
        <f ca="1">IF(OR(G12="alpha",G12="beta",G12="sd",G12="mean"),"--",VLOOKUP(C12,Default!$B$5:$H$114,7,FALSE()))</f>
        <v>21.9</v>
      </c>
      <c r="J12" s="32" t="str">
        <f ca="1">VLOOKUP(F12,Lookup!$C$5:$D$110,2, FALSE())</f>
        <v>Travel values</v>
      </c>
      <c r="K12" s="32">
        <f ca="1">VLOOKUP(C12,Default!$B$4:$E$114,4, FALSE())</f>
        <v>0</v>
      </c>
      <c r="L12" s="30">
        <f ca="1">IF(ISNA(VLOOKUP($D12,Grouped_Sources!$C:$C,1,FALSE())),"", INDIRECT(VLOOKUP($D12,Grouped_Sources!$C:$I,5,FALSE())))</f>
        <v>0</v>
      </c>
      <c r="M12" s="30" t="str">
        <f t="array" aca="1" ref="M12" ca="1">IF(ISNA(VLOOKUP($D12,Grouped_Sources!$C:$C,1,FALSE())),"", INDIRECT(VLOOKUP($D12,Grouped_Sources!$C:$I,6,FALSE())))</f>
        <v>average speeds between London and Delhi travel surveys and where the speeds for Delhi are higher than those for London, the London speeds are chosen</v>
      </c>
      <c r="N12" s="30">
        <f ca="1">IF(ISNA(VLOOKUP($D12,Grouped_Sources!$C:$C,1,FALSE())),"", INDIRECT(VLOOKUP($D12,Grouped_Sources!$C:$I,7,FALSE())))</f>
        <v>0</v>
      </c>
    </row>
    <row r="13" spans="1:14" x14ac:dyDescent="0.25">
      <c r="A13" s="26">
        <v>3</v>
      </c>
      <c r="B13" s="26">
        <v>11</v>
      </c>
      <c r="C13" s="26" t="str">
        <f t="shared" ca="1" si="0"/>
        <v>speeds taxi</v>
      </c>
      <c r="D13" s="26" t="str">
        <f t="shared" ca="1" si="1"/>
        <v>speeds_bogota</v>
      </c>
      <c r="E13" s="32" t="str">
        <f t="array" aca="1" ref="E13" ca="1">INDIRECT(ADDRESS(1,A13,1,1,"all_city_parameter_inputs"))</f>
        <v>bogota</v>
      </c>
      <c r="F13" s="32" t="str">
        <f t="array" aca="1" ref="F13" ca="1">IF(AND(ISBLANK(INDIRECT(ADDRESS(B13,2,1,1,"all_city_parameter_inputs"))), ISBLANK(INDIRECT(ADDRESS(B13,1,1,1,"all_city_parameter_inputs")))), "", IF(ISBLANK(INDIRECT(ADDRESS(B13,1,1,1,"all_city_parameter_inputs"))), All_city_list!F12,INDIRECT(ADDRESS(B13,1,1,1,"all_city_parameter_inputs"))))</f>
        <v>speeds</v>
      </c>
      <c r="G13" s="32" t="str">
        <f t="array" aca="1" ref="G13" ca="1">IF(AND(ISBLANK(INDIRECT(ADDRESS(B13,3,1,1,"all_city_parameter_inputs"))),ISBLANK(INDIRECT(ADDRESS(B13,2,1,1,"all_city_parameter_inputs")))),"",IF(ISBLANK(INDIRECT(ADDRESS(B13,2,1,1,"all_city_parameter_inputs"))),"",INDIRECT(ADDRESS(B13,2,1,1,"all_city_parameter_inputs"))))</f>
        <v>taxi</v>
      </c>
      <c r="H13" s="33">
        <f t="array" aca="1" ref="H13" ca="1">IF(ISBLANK(INDIRECT(ADDRESS(B13,A13,1,1,"all_city_parameter_inputs"))), "--",INDIRECT(ADDRESS(B13,A13,1,1,"all_city_parameter_inputs")))</f>
        <v>12.56</v>
      </c>
      <c r="I13" s="33">
        <f ca="1">IF(OR(G13="alpha",G13="beta",G13="sd",G13="mean"),"--",VLOOKUP(C13,Default!$B$5:$H$114,7,FALSE()))</f>
        <v>13.8</v>
      </c>
      <c r="J13" s="32" t="str">
        <f ca="1">VLOOKUP(F13,Lookup!$C$5:$D$110,2, FALSE())</f>
        <v>Travel values</v>
      </c>
      <c r="K13" s="32">
        <f ca="1">VLOOKUP(C13,Default!$B$4:$E$114,4, FALSE())</f>
        <v>0</v>
      </c>
      <c r="L13" s="30">
        <f ca="1">IF(ISNA(VLOOKUP($D13,Grouped_Sources!$C:$C,1,FALSE())),"", INDIRECT(VLOOKUP($D13,Grouped_Sources!$C:$I,5,FALSE())))</f>
        <v>0</v>
      </c>
      <c r="M13" s="30" t="str">
        <f t="array" aca="1" ref="M13" ca="1">IF(ISNA(VLOOKUP($D13,Grouped_Sources!$C:$C,1,FALSE())),"", INDIRECT(VLOOKUP($D13,Grouped_Sources!$C:$I,6,FALSE())))</f>
        <v>average speeds between London and Delhi travel surveys and where the speeds for Delhi are higher than those for London, the London speeds are chosen</v>
      </c>
      <c r="N13" s="30">
        <f ca="1">IF(ISNA(VLOOKUP($D13,Grouped_Sources!$C:$C,1,FALSE())),"", INDIRECT(VLOOKUP($D13,Grouped_Sources!$C:$I,7,FALSE())))</f>
        <v>0</v>
      </c>
    </row>
    <row r="14" spans="1:14" x14ac:dyDescent="0.25">
      <c r="A14" s="26">
        <v>3</v>
      </c>
      <c r="B14" s="26">
        <v>12</v>
      </c>
      <c r="C14" s="26" t="str">
        <f t="shared" ca="1" si="0"/>
        <v>speeds truck</v>
      </c>
      <c r="D14" s="26" t="str">
        <f t="shared" ca="1" si="1"/>
        <v>speeds_bogota</v>
      </c>
      <c r="E14" s="32" t="str">
        <f t="array" aca="1" ref="E14" ca="1">INDIRECT(ADDRESS(1,A14,1,1,"all_city_parameter_inputs"))</f>
        <v>bogota</v>
      </c>
      <c r="F14" s="32" t="str">
        <f t="array" aca="1" ref="F14" ca="1">IF(AND(ISBLANK(INDIRECT(ADDRESS(B14,2,1,1,"all_city_parameter_inputs"))), ISBLANK(INDIRECT(ADDRESS(B14,1,1,1,"all_city_parameter_inputs")))), "", IF(ISBLANK(INDIRECT(ADDRESS(B14,1,1,1,"all_city_parameter_inputs"))), All_city_list!F13,INDIRECT(ADDRESS(B14,1,1,1,"all_city_parameter_inputs"))))</f>
        <v>speeds</v>
      </c>
      <c r="G14" s="32" t="str">
        <f t="array" aca="1" ref="G14" ca="1">IF(AND(ISBLANK(INDIRECT(ADDRESS(B14,3,1,1,"all_city_parameter_inputs"))),ISBLANK(INDIRECT(ADDRESS(B14,2,1,1,"all_city_parameter_inputs")))),"",IF(ISBLANK(INDIRECT(ADDRESS(B14,2,1,1,"all_city_parameter_inputs"))),"",INDIRECT(ADDRESS(B14,2,1,1,"all_city_parameter_inputs"))))</f>
        <v>truck</v>
      </c>
      <c r="H14" s="33">
        <f t="array" aca="1" ref="H14" ca="1">IF(ISBLANK(INDIRECT(ADDRESS(B14,A14,1,1,"all_city_parameter_inputs"))), "--",INDIRECT(ADDRESS(B14,A14,1,1,"all_city_parameter_inputs")))</f>
        <v>8.1</v>
      </c>
      <c r="I14" s="33">
        <f ca="1">IF(OR(G14="alpha",G14="beta",G14="sd",G14="mean"),"--",VLOOKUP(C14,Default!$B$5:$H$114,7,FALSE()))</f>
        <v>8.1</v>
      </c>
      <c r="J14" s="32" t="str">
        <f ca="1">VLOOKUP(F14,Lookup!$C$5:$D$110,2, FALSE())</f>
        <v>Travel values</v>
      </c>
      <c r="K14" s="32">
        <f ca="1">VLOOKUP(C14,Default!$B$4:$E$114,4, FALSE())</f>
        <v>0</v>
      </c>
      <c r="L14" s="30">
        <f ca="1">IF(ISNA(VLOOKUP($D14,Grouped_Sources!$C:$C,1,FALSE())),"", INDIRECT(VLOOKUP($D14,Grouped_Sources!$C:$I,5,FALSE())))</f>
        <v>0</v>
      </c>
      <c r="M14" s="30" t="str">
        <f t="array" aca="1" ref="M14" ca="1">IF(ISNA(VLOOKUP($D14,Grouped_Sources!$C:$C,1,FALSE())),"", INDIRECT(VLOOKUP($D14,Grouped_Sources!$C:$I,6,FALSE())))</f>
        <v>average speeds between London and Delhi travel surveys and where the speeds for Delhi are higher than those for London, the London speeds are chosen</v>
      </c>
      <c r="N14" s="30">
        <f ca="1">IF(ISNA(VLOOKUP($D14,Grouped_Sources!$C:$C,1,FALSE())),"", INDIRECT(VLOOKUP($D14,Grouped_Sources!$C:$I,7,FALSE())))</f>
        <v>0</v>
      </c>
    </row>
    <row r="15" spans="1:14" x14ac:dyDescent="0.25">
      <c r="A15" s="26">
        <v>3</v>
      </c>
      <c r="B15" s="26">
        <v>13</v>
      </c>
      <c r="C15" s="26" t="str">
        <f t="shared" ca="1" si="0"/>
        <v>speeds van</v>
      </c>
      <c r="D15" s="26" t="str">
        <f t="shared" ca="1" si="1"/>
        <v>speeds_bogota</v>
      </c>
      <c r="E15" s="32" t="str">
        <f t="array" aca="1" ref="E15" ca="1">INDIRECT(ADDRESS(1,A15,1,1,"all_city_parameter_inputs"))</f>
        <v>bogota</v>
      </c>
      <c r="F15" s="32" t="str">
        <f t="array" aca="1" ref="F15" ca="1">IF(AND(ISBLANK(INDIRECT(ADDRESS(B15,2,1,1,"all_city_parameter_inputs"))), ISBLANK(INDIRECT(ADDRESS(B15,1,1,1,"all_city_parameter_inputs")))), "", IF(ISBLANK(INDIRECT(ADDRESS(B15,1,1,1,"all_city_parameter_inputs"))), All_city_list!F14,INDIRECT(ADDRESS(B15,1,1,1,"all_city_parameter_inputs"))))</f>
        <v>speeds</v>
      </c>
      <c r="G15" s="32" t="str">
        <f t="array" aca="1" ref="G15" ca="1">IF(AND(ISBLANK(INDIRECT(ADDRESS(B15,3,1,1,"all_city_parameter_inputs"))),ISBLANK(INDIRECT(ADDRESS(B15,2,1,1,"all_city_parameter_inputs")))),"",IF(ISBLANK(INDIRECT(ADDRESS(B15,2,1,1,"all_city_parameter_inputs"))),"",INDIRECT(ADDRESS(B15,2,1,1,"all_city_parameter_inputs"))))</f>
        <v>van</v>
      </c>
      <c r="H15" s="33">
        <f t="array" aca="1" ref="H15" ca="1">IF(ISBLANK(INDIRECT(ADDRESS(B15,A15,1,1,"all_city_parameter_inputs"))), "--",INDIRECT(ADDRESS(B15,A15,1,1,"all_city_parameter_inputs")))</f>
        <v>13.8</v>
      </c>
      <c r="I15" s="33">
        <f ca="1">IF(OR(G15="alpha",G15="beta",G15="sd",G15="mean"),"--",VLOOKUP(C15,Default!$B$5:$H$114,7,FALSE()))</f>
        <v>13.8</v>
      </c>
      <c r="J15" s="32" t="str">
        <f ca="1">VLOOKUP(F15,Lookup!$C$5:$D$110,2, FALSE())</f>
        <v>Travel values</v>
      </c>
      <c r="K15" s="32">
        <f ca="1">VLOOKUP(C15,Default!$B$4:$E$114,4, FALSE())</f>
        <v>0</v>
      </c>
      <c r="L15" s="30">
        <f ca="1">IF(ISNA(VLOOKUP($D15,Grouped_Sources!$C:$C,1,FALSE())),"", INDIRECT(VLOOKUP($D15,Grouped_Sources!$C:$I,5,FALSE())))</f>
        <v>0</v>
      </c>
      <c r="M15" s="30" t="str">
        <f t="array" aca="1" ref="M15" ca="1">IF(ISNA(VLOOKUP($D15,Grouped_Sources!$C:$C,1,FALSE())),"", INDIRECT(VLOOKUP($D15,Grouped_Sources!$C:$I,6,FALSE())))</f>
        <v>average speeds between London and Delhi travel surveys and where the speeds for Delhi are higher than those for London, the London speeds are chosen</v>
      </c>
      <c r="N15" s="30">
        <f ca="1">IF(ISNA(VLOOKUP($D15,Grouped_Sources!$C:$C,1,FALSE())),"", INDIRECT(VLOOKUP($D15,Grouped_Sources!$C:$I,7,FALSE())))</f>
        <v>0</v>
      </c>
    </row>
    <row r="16" spans="1:14" ht="330" x14ac:dyDescent="0.25">
      <c r="A16" s="26">
        <v>3</v>
      </c>
      <c r="B16" s="26">
        <v>14</v>
      </c>
      <c r="C16" s="26" t="str">
        <f t="shared" ca="1" si="0"/>
        <v>PM_emission_inventories motorcycle</v>
      </c>
      <c r="D16" s="26" t="str">
        <f t="shared" ca="1" si="1"/>
        <v>PM_emission_inventories_bogota</v>
      </c>
      <c r="E16" s="32" t="str">
        <f t="array" aca="1" ref="E16" ca="1">INDIRECT(ADDRESS(1,A16,1,1,"all_city_parameter_inputs"))</f>
        <v>bogota</v>
      </c>
      <c r="F16" s="32" t="str">
        <f t="array" aca="1" ref="F16" ca="1">IF(AND(ISBLANK(INDIRECT(ADDRESS(B16,2,1,1,"all_city_parameter_inputs"))), ISBLANK(INDIRECT(ADDRESS(B16,1,1,1,"all_city_parameter_inputs")))), "", IF(ISBLANK(INDIRECT(ADDRESS(B16,1,1,1,"all_city_parameter_inputs"))), All_city_list!F5,INDIRECT(ADDRESS(B16,1,1,1,"all_city_parameter_inputs"))))</f>
        <v>PM_emission_inventories</v>
      </c>
      <c r="G16" s="32" t="str">
        <f t="array" aca="1" ref="G16" ca="1">IF(AND(ISBLANK(INDIRECT(ADDRESS(B16,3,1,1,"all_city_parameter_inputs"))),ISBLANK(INDIRECT(ADDRESS(B16,2,1,1,"all_city_parameter_inputs")))),"",IF(ISBLANK(INDIRECT(ADDRESS(B16,2,1,1,"all_city_parameter_inputs"))),"",INDIRECT(ADDRESS(B16,2,1,1,"all_city_parameter_inputs"))))</f>
        <v>motorcycle</v>
      </c>
      <c r="H16" s="33">
        <f t="array" aca="1" ref="H16" ca="1">IF(ISBLANK(INDIRECT(ADDRESS(B16,A16,1,1,"all_city_parameter_inputs"))), "--",INDIRECT(ADDRESS(B16,A16,1,1,"all_city_parameter_inputs")))</f>
        <v>2.3031654375338202E-3</v>
      </c>
      <c r="I16" s="33">
        <f ca="1">IF(OR(G16="alpha",G16="beta",G16="sd",G16="mean"),"--",VLOOKUP(C16,Default!$B$5:$H$114,7,FALSE()))</f>
        <v>2.3031654375338202E-3</v>
      </c>
      <c r="J16" s="32" t="str">
        <f ca="1">VLOOKUP(F16,Lookup!$C$5:$D$110,2, FALSE())</f>
        <v>Pollution values</v>
      </c>
      <c r="K16" s="35" t="str">
        <f ca="1">VLOOKUP(C16,Default!$B$4:$E$114,4, FALSE())</f>
        <v>- Used to estimate the PM for scenarios (function "scenario_pm_calculations").
- used as reference to compute confidence around it (function "ithim_setup_parameters").
- used to create VEHICLE_INVENTORY, with speeds, PM and CO2 emissions (function "set_vehicle_inventory").</v>
      </c>
      <c r="L16" s="36" t="s">
        <v>111</v>
      </c>
      <c r="M16" s="29" t="s">
        <v>112</v>
      </c>
      <c r="N16" s="37"/>
    </row>
    <row r="17" spans="1:14" x14ac:dyDescent="0.25">
      <c r="A17" s="26">
        <v>3</v>
      </c>
      <c r="B17" s="26">
        <v>15</v>
      </c>
      <c r="C17" s="26" t="str">
        <f t="shared" ca="1" si="0"/>
        <v>PM_emission_inventories car</v>
      </c>
      <c r="D17" s="26" t="str">
        <f t="shared" ca="1" si="1"/>
        <v>PM_emission_inventories_bogota</v>
      </c>
      <c r="E17" s="32" t="str">
        <f t="array" aca="1" ref="E17" ca="1">INDIRECT(ADDRESS(1,A17,1,1,"all_city_parameter_inputs"))</f>
        <v>bogota</v>
      </c>
      <c r="F17" s="32" t="str">
        <f t="array" aca="1" ref="F17" ca="1">IF(AND(ISBLANK(INDIRECT(ADDRESS(B17,2,1,1,"all_city_parameter_inputs"))), ISBLANK(INDIRECT(ADDRESS(B17,1,1,1,"all_city_parameter_inputs")))), "", IF(ISBLANK(INDIRECT(ADDRESS(B17,1,1,1,"all_city_parameter_inputs"))), All_city_list!F16,INDIRECT(ADDRESS(B17,1,1,1,"all_city_parameter_inputs"))))</f>
        <v>PM_emission_inventories</v>
      </c>
      <c r="G17" s="32" t="str">
        <f t="array" aca="1" ref="G17" ca="1">IF(AND(ISBLANK(INDIRECT(ADDRESS(B17,3,1,1,"all_city_parameter_inputs"))),ISBLANK(INDIRECT(ADDRESS(B17,2,1,1,"all_city_parameter_inputs")))),"",IF(ISBLANK(INDIRECT(ADDRESS(B17,2,1,1,"all_city_parameter_inputs"))),"",INDIRECT(ADDRESS(B17,2,1,1,"all_city_parameter_inputs"))))</f>
        <v>car</v>
      </c>
      <c r="H17" s="33">
        <f t="array" aca="1" ref="H17" ca="1">IF(ISBLANK(INDIRECT(ADDRESS(B17,A17,1,1,"all_city_parameter_inputs"))), "--",INDIRECT(ADDRESS(B17,A17,1,1,"all_city_parameter_inputs")))</f>
        <v>8.1980352806225801E-2</v>
      </c>
      <c r="I17" s="33">
        <f ca="1">IF(OR(G17="alpha",G17="beta",G17="sd",G17="mean"),"--",VLOOKUP(C17,Default!$B$5:$H$114,7,FALSE()))</f>
        <v>8.1980352806225801E-2</v>
      </c>
      <c r="J17" s="32" t="str">
        <f ca="1">VLOOKUP(F17,Lookup!$C$5:$D$110,2, FALSE())</f>
        <v>Pollution values</v>
      </c>
      <c r="K17" s="32">
        <f ca="1">VLOOKUP(C17,Default!$B$4:$E$114,4, FALSE())</f>
        <v>0</v>
      </c>
      <c r="L17" s="30" t="str">
        <f t="array" aca="1" ref="L17" ca="1">IF(ISNA(VLOOKUP($D17,Grouped_Sources!$C:$C,1,FALSE())),"", INDIRECT(VLOOKUP($D17,Grouped_Sources!$C:$I,5,FALSE())))</f>
        <v>https://edgar.jrc.ec.europa.eu/, obtained values based on private correspondence</v>
      </c>
      <c r="M17" s="30" t="str">
        <f t="array" aca="1" ref="M17" ca="1">IF(ISNA(VLOOKUP($D17,Grouped_Sources!$C:$C,1,FALSE())),"", INDIRECT(VLOOKUP($D17,Grouped_Sources!$C:$I,6,FALSE())))</f>
        <v>EDGAR, 2018</v>
      </c>
      <c r="N17" s="30">
        <f ca="1">IF(ISNA(VLOOKUP($D17,Grouped_Sources!$C:$C,1,FALSE())),"", INDIRECT(VLOOKUP($D17,Grouped_Sources!$C:$I,7,FALSE())))</f>
        <v>0</v>
      </c>
    </row>
    <row r="18" spans="1:14" x14ac:dyDescent="0.25">
      <c r="A18" s="26">
        <v>3</v>
      </c>
      <c r="B18" s="26">
        <v>16</v>
      </c>
      <c r="C18" s="26" t="str">
        <f t="shared" ca="1" si="0"/>
        <v>PM_emission_inventories bus_driver</v>
      </c>
      <c r="D18" s="26" t="str">
        <f t="shared" ca="1" si="1"/>
        <v>PM_emission_inventories_bogota</v>
      </c>
      <c r="E18" s="32" t="str">
        <f t="array" aca="1" ref="E18" ca="1">INDIRECT(ADDRESS(1,A18,1,1,"all_city_parameter_inputs"))</f>
        <v>bogota</v>
      </c>
      <c r="F18" s="32" t="str">
        <f t="array" aca="1" ref="F18" ca="1">IF(AND(ISBLANK(INDIRECT(ADDRESS(B18,2,1,1,"all_city_parameter_inputs"))), ISBLANK(INDIRECT(ADDRESS(B18,1,1,1,"all_city_parameter_inputs")))), "", IF(ISBLANK(INDIRECT(ADDRESS(B18,1,1,1,"all_city_parameter_inputs"))), All_city_list!F17,INDIRECT(ADDRESS(B18,1,1,1,"all_city_parameter_inputs"))))</f>
        <v>PM_emission_inventories</v>
      </c>
      <c r="G18" s="32" t="str">
        <f t="array" aca="1" ref="G18" ca="1">IF(AND(ISBLANK(INDIRECT(ADDRESS(B18,3,1,1,"all_city_parameter_inputs"))),ISBLANK(INDIRECT(ADDRESS(B18,2,1,1,"all_city_parameter_inputs")))),"",IF(ISBLANK(INDIRECT(ADDRESS(B18,2,1,1,"all_city_parameter_inputs"))),"",INDIRECT(ADDRESS(B18,2,1,1,"all_city_parameter_inputs"))))</f>
        <v>bus_driver</v>
      </c>
      <c r="H18" s="33">
        <f t="array" aca="1" ref="H18" ca="1">IF(ISBLANK(INDIRECT(ADDRESS(B18,A18,1,1,"all_city_parameter_inputs"))), "--",INDIRECT(ADDRESS(B18,A18,1,1,"all_city_parameter_inputs")))</f>
        <v>0.12246677425253299</v>
      </c>
      <c r="I18" s="33">
        <f ca="1">IF(OR(G18="alpha",G18="beta",G18="sd",G18="mean"),"--",VLOOKUP(C18,Default!$B$5:$H$114,7,FALSE()))</f>
        <v>0.12246677425253299</v>
      </c>
      <c r="J18" s="32" t="str">
        <f ca="1">VLOOKUP(F18,Lookup!$C$5:$D$110,2, FALSE())</f>
        <v>Pollution values</v>
      </c>
      <c r="K18" s="32">
        <f ca="1">VLOOKUP(C18,Default!$B$4:$E$114,4, FALSE())</f>
        <v>0</v>
      </c>
      <c r="L18" s="30" t="str">
        <f t="array" aca="1" ref="L18" ca="1">IF(ISNA(VLOOKUP($D18,Grouped_Sources!$C:$C,1,FALSE())),"", INDIRECT(VLOOKUP($D18,Grouped_Sources!$C:$I,5,FALSE())))</f>
        <v>https://edgar.jrc.ec.europa.eu/, obtained values based on private correspondence</v>
      </c>
      <c r="M18" s="30" t="str">
        <f t="array" aca="1" ref="M18" ca="1">IF(ISNA(VLOOKUP($D18,Grouped_Sources!$C:$C,1,FALSE())),"", INDIRECT(VLOOKUP($D18,Grouped_Sources!$C:$I,6,FALSE())))</f>
        <v>EDGAR, 2018</v>
      </c>
      <c r="N18" s="30">
        <f ca="1">IF(ISNA(VLOOKUP($D18,Grouped_Sources!$C:$C,1,FALSE())),"", INDIRECT(VLOOKUP($D18,Grouped_Sources!$C:$I,7,FALSE())))</f>
        <v>0</v>
      </c>
    </row>
    <row r="19" spans="1:14" x14ac:dyDescent="0.25">
      <c r="A19" s="26">
        <v>3</v>
      </c>
      <c r="B19" s="26">
        <v>17</v>
      </c>
      <c r="C19" s="26" t="str">
        <f t="shared" ca="1" si="0"/>
        <v>PM_emission_inventories heavy_truck</v>
      </c>
      <c r="D19" s="26" t="str">
        <f t="shared" ca="1" si="1"/>
        <v>PM_emission_inventories_bogota</v>
      </c>
      <c r="E19" s="32" t="str">
        <f t="array" aca="1" ref="E19" ca="1">INDIRECT(ADDRESS(1,A19,1,1,"all_city_parameter_inputs"))</f>
        <v>bogota</v>
      </c>
      <c r="F19" s="32" t="str">
        <f t="array" aca="1" ref="F19" ca="1">IF(AND(ISBLANK(INDIRECT(ADDRESS(B19,2,1,1,"all_city_parameter_inputs"))), ISBLANK(INDIRECT(ADDRESS(B19,1,1,1,"all_city_parameter_inputs")))), "", IF(ISBLANK(INDIRECT(ADDRESS(B19,1,1,1,"all_city_parameter_inputs"))), All_city_list!F18,INDIRECT(ADDRESS(B19,1,1,1,"all_city_parameter_inputs"))))</f>
        <v>PM_emission_inventories</v>
      </c>
      <c r="G19" s="32" t="str">
        <f t="array" aca="1" ref="G19" ca="1">IF(AND(ISBLANK(INDIRECT(ADDRESS(B19,3,1,1,"all_city_parameter_inputs"))),ISBLANK(INDIRECT(ADDRESS(B19,2,1,1,"all_city_parameter_inputs")))),"",IF(ISBLANK(INDIRECT(ADDRESS(B19,2,1,1,"all_city_parameter_inputs"))),"",INDIRECT(ADDRESS(B19,2,1,1,"all_city_parameter_inputs"))))</f>
        <v>heavy_truck</v>
      </c>
      <c r="H19" s="33">
        <f t="array" aca="1" ref="H19" ca="1">IF(ISBLANK(INDIRECT(ADDRESS(B19,A19,1,1,"all_city_parameter_inputs"))), "--",INDIRECT(ADDRESS(B19,A19,1,1,"all_city_parameter_inputs")))</f>
        <v>0.45445403783708499</v>
      </c>
      <c r="I19" s="33">
        <f ca="1">IF(OR(G19="alpha",G19="beta",G19="sd",G19="mean"),"--",VLOOKUP(C19,Default!$B$5:$H$114,7,FALSE()))</f>
        <v>0.45445403783708499</v>
      </c>
      <c r="J19" s="32" t="str">
        <f ca="1">VLOOKUP(F19,Lookup!$C$5:$D$110,2, FALSE())</f>
        <v>Pollution values</v>
      </c>
      <c r="K19" s="32">
        <f ca="1">VLOOKUP(C19,Default!$B$4:$E$114,4, FALSE())</f>
        <v>0</v>
      </c>
      <c r="L19" s="30" t="str">
        <f t="array" aca="1" ref="L19" ca="1">IF(ISNA(VLOOKUP($D19,Grouped_Sources!$C:$C,1,FALSE())),"", INDIRECT(VLOOKUP($D19,Grouped_Sources!$C:$I,5,FALSE())))</f>
        <v>https://edgar.jrc.ec.europa.eu/, obtained values based on private correspondence</v>
      </c>
      <c r="M19" s="30" t="str">
        <f t="array" aca="1" ref="M19" ca="1">IF(ISNA(VLOOKUP($D19,Grouped_Sources!$C:$C,1,FALSE())),"", INDIRECT(VLOOKUP($D19,Grouped_Sources!$C:$I,6,FALSE())))</f>
        <v>EDGAR, 2018</v>
      </c>
      <c r="N19" s="30">
        <f ca="1">IF(ISNA(VLOOKUP($D19,Grouped_Sources!$C:$C,1,FALSE())),"", INDIRECT(VLOOKUP($D19,Grouped_Sources!$C:$I,7,FALSE())))</f>
        <v>0</v>
      </c>
    </row>
    <row r="20" spans="1:14" x14ac:dyDescent="0.25">
      <c r="A20" s="26">
        <v>3</v>
      </c>
      <c r="B20" s="26">
        <v>18</v>
      </c>
      <c r="C20" s="26" t="str">
        <f t="shared" ca="1" si="0"/>
        <v>PM_emission_inventories truck</v>
      </c>
      <c r="D20" s="26" t="str">
        <f t="shared" ca="1" si="1"/>
        <v>PM_emission_inventories_bogota</v>
      </c>
      <c r="E20" s="32" t="str">
        <f t="array" aca="1" ref="E20" ca="1">INDIRECT(ADDRESS(1,A20,1,1,"all_city_parameter_inputs"))</f>
        <v>bogota</v>
      </c>
      <c r="F20" s="32" t="str">
        <f t="array" aca="1" ref="F20" ca="1">IF(AND(ISBLANK(INDIRECT(ADDRESS(B20,2,1,1,"all_city_parameter_inputs"))), ISBLANK(INDIRECT(ADDRESS(B20,1,1,1,"all_city_parameter_inputs")))), "", IF(ISBLANK(INDIRECT(ADDRESS(B20,1,1,1,"all_city_parameter_inputs"))), All_city_list!F19,INDIRECT(ADDRESS(B20,1,1,1,"all_city_parameter_inputs"))))</f>
        <v>PM_emission_inventories</v>
      </c>
      <c r="G20" s="32" t="str">
        <f t="array" aca="1" ref="G20" ca="1">IF(AND(ISBLANK(INDIRECT(ADDRESS(B20,3,1,1,"all_city_parameter_inputs"))),ISBLANK(INDIRECT(ADDRESS(B20,2,1,1,"all_city_parameter_inputs")))),"",IF(ISBLANK(INDIRECT(ADDRESS(B20,2,1,1,"all_city_parameter_inputs"))),"",INDIRECT(ADDRESS(B20,2,1,1,"all_city_parameter_inputs"))))</f>
        <v>truck</v>
      </c>
      <c r="H20" s="33">
        <f t="array" aca="1" ref="H20" ca="1">IF(ISBLANK(INDIRECT(ADDRESS(B20,A20,1,1,"all_city_parameter_inputs"))), "--",INDIRECT(ADDRESS(B20,A20,1,1,"all_city_parameter_inputs")))</f>
        <v>0.338795669666623</v>
      </c>
      <c r="I20" s="33">
        <f ca="1">IF(OR(G20="alpha",G20="beta",G20="sd",G20="mean"),"--",VLOOKUP(C20,Default!$B$5:$H$114,7,FALSE()))</f>
        <v>0.338795669666623</v>
      </c>
      <c r="J20" s="32" t="str">
        <f ca="1">VLOOKUP(F20,Lookup!$C$5:$D$110,2, FALSE())</f>
        <v>Pollution values</v>
      </c>
      <c r="K20" s="32">
        <f ca="1">VLOOKUP(C20,Default!$B$4:$E$114,4, FALSE())</f>
        <v>0</v>
      </c>
      <c r="L20" s="30" t="str">
        <f t="array" aca="1" ref="L20" ca="1">IF(ISNA(VLOOKUP($D20,Grouped_Sources!$C:$C,1,FALSE())),"", INDIRECT(VLOOKUP($D20,Grouped_Sources!$C:$I,5,FALSE())))</f>
        <v>https://edgar.jrc.ec.europa.eu/, obtained values based on private correspondence</v>
      </c>
      <c r="M20" s="30" t="str">
        <f t="array" aca="1" ref="M20" ca="1">IF(ISNA(VLOOKUP($D20,Grouped_Sources!$C:$C,1,FALSE())),"", INDIRECT(VLOOKUP($D20,Grouped_Sources!$C:$I,6,FALSE())))</f>
        <v>EDGAR, 2018</v>
      </c>
      <c r="N20" s="30">
        <f ca="1">IF(ISNA(VLOOKUP($D20,Grouped_Sources!$C:$C,1,FALSE())),"", INDIRECT(VLOOKUP($D20,Grouped_Sources!$C:$I,7,FALSE())))</f>
        <v>0</v>
      </c>
    </row>
    <row r="21" spans="1:14" x14ac:dyDescent="0.25">
      <c r="A21" s="26">
        <v>3</v>
      </c>
      <c r="B21" s="26">
        <v>19</v>
      </c>
      <c r="C21" s="26" t="str">
        <f t="shared" ca="1" si="0"/>
        <v>PM_emission_inventories van</v>
      </c>
      <c r="D21" s="26" t="str">
        <f t="shared" ca="1" si="1"/>
        <v>PM_emission_inventories_bogota</v>
      </c>
      <c r="E21" s="32" t="str">
        <f t="array" aca="1" ref="E21" ca="1">INDIRECT(ADDRESS(1,A21,1,1,"all_city_parameter_inputs"))</f>
        <v>bogota</v>
      </c>
      <c r="F21" s="32" t="str">
        <f t="array" aca="1" ref="F21" ca="1">IF(AND(ISBLANK(INDIRECT(ADDRESS(B21,2,1,1,"all_city_parameter_inputs"))), ISBLANK(INDIRECT(ADDRESS(B21,1,1,1,"all_city_parameter_inputs")))), "", IF(ISBLANK(INDIRECT(ADDRESS(B21,1,1,1,"all_city_parameter_inputs"))), All_city_list!F20,INDIRECT(ADDRESS(B21,1,1,1,"all_city_parameter_inputs"))))</f>
        <v>PM_emission_inventories</v>
      </c>
      <c r="G21" s="32" t="str">
        <f t="array" aca="1" ref="G21" ca="1">IF(AND(ISBLANK(INDIRECT(ADDRESS(B21,3,1,1,"all_city_parameter_inputs"))),ISBLANK(INDIRECT(ADDRESS(B21,2,1,1,"all_city_parameter_inputs")))),"",IF(ISBLANK(INDIRECT(ADDRESS(B21,2,1,1,"all_city_parameter_inputs"))),"",INDIRECT(ADDRESS(B21,2,1,1,"all_city_parameter_inputs"))))</f>
        <v>van</v>
      </c>
      <c r="H21" s="33">
        <f t="array" aca="1" ref="H21" ca="1">IF(ISBLANK(INDIRECT(ADDRESS(B21,A21,1,1,"all_city_parameter_inputs"))), "--",INDIRECT(ADDRESS(B21,A21,1,1,"all_city_parameter_inputs")))</f>
        <v>0</v>
      </c>
      <c r="I21" s="38">
        <f ca="1">IF(OR(G21="alpha",G21="beta",G21="sd",G21="mean"),"--",VLOOKUP(C21,Default!$B$5:$H$114,7,FALSE()))</f>
        <v>0</v>
      </c>
      <c r="J21" s="32" t="str">
        <f ca="1">VLOOKUP(F21,Lookup!$C$5:$D$110,2, FALSE())</f>
        <v>Pollution values</v>
      </c>
      <c r="K21" s="32">
        <f ca="1">VLOOKUP(C21,Default!$B$4:$E$114,4, FALSE())</f>
        <v>0</v>
      </c>
      <c r="L21" s="30" t="str">
        <f t="array" aca="1" ref="L21" ca="1">IF(ISNA(VLOOKUP($D21,Grouped_Sources!$C:$C,1,FALSE())),"", INDIRECT(VLOOKUP($D21,Grouped_Sources!$C:$I,5,FALSE())))</f>
        <v>https://edgar.jrc.ec.europa.eu/, obtained values based on private correspondence</v>
      </c>
      <c r="M21" s="30" t="str">
        <f t="array" aca="1" ref="M21" ca="1">IF(ISNA(VLOOKUP($D21,Grouped_Sources!$C:$C,1,FALSE())),"", INDIRECT(VLOOKUP($D21,Grouped_Sources!$C:$I,6,FALSE())))</f>
        <v>EDGAR, 2018</v>
      </c>
      <c r="N21" s="30">
        <f ca="1">IF(ISNA(VLOOKUP($D21,Grouped_Sources!$C:$C,1,FALSE())),"", INDIRECT(VLOOKUP($D21,Grouped_Sources!$C:$I,7,FALSE())))</f>
        <v>0</v>
      </c>
    </row>
    <row r="22" spans="1:14" x14ac:dyDescent="0.25">
      <c r="A22" s="26">
        <v>3</v>
      </c>
      <c r="B22" s="26">
        <v>20</v>
      </c>
      <c r="C22" s="26" t="str">
        <f t="shared" ca="1" si="0"/>
        <v>PM_emission_inventories other</v>
      </c>
      <c r="D22" s="26" t="str">
        <f t="shared" ca="1" si="1"/>
        <v>PM_emission_inventories_bogota</v>
      </c>
      <c r="E22" s="32" t="str">
        <f t="array" aca="1" ref="E22" ca="1">INDIRECT(ADDRESS(1,A22,1,1,"all_city_parameter_inputs"))</f>
        <v>bogota</v>
      </c>
      <c r="F22" s="32" t="str">
        <f t="array" aca="1" ref="F22" ca="1">IF(AND(ISBLANK(INDIRECT(ADDRESS(B22,2,1,1,"all_city_parameter_inputs"))), ISBLANK(INDIRECT(ADDRESS(B22,1,1,1,"all_city_parameter_inputs")))), "", IF(ISBLANK(INDIRECT(ADDRESS(B22,1,1,1,"all_city_parameter_inputs"))), All_city_list!F21,INDIRECT(ADDRESS(B22,1,1,1,"all_city_parameter_inputs"))))</f>
        <v>PM_emission_inventories</v>
      </c>
      <c r="G22" s="32" t="str">
        <f t="array" aca="1" ref="G22" ca="1">IF(AND(ISBLANK(INDIRECT(ADDRESS(B22,3,1,1,"all_city_parameter_inputs"))),ISBLANK(INDIRECT(ADDRESS(B22,2,1,1,"all_city_parameter_inputs")))),"",IF(ISBLANK(INDIRECT(ADDRESS(B22,2,1,1,"all_city_parameter_inputs"))),"",INDIRECT(ADDRESS(B22,2,1,1,"all_city_parameter_inputs"))))</f>
        <v>other</v>
      </c>
      <c r="H22" s="33">
        <f t="array" aca="1" ref="H22" ca="1">IF(ISBLANK(INDIRECT(ADDRESS(B22,A22,1,1,"all_city_parameter_inputs"))), "--",INDIRECT(ADDRESS(B22,A22,1,1,"all_city_parameter_inputs")))</f>
        <v>0</v>
      </c>
      <c r="I22" s="38">
        <f ca="1">IF(OR(G22="alpha",G22="beta",G22="sd",G22="mean"),"--",VLOOKUP(C22,Default!$B$5:$H$114,7,FALSE()))</f>
        <v>0</v>
      </c>
      <c r="J22" s="32" t="str">
        <f ca="1">VLOOKUP(F22,Lookup!$C$5:$D$110,2, FALSE())</f>
        <v>Pollution values</v>
      </c>
      <c r="K22" s="32">
        <f ca="1">VLOOKUP(C22,Default!$B$4:$E$114,4, FALSE())</f>
        <v>0</v>
      </c>
      <c r="L22" s="30" t="str">
        <f t="array" aca="1" ref="L22" ca="1">IF(ISNA(VLOOKUP($D22,Grouped_Sources!$C:$C,1,FALSE())),"", INDIRECT(VLOOKUP($D22,Grouped_Sources!$C:$I,5,FALSE())))</f>
        <v>https://edgar.jrc.ec.europa.eu/, obtained values based on private correspondence</v>
      </c>
      <c r="M22" s="30" t="str">
        <f t="array" aca="1" ref="M22" ca="1">IF(ISNA(VLOOKUP($D22,Grouped_Sources!$C:$C,1,FALSE())),"", INDIRECT(VLOOKUP($D22,Grouped_Sources!$C:$I,6,FALSE())))</f>
        <v>EDGAR, 2018</v>
      </c>
      <c r="N22" s="30">
        <f ca="1">IF(ISNA(VLOOKUP($D22,Grouped_Sources!$C:$C,1,FALSE())),"", INDIRECT(VLOOKUP($D22,Grouped_Sources!$C:$I,7,FALSE())))</f>
        <v>0</v>
      </c>
    </row>
    <row r="23" spans="1:14" x14ac:dyDescent="0.25">
      <c r="A23" s="26">
        <v>3</v>
      </c>
      <c r="B23" s="26">
        <v>21</v>
      </c>
      <c r="C23" s="26" t="str">
        <f t="shared" ca="1" si="0"/>
        <v>PM_emission_inventories taxi</v>
      </c>
      <c r="D23" s="26" t="str">
        <f t="shared" ca="1" si="1"/>
        <v>PM_emission_inventories_bogota</v>
      </c>
      <c r="E23" s="32" t="str">
        <f t="array" aca="1" ref="E23" ca="1">INDIRECT(ADDRESS(1,A23,1,1,"all_city_parameter_inputs"))</f>
        <v>bogota</v>
      </c>
      <c r="F23" s="32" t="str">
        <f t="array" aca="1" ref="F23" ca="1">IF(AND(ISBLANK(INDIRECT(ADDRESS(B23,2,1,1,"all_city_parameter_inputs"))), ISBLANK(INDIRECT(ADDRESS(B23,1,1,1,"all_city_parameter_inputs")))), "", IF(ISBLANK(INDIRECT(ADDRESS(B23,1,1,1,"all_city_parameter_inputs"))), All_city_list!F22,INDIRECT(ADDRESS(B23,1,1,1,"all_city_parameter_inputs"))))</f>
        <v>PM_emission_inventories</v>
      </c>
      <c r="G23" s="32" t="str">
        <f t="array" aca="1" ref="G23" ca="1">IF(AND(ISBLANK(INDIRECT(ADDRESS(B23,3,1,1,"all_city_parameter_inputs"))),ISBLANK(INDIRECT(ADDRESS(B23,2,1,1,"all_city_parameter_inputs")))),"",IF(ISBLANK(INDIRECT(ADDRESS(B23,2,1,1,"all_city_parameter_inputs"))),"",INDIRECT(ADDRESS(B23,2,1,1,"all_city_parameter_inputs"))))</f>
        <v>taxi</v>
      </c>
      <c r="H23" s="33">
        <f t="array" aca="1" ref="H23" ca="1">IF(ISBLANK(INDIRECT(ADDRESS(B23,A23,1,1,"all_city_parameter_inputs"))), "--",INDIRECT(ADDRESS(B23,A23,1,1,"all_city_parameter_inputs")))</f>
        <v>0</v>
      </c>
      <c r="I23" s="38">
        <f ca="1">IF(OR(G23="alpha",G23="beta",G23="sd",G23="mean"),"--",VLOOKUP(C23,Default!$B$5:$H$114,7,FALSE()))</f>
        <v>0</v>
      </c>
      <c r="J23" s="32" t="str">
        <f ca="1">VLOOKUP(F23,Lookup!$C$5:$D$110,2, FALSE())</f>
        <v>Pollution values</v>
      </c>
      <c r="K23" s="32">
        <f ca="1">VLOOKUP(C23,Default!$B$4:$E$114,4, FALSE())</f>
        <v>0</v>
      </c>
      <c r="L23" s="30" t="str">
        <f t="array" aca="1" ref="L23" ca="1">IF(ISNA(VLOOKUP($D23,Grouped_Sources!$C:$C,1,FALSE())),"", INDIRECT(VLOOKUP($D23,Grouped_Sources!$C:$I,5,FALSE())))</f>
        <v>https://edgar.jrc.ec.europa.eu/, obtained values based on private correspondence</v>
      </c>
      <c r="M23" s="30" t="str">
        <f t="array" aca="1" ref="M23" ca="1">IF(ISNA(VLOOKUP($D23,Grouped_Sources!$C:$C,1,FALSE())),"", INDIRECT(VLOOKUP($D23,Grouped_Sources!$C:$I,6,FALSE())))</f>
        <v>EDGAR, 2018</v>
      </c>
      <c r="N23" s="30">
        <f ca="1">IF(ISNA(VLOOKUP($D23,Grouped_Sources!$C:$C,1,FALSE())),"", INDIRECT(VLOOKUP($D23,Grouped_Sources!$C:$I,7,FALSE())))</f>
        <v>0</v>
      </c>
    </row>
    <row r="24" spans="1:14" x14ac:dyDescent="0.25">
      <c r="A24" s="26">
        <v>3</v>
      </c>
      <c r="B24" s="26">
        <v>22</v>
      </c>
      <c r="C24" s="26" t="str">
        <f t="shared" ca="1" si="0"/>
        <v>PM_emission_inventories auto_rickshaw</v>
      </c>
      <c r="D24" s="26" t="str">
        <f t="shared" ca="1" si="1"/>
        <v>PM_emission_inventories_bogota</v>
      </c>
      <c r="E24" s="32" t="str">
        <f t="array" aca="1" ref="E24" ca="1">INDIRECT(ADDRESS(1,A24,1,1,"all_city_parameter_inputs"))</f>
        <v>bogota</v>
      </c>
      <c r="F24" s="32" t="str">
        <f t="array" aca="1" ref="F24" ca="1">IF(AND(ISBLANK(INDIRECT(ADDRESS(B24,2,1,1,"all_city_parameter_inputs"))), ISBLANK(INDIRECT(ADDRESS(B24,1,1,1,"all_city_parameter_inputs")))), "", IF(ISBLANK(INDIRECT(ADDRESS(B24,1,1,1,"all_city_parameter_inputs"))), All_city_list!F23,INDIRECT(ADDRESS(B24,1,1,1,"all_city_parameter_inputs"))))</f>
        <v>PM_emission_inventories</v>
      </c>
      <c r="G24" s="32" t="str">
        <f t="array" aca="1" ref="G24" ca="1">IF(AND(ISBLANK(INDIRECT(ADDRESS(B24,3,1,1,"all_city_parameter_inputs"))),ISBLANK(INDIRECT(ADDRESS(B24,2,1,1,"all_city_parameter_inputs")))),"",IF(ISBLANK(INDIRECT(ADDRESS(B24,2,1,1,"all_city_parameter_inputs"))),"",INDIRECT(ADDRESS(B24,2,1,1,"all_city_parameter_inputs"))))</f>
        <v>auto_rickshaw</v>
      </c>
      <c r="H24" s="33">
        <f t="array" aca="1" ref="H24" ca="1">IF(ISBLANK(INDIRECT(ADDRESS(B24,A24,1,1,"all_city_parameter_inputs"))), "--",INDIRECT(ADDRESS(B24,A24,1,1,"all_city_parameter_inputs")))</f>
        <v>0</v>
      </c>
      <c r="I24" s="38">
        <f ca="1">IF(OR(G24="alpha",G24="beta",G24="sd",G24="mean"),"--",VLOOKUP(C24,Default!$B$5:$H$114,7,FALSE()))</f>
        <v>0</v>
      </c>
      <c r="J24" s="32" t="str">
        <f ca="1">VLOOKUP(F24,Lookup!$C$5:$D$110,2, FALSE())</f>
        <v>Pollution values</v>
      </c>
      <c r="K24" s="32">
        <f ca="1">VLOOKUP(C24,Default!$B$4:$E$114,4, FALSE())</f>
        <v>0</v>
      </c>
      <c r="L24" s="30" t="str">
        <f t="array" aca="1" ref="L24" ca="1">IF(ISNA(VLOOKUP($D24,Grouped_Sources!$C:$C,1,FALSE())),"", INDIRECT(VLOOKUP($D24,Grouped_Sources!$C:$I,5,FALSE())))</f>
        <v>https://edgar.jrc.ec.europa.eu/, obtained values based on private correspondence</v>
      </c>
      <c r="M24" s="30" t="str">
        <f t="array" aca="1" ref="M24" ca="1">IF(ISNA(VLOOKUP($D24,Grouped_Sources!$C:$C,1,FALSE())),"", INDIRECT(VLOOKUP($D24,Grouped_Sources!$C:$I,6,FALSE())))</f>
        <v>EDGAR, 2018</v>
      </c>
      <c r="N24" s="30">
        <f ca="1">IF(ISNA(VLOOKUP($D24,Grouped_Sources!$C:$C,1,FALSE())),"", INDIRECT(VLOOKUP($D24,Grouped_Sources!$C:$I,7,FALSE())))</f>
        <v>0</v>
      </c>
    </row>
    <row r="25" spans="1:14" x14ac:dyDescent="0.25">
      <c r="A25" s="26">
        <v>3</v>
      </c>
      <c r="B25" s="26">
        <v>23</v>
      </c>
      <c r="C25" s="26" t="str">
        <f t="shared" ca="1" si="0"/>
        <v>pm_conc_base</v>
      </c>
      <c r="D25" s="26" t="str">
        <f t="shared" ca="1" si="1"/>
        <v>pm_conc_base_bogota</v>
      </c>
      <c r="E25" s="32" t="str">
        <f t="array" aca="1" ref="E25" ca="1">INDIRECT(ADDRESS(1,A25,1,1,"all_city_parameter_inputs"))</f>
        <v>bogota</v>
      </c>
      <c r="F25" s="32" t="str">
        <f t="array" aca="1" ref="F25" ca="1">IF(AND(ISBLANK(INDIRECT(ADDRESS(B25,2,1,1,"all_city_parameter_inputs"))), ISBLANK(INDIRECT(ADDRESS(B25,1,1,1,"all_city_parameter_inputs")))), "", IF(ISBLANK(INDIRECT(ADDRESS(B25,1,1,1,"all_city_parameter_inputs"))), All_city_list!F24,INDIRECT(ADDRESS(B25,1,1,1,"all_city_parameter_inputs"))))</f>
        <v>pm_conc_base</v>
      </c>
      <c r="G25" s="32" t="str">
        <f t="array" aca="1" ref="G25" ca="1">IF(AND(ISBLANK(INDIRECT(ADDRESS(B25,3,1,1,"all_city_parameter_inputs"))),ISBLANK(INDIRECT(ADDRESS(B25,2,1,1,"all_city_parameter_inputs")))),"",IF(ISBLANK(INDIRECT(ADDRESS(B25,2,1,1,"all_city_parameter_inputs"))),"",INDIRECT(ADDRESS(B25,2,1,1,"all_city_parameter_inputs"))))</f>
        <v>constant</v>
      </c>
      <c r="H25" s="33">
        <f t="array" aca="1" ref="H25" ca="1">IF(ISBLANK(INDIRECT(ADDRESS(B25,A25,1,1,"all_city_parameter_inputs"))), "--",INDIRECT(ADDRESS(B25,A25,1,1,"all_city_parameter_inputs")))</f>
        <v>12.69</v>
      </c>
      <c r="I25" s="33">
        <f ca="1">IF(OR(G25="alpha",G25="beta",G25="sd",G25="mean"),"--",VLOOKUP(C25,Default!$B$5:$H$114,7,FALSE()))</f>
        <v>12.69</v>
      </c>
      <c r="J25" s="32" t="str">
        <f ca="1">VLOOKUP(F25,Lookup!$C$5:$D$110,2, FALSE())</f>
        <v>Pollution values</v>
      </c>
      <c r="K25" s="32" t="str">
        <f ca="1">VLOOKUP(C25,Default!$B$4:$E$114,4, FALSE())</f>
        <v>background PM2.5 concentration</v>
      </c>
      <c r="L25" s="39" t="s">
        <v>113</v>
      </c>
      <c r="M25" s="40" t="s">
        <v>114</v>
      </c>
      <c r="N25" s="30"/>
    </row>
    <row r="26" spans="1:14" x14ac:dyDescent="0.25">
      <c r="A26" s="26">
        <v>3</v>
      </c>
      <c r="B26" s="26">
        <v>24</v>
      </c>
      <c r="C26" s="26" t="str">
        <f t="shared" ca="1" si="0"/>
        <v>pm_conc_base</v>
      </c>
      <c r="D26" s="26" t="str">
        <f t="shared" ca="1" si="1"/>
        <v>pm_conc_base_bogota</v>
      </c>
      <c r="E26" s="32" t="str">
        <f t="array" aca="1" ref="E26" ca="1">INDIRECT(ADDRESS(1,A26,1,1,"all_city_parameter_inputs"))</f>
        <v>bogota</v>
      </c>
      <c r="F26" s="32" t="str">
        <f t="array" aca="1" ref="F26" ca="1">IF(AND(ISBLANK(INDIRECT(ADDRESS(B26,2,1,1,"all_city_parameter_inputs"))), ISBLANK(INDIRECT(ADDRESS(B26,1,1,1,"all_city_parameter_inputs")))), "", IF(ISBLANK(INDIRECT(ADDRESS(B26,1,1,1,"all_city_parameter_inputs"))), All_city_list!F25,INDIRECT(ADDRESS(B26,1,1,1,"all_city_parameter_inputs"))))</f>
        <v>pm_conc_base</v>
      </c>
      <c r="G26" s="32" t="str">
        <f t="array" aca="1" ref="G26" ca="1">IF(AND(ISBLANK(INDIRECT(ADDRESS(B26,3,1,1,"all_city_parameter_inputs"))),ISBLANK(INDIRECT(ADDRESS(B26,2,1,1,"all_city_parameter_inputs")))),"",IF(ISBLANK(INDIRECT(ADDRESS(B26,2,1,1,"all_city_parameter_inputs"))),"",INDIRECT(ADDRESS(B26,2,1,1,"all_city_parameter_inputs"))))</f>
        <v>mean</v>
      </c>
      <c r="H26" s="33">
        <f t="array" aca="1" ref="H26" ca="1">IF(ISBLANK(INDIRECT(ADDRESS(B26,A26,1,1,"all_city_parameter_inputs"))), "--",INDIRECT(ADDRESS(B26,A26,1,1,"all_city_parameter_inputs")))</f>
        <v>12.5058316822947</v>
      </c>
      <c r="I26" s="33" t="str">
        <f ca="1">IF(OR(G26="alpha",G26="beta",G26="sd",G26="mean"),"--",VLOOKUP(C26,Default!$B$5:$H$114,7,FALSE()))</f>
        <v>--</v>
      </c>
      <c r="J26" s="32" t="str">
        <f ca="1">VLOOKUP(F26,Lookup!$C$5:$D$110,2, FALSE())</f>
        <v>Pollution values</v>
      </c>
      <c r="K26" s="32" t="str">
        <f ca="1">VLOOKUP(C26,Default!$B$4:$E$114,4, FALSE())</f>
        <v>background PM2.5 concentration</v>
      </c>
      <c r="L26" s="30" t="str">
        <f t="array" aca="1" ref="L26" ca="1">IF(ISNA(VLOOKUP($D26,Grouped_Sources!$C:$C,1,FALSE())),"", INDIRECT(VLOOKUP($D26,Grouped_Sources!$C:$I,5,FALSE())))</f>
        <v xml:space="preserve">https://www.who.int/publications/i/item/9789241565684 </v>
      </c>
      <c r="M26" s="30" t="str">
        <f t="array" aca="1" ref="M26" ca="1">IF(ISNA(VLOOKUP($D26,Grouped_Sources!$C:$C,1,FALSE())),"", INDIRECT(VLOOKUP($D26,Grouped_Sources!$C:$I,6,FALSE())))</f>
        <v>WHO report giving reported and estimated injury statistics at a country level. The underreporting for Colombia is approx 20% but we assumed that the underreporting at a city level is half this value, i.e. 10%. So parameter was set to 1-0.1= 0.9</v>
      </c>
      <c r="N26" s="30">
        <f ca="1">IF(ISNA(VLOOKUP($D26,Grouped_Sources!$C:$C,1,FALSE())),"", INDIRECT(VLOOKUP($D26,Grouped_Sources!$C:$I,7,FALSE())))</f>
        <v>0</v>
      </c>
    </row>
    <row r="27" spans="1:14" x14ac:dyDescent="0.25">
      <c r="A27" s="26">
        <v>3</v>
      </c>
      <c r="B27" s="26">
        <v>25</v>
      </c>
      <c r="C27" s="26" t="str">
        <f t="shared" ca="1" si="0"/>
        <v>pm_conc_base</v>
      </c>
      <c r="D27" s="26" t="str">
        <f t="shared" ca="1" si="1"/>
        <v>pm_conc_base_bogota</v>
      </c>
      <c r="E27" s="32" t="str">
        <f t="array" aca="1" ref="E27" ca="1">INDIRECT(ADDRESS(1,A27,1,1,"all_city_parameter_inputs"))</f>
        <v>bogota</v>
      </c>
      <c r="F27" s="32" t="str">
        <f t="array" aca="1" ref="F27" ca="1">IF(AND(ISBLANK(INDIRECT(ADDRESS(B27,2,1,1,"all_city_parameter_inputs"))), ISBLANK(INDIRECT(ADDRESS(B27,1,1,1,"all_city_parameter_inputs")))), "", IF(ISBLANK(INDIRECT(ADDRESS(B27,1,1,1,"all_city_parameter_inputs"))), All_city_list!F26,INDIRECT(ADDRESS(B27,1,1,1,"all_city_parameter_inputs"))))</f>
        <v>pm_conc_base</v>
      </c>
      <c r="G27" s="32" t="str">
        <f t="array" aca="1" ref="G27" ca="1">IF(AND(ISBLANK(INDIRECT(ADDRESS(B27,3,1,1,"all_city_parameter_inputs"))),ISBLANK(INDIRECT(ADDRESS(B27,2,1,1,"all_city_parameter_inputs")))),"",IF(ISBLANK(INDIRECT(ADDRESS(B27,2,1,1,"all_city_parameter_inputs"))),"",INDIRECT(ADDRESS(B27,2,1,1,"all_city_parameter_inputs"))))</f>
        <v>sd</v>
      </c>
      <c r="H27" s="33">
        <f t="array" aca="1" ref="H27" ca="1">IF(ISBLANK(INDIRECT(ADDRESS(B27,A27,1,1,"all_city_parameter_inputs"))), "--",INDIRECT(ADDRESS(B27,A27,1,1,"all_city_parameter_inputs")))</f>
        <v>1.18648180943392</v>
      </c>
      <c r="I27" s="33" t="str">
        <f ca="1">IF(OR(G27="alpha",G27="beta",G27="sd",G27="mean"),"--",VLOOKUP(C27,Default!$B$5:$H$114,7,FALSE()))</f>
        <v>--</v>
      </c>
      <c r="J27" s="32" t="str">
        <f ca="1">VLOOKUP(F27,Lookup!$C$5:$D$110,2, FALSE())</f>
        <v>Pollution values</v>
      </c>
      <c r="K27" s="32" t="str">
        <f ca="1">VLOOKUP(C27,Default!$B$4:$E$114,4, FALSE())</f>
        <v>background PM2.5 concentration</v>
      </c>
      <c r="L27" s="30" t="str">
        <f t="array" aca="1" ref="L27" ca="1">IF(ISNA(VLOOKUP($D27,Grouped_Sources!$C:$C,1,FALSE())),"", INDIRECT(VLOOKUP($D27,Grouped_Sources!$C:$I,5,FALSE())))</f>
        <v xml:space="preserve">https://www.who.int/publications/i/item/9789241565684 </v>
      </c>
      <c r="M27" s="30" t="str">
        <f t="array" aca="1" ref="M27" ca="1">IF(ISNA(VLOOKUP($D27,Grouped_Sources!$C:$C,1,FALSE())),"", INDIRECT(VLOOKUP($D27,Grouped_Sources!$C:$I,6,FALSE())))</f>
        <v>WHO report giving reported and estimated injury statistics at a country level. The underreporting for Colombia is approx 20% but we assumed that the underreporting at a city level is half this value, i.e. 10%. So parameter was set to 1-0.1= 0.9</v>
      </c>
      <c r="N27" s="30">
        <f ca="1">IF(ISNA(VLOOKUP($D27,Grouped_Sources!$C:$C,1,FALSE())),"", INDIRECT(VLOOKUP($D27,Grouped_Sources!$C:$I,7,FALSE())))</f>
        <v>0</v>
      </c>
    </row>
    <row r="28" spans="1:14" x14ac:dyDescent="0.25">
      <c r="A28" s="26">
        <v>3</v>
      </c>
      <c r="B28" s="26">
        <v>26</v>
      </c>
      <c r="C28" s="26" t="str">
        <f t="shared" ca="1" si="0"/>
        <v>pm_trans_share</v>
      </c>
      <c r="D28" s="26" t="str">
        <f t="shared" ca="1" si="1"/>
        <v>pm_trans_share_bogota</v>
      </c>
      <c r="E28" s="32" t="str">
        <f t="array" aca="1" ref="E28" ca="1">INDIRECT(ADDRESS(1,A28,1,1,"all_city_parameter_inputs"))</f>
        <v>bogota</v>
      </c>
      <c r="F28" s="32" t="str">
        <f t="array" aca="1" ref="F28" ca="1">IF(AND(ISBLANK(INDIRECT(ADDRESS(B28,2,1,1,"all_city_parameter_inputs"))), ISBLANK(INDIRECT(ADDRESS(B28,1,1,1,"all_city_parameter_inputs")))), "", IF(ISBLANK(INDIRECT(ADDRESS(B28,1,1,1,"all_city_parameter_inputs"))), All_city_list!F27,INDIRECT(ADDRESS(B28,1,1,1,"all_city_parameter_inputs"))))</f>
        <v>pm_trans_share</v>
      </c>
      <c r="G28" s="32" t="str">
        <f t="array" aca="1" ref="G28" ca="1">IF(AND(ISBLANK(INDIRECT(ADDRESS(B28,3,1,1,"all_city_parameter_inputs"))),ISBLANK(INDIRECT(ADDRESS(B28,2,1,1,"all_city_parameter_inputs")))),"",IF(ISBLANK(INDIRECT(ADDRESS(B28,2,1,1,"all_city_parameter_inputs"))),"",INDIRECT(ADDRESS(B28,2,1,1,"all_city_parameter_inputs"))))</f>
        <v>constant</v>
      </c>
      <c r="H28" s="33">
        <f t="array" aca="1" ref="H28" ca="1">IF(ISBLANK(INDIRECT(ADDRESS(B28,A28,1,1,"all_city_parameter_inputs"))), "--",INDIRECT(ADDRESS(B28,A28,1,1,"all_city_parameter_inputs")))</f>
        <v>0.42</v>
      </c>
      <c r="I28" s="33">
        <f ca="1">IF(OR(G28="alpha",G28="beta",G28="sd",G28="mean"),"--",VLOOKUP(C28,Default!$B$5:$H$114,7,FALSE()))</f>
        <v>0.42</v>
      </c>
      <c r="J28" s="32" t="str">
        <f ca="1">VLOOKUP(F28,Lookup!$C$5:$D$110,2, FALSE())</f>
        <v>Pollution values</v>
      </c>
      <c r="K28" s="32" t="str">
        <f ca="1">VLOOKUP(C28,Default!$B$4:$E$114,4, FALSE())</f>
        <v>proportion of background PM2.5 attributable to transport</v>
      </c>
      <c r="L28" s="29" t="s">
        <v>115</v>
      </c>
      <c r="M28" s="30"/>
      <c r="N28" s="30"/>
    </row>
    <row r="29" spans="1:14" x14ac:dyDescent="0.25">
      <c r="A29" s="26">
        <v>3</v>
      </c>
      <c r="B29" s="26">
        <v>27</v>
      </c>
      <c r="C29" s="26" t="str">
        <f t="shared" ca="1" si="0"/>
        <v>pm_trans_share</v>
      </c>
      <c r="D29" s="26" t="str">
        <f t="shared" ca="1" si="1"/>
        <v>pm_trans_share_bogota</v>
      </c>
      <c r="E29" s="32" t="str">
        <f t="array" aca="1" ref="E29" ca="1">INDIRECT(ADDRESS(1,A29,1,1,"all_city_parameter_inputs"))</f>
        <v>bogota</v>
      </c>
      <c r="F29" s="32" t="str">
        <f t="array" aca="1" ref="F29" ca="1">IF(AND(ISBLANK(INDIRECT(ADDRESS(B29,2,1,1,"all_city_parameter_inputs"))), ISBLANK(INDIRECT(ADDRESS(B29,1,1,1,"all_city_parameter_inputs")))), "", IF(ISBLANK(INDIRECT(ADDRESS(B29,1,1,1,"all_city_parameter_inputs"))), All_city_list!F28,INDIRECT(ADDRESS(B29,1,1,1,"all_city_parameter_inputs"))))</f>
        <v>pm_trans_share</v>
      </c>
      <c r="G29" s="32" t="str">
        <f t="array" aca="1" ref="G29" ca="1">IF(AND(ISBLANK(INDIRECT(ADDRESS(B29,3,1,1,"all_city_parameter_inputs"))),ISBLANK(INDIRECT(ADDRESS(B29,2,1,1,"all_city_parameter_inputs")))),"",IF(ISBLANK(INDIRECT(ADDRESS(B29,2,1,1,"all_city_parameter_inputs"))),"",INDIRECT(ADDRESS(B29,2,1,1,"all_city_parameter_inputs"))))</f>
        <v>alpha</v>
      </c>
      <c r="H29" s="33">
        <f t="array" aca="1" ref="H29" ca="1">IF(ISBLANK(INDIRECT(ADDRESS(B29,A29,1,1,"all_city_parameter_inputs"))), "--",INDIRECT(ADDRESS(B29,A29,1,1,"all_city_parameter_inputs")))</f>
        <v>12.482050182836399</v>
      </c>
      <c r="I29" s="33" t="str">
        <f ca="1">IF(OR(G29="alpha",G29="beta",G29="sd",G29="mean"),"--",VLOOKUP(C29,Default!$B$5:$H$114,7,FALSE()))</f>
        <v>--</v>
      </c>
      <c r="J29" s="32" t="str">
        <f ca="1">VLOOKUP(F29,Lookup!$C$5:$D$110,2, FALSE())</f>
        <v>Pollution values</v>
      </c>
      <c r="K29" s="32" t="str">
        <f ca="1">VLOOKUP(C29,Default!$B$4:$E$114,4, FALSE())</f>
        <v>proportion of background PM2.5 attributable to transport</v>
      </c>
      <c r="L29" s="30" t="str">
        <f t="array" aca="1" ref="L29" ca="1">IF(ISNA(VLOOKUP($D29,Grouped_Sources!$C:$C,1,FALSE())),"", INDIRECT(VLOOKUP($D29,Grouped_Sources!$C:$I,5,FALSE())))</f>
        <v>assumes no bias in the disease data, distribution values need updating</v>
      </c>
      <c r="M29" s="30">
        <f ca="1">IF(ISNA(VLOOKUP($D29,Grouped_Sources!$C:$C,1,FALSE())),"", INDIRECT(VLOOKUP($D29,Grouped_Sources!$C:$I,6,FALSE())))</f>
        <v>0</v>
      </c>
      <c r="N29" s="30">
        <f ca="1">IF(ISNA(VLOOKUP($D29,Grouped_Sources!$C:$C,1,FALSE())),"", INDIRECT(VLOOKUP($D29,Grouped_Sources!$C:$I,7,FALSE())))</f>
        <v>0</v>
      </c>
    </row>
    <row r="30" spans="1:14" x14ac:dyDescent="0.25">
      <c r="A30" s="26">
        <v>3</v>
      </c>
      <c r="B30" s="26">
        <v>28</v>
      </c>
      <c r="C30" s="26" t="str">
        <f t="shared" ca="1" si="0"/>
        <v>pm_trans_share</v>
      </c>
      <c r="D30" s="26" t="str">
        <f t="shared" ca="1" si="1"/>
        <v>pm_trans_share_bogota</v>
      </c>
      <c r="E30" s="32" t="str">
        <f t="array" aca="1" ref="E30" ca="1">INDIRECT(ADDRESS(1,A30,1,1,"all_city_parameter_inputs"))</f>
        <v>bogota</v>
      </c>
      <c r="F30" s="32" t="str">
        <f t="array" aca="1" ref="F30" ca="1">IF(AND(ISBLANK(INDIRECT(ADDRESS(B30,2,1,1,"all_city_parameter_inputs"))), ISBLANK(INDIRECT(ADDRESS(B30,1,1,1,"all_city_parameter_inputs")))), "", IF(ISBLANK(INDIRECT(ADDRESS(B30,1,1,1,"all_city_parameter_inputs"))), All_city_list!F29,INDIRECT(ADDRESS(B30,1,1,1,"all_city_parameter_inputs"))))</f>
        <v>pm_trans_share</v>
      </c>
      <c r="G30" s="32" t="str">
        <f t="array" aca="1" ref="G30" ca="1">IF(AND(ISBLANK(INDIRECT(ADDRESS(B30,3,1,1,"all_city_parameter_inputs"))),ISBLANK(INDIRECT(ADDRESS(B30,2,1,1,"all_city_parameter_inputs")))),"",IF(ISBLANK(INDIRECT(ADDRESS(B30,2,1,1,"all_city_parameter_inputs"))),"",INDIRECT(ADDRESS(B30,2,1,1,"all_city_parameter_inputs"))))</f>
        <v>beta</v>
      </c>
      <c r="H30" s="33">
        <f t="array" aca="1" ref="H30" ca="1">IF(ISBLANK(INDIRECT(ADDRESS(B30,A30,1,1,"all_city_parameter_inputs"))), "--",INDIRECT(ADDRESS(B30,A30,1,1,"all_city_parameter_inputs")))</f>
        <v>17.237116919155099</v>
      </c>
      <c r="I30" s="33" t="str">
        <f ca="1">IF(OR(G30="alpha",G30="beta",G30="sd",G30="mean"),"--",VLOOKUP(C30,Default!$B$5:$H$114,7,FALSE()))</f>
        <v>--</v>
      </c>
      <c r="J30" s="32" t="str">
        <f ca="1">VLOOKUP(F30,Lookup!$C$5:$D$110,2, FALSE())</f>
        <v>Pollution values</v>
      </c>
      <c r="K30" s="32" t="str">
        <f ca="1">VLOOKUP(C30,Default!$B$4:$E$114,4, FALSE())</f>
        <v>proportion of background PM2.5 attributable to transport</v>
      </c>
      <c r="L30" s="30" t="str">
        <f t="array" aca="1" ref="L30" ca="1">IF(ISNA(VLOOKUP($D30,Grouped_Sources!$C:$C,1,FALSE())),"", INDIRECT(VLOOKUP($D30,Grouped_Sources!$C:$I,5,FALSE())))</f>
        <v>assumes no bias in the disease data, distribution values need updating</v>
      </c>
      <c r="M30" s="30">
        <f ca="1">IF(ISNA(VLOOKUP($D30,Grouped_Sources!$C:$C,1,FALSE())),"", INDIRECT(VLOOKUP($D30,Grouped_Sources!$C:$I,6,FALSE())))</f>
        <v>0</v>
      </c>
      <c r="N30" s="30">
        <f ca="1">IF(ISNA(VLOOKUP($D30,Grouped_Sources!$C:$C,1,FALSE())),"", INDIRECT(VLOOKUP($D30,Grouped_Sources!$C:$I,7,FALSE())))</f>
        <v>0</v>
      </c>
    </row>
    <row r="31" spans="1:14" ht="225" x14ac:dyDescent="0.25">
      <c r="A31" s="26">
        <v>3</v>
      </c>
      <c r="B31" s="26">
        <v>29</v>
      </c>
      <c r="C31" s="26" t="str">
        <f t="shared" ca="1" si="0"/>
        <v>CO2_emission_inventories motorcycle</v>
      </c>
      <c r="D31" s="26" t="str">
        <f t="shared" ca="1" si="1"/>
        <v>CO2_emission_inventories_bogota</v>
      </c>
      <c r="E31" s="32" t="str">
        <f t="array" aca="1" ref="E31" ca="1">INDIRECT(ADDRESS(1,A31,1,1,"all_city_parameter_inputs"))</f>
        <v>bogota</v>
      </c>
      <c r="F31" s="32" t="str">
        <f t="array" aca="1" ref="F31" ca="1">IF(AND(ISBLANK(INDIRECT(ADDRESS(B31,2,1,1,"all_city_parameter_inputs"))), ISBLANK(INDIRECT(ADDRESS(B31,1,1,1,"all_city_parameter_inputs")))), "", IF(ISBLANK(INDIRECT(ADDRESS(B31,1,1,1,"all_city_parameter_inputs"))), All_city_list!F30,INDIRECT(ADDRESS(B31,1,1,1,"all_city_parameter_inputs"))))</f>
        <v>CO2_emission_inventories</v>
      </c>
      <c r="G31" s="32" t="str">
        <f t="array" aca="1" ref="G31" ca="1">IF(AND(ISBLANK(INDIRECT(ADDRESS(B31,3,1,1,"all_city_parameter_inputs"))),ISBLANK(INDIRECT(ADDRESS(B31,2,1,1,"all_city_parameter_inputs")))),"",IF(ISBLANK(INDIRECT(ADDRESS(B31,2,1,1,"all_city_parameter_inputs"))),"",INDIRECT(ADDRESS(B31,2,1,1,"all_city_parameter_inputs"))))</f>
        <v>motorcycle</v>
      </c>
      <c r="H31" s="33">
        <f t="array" aca="1" ref="H31" ca="1">IF(ISBLANK(INDIRECT(ADDRESS(B31,A31,1,1,"all_city_parameter_inputs"))), "--",INDIRECT(ADDRESS(B31,A31,1,1,"all_city_parameter_inputs")))</f>
        <v>3340.8173200000001</v>
      </c>
      <c r="I31" s="33">
        <f ca="1">IF(OR(G31="alpha",G31="beta",G31="sd",G31="mean"),"--",VLOOKUP(C31,Default!$B$5:$H$114,7,FALSE()))</f>
        <v>30033.571810000001</v>
      </c>
      <c r="J31" s="32" t="str">
        <f ca="1">VLOOKUP(F31,Lookup!$C$5:$D$110,2, FALSE())</f>
        <v>Pollution values</v>
      </c>
      <c r="K31" s="35" t="str">
        <f ca="1">VLOOKUP(C31,Default!$B$4:$E$114,4, FALSE())</f>
        <v>- used to estimate the CO2 for scenarios (function "scenario_co2_calculations").
- used to create the VEHICLE_INVENTORY, with speeds, PM and CO2 emissions (function "set_vehicle_inventory").</v>
      </c>
      <c r="L31" s="29" t="s">
        <v>116</v>
      </c>
      <c r="M31" s="30" t="s">
        <v>117</v>
      </c>
      <c r="N31" s="41"/>
    </row>
    <row r="32" spans="1:14" x14ac:dyDescent="0.25">
      <c r="A32" s="26">
        <v>3</v>
      </c>
      <c r="B32" s="26">
        <v>30</v>
      </c>
      <c r="C32" s="26" t="str">
        <f t="shared" ca="1" si="0"/>
        <v>CO2_emission_inventories car</v>
      </c>
      <c r="D32" s="26" t="str">
        <f t="shared" ca="1" si="1"/>
        <v>CO2_emission_inventories_bogota</v>
      </c>
      <c r="E32" s="32" t="str">
        <f t="array" aca="1" ref="E32" ca="1">INDIRECT(ADDRESS(1,A32,1,1,"all_city_parameter_inputs"))</f>
        <v>bogota</v>
      </c>
      <c r="F32" s="32" t="str">
        <f t="array" aca="1" ref="F32" ca="1">IF(AND(ISBLANK(INDIRECT(ADDRESS(B32,2,1,1,"all_city_parameter_inputs"))), ISBLANK(INDIRECT(ADDRESS(B32,1,1,1,"all_city_parameter_inputs")))), "", IF(ISBLANK(INDIRECT(ADDRESS(B32,1,1,1,"all_city_parameter_inputs"))), All_city_list!F31,INDIRECT(ADDRESS(B32,1,1,1,"all_city_parameter_inputs"))))</f>
        <v>CO2_emission_inventories</v>
      </c>
      <c r="G32" s="32" t="str">
        <f t="array" aca="1" ref="G32" ca="1">IF(AND(ISBLANK(INDIRECT(ADDRESS(B32,3,1,1,"all_city_parameter_inputs"))),ISBLANK(INDIRECT(ADDRESS(B32,2,1,1,"all_city_parameter_inputs")))),"",IF(ISBLANK(INDIRECT(ADDRESS(B32,2,1,1,"all_city_parameter_inputs"))),"",INDIRECT(ADDRESS(B32,2,1,1,"all_city_parameter_inputs"))))</f>
        <v>car</v>
      </c>
      <c r="H32" s="33">
        <f t="array" aca="1" ref="H32" ca="1">IF(ISBLANK(INDIRECT(ADDRESS(B32,A32,1,1,"all_city_parameter_inputs"))), "--",INDIRECT(ADDRESS(B32,A32,1,1,"all_city_parameter_inputs")))</f>
        <v>278221.03999999998</v>
      </c>
      <c r="I32" s="33">
        <f ca="1">IF(OR(G32="alpha",G32="beta",G32="sd",G32="mean"),"--",VLOOKUP(C32,Default!$B$5:$H$114,7,FALSE()))</f>
        <v>1033377.341</v>
      </c>
      <c r="J32" s="32" t="str">
        <f ca="1">VLOOKUP(F32,Lookup!$C$5:$D$110,2, FALSE())</f>
        <v>Pollution values</v>
      </c>
      <c r="K32" s="32">
        <f ca="1">VLOOKUP(C32,Default!$B$4:$E$114,4, FALSE())</f>
        <v>0</v>
      </c>
      <c r="L32" s="30" t="str">
        <f t="array" aca="1" ref="L32" ca="1">IF(ISNA(VLOOKUP($D32,Grouped_Sources!$C:$C,1,FALSE())),"", INDIRECT(VLOOKUP($D32,Grouped_Sources!$C:$I,5,FALSE())))</f>
        <v xml:space="preserve">https://www.who.int/publications/m/item/who-air-quality-database-2022 </v>
      </c>
      <c r="M32" s="30" t="str">
        <f t="array" aca="1" ref="M32" ca="1">IF(ISNA(VLOOKUP($D32,Grouped_Sources!$C:$C,1,FALSE())),"", INDIRECT(VLOOKUP($D32,Grouped_Sources!$C:$I,6,FALSE())))</f>
        <v>WHO Air Quality Database, Update 2022</v>
      </c>
      <c r="N32" s="30">
        <f ca="1">IF(ISNA(VLOOKUP($D32,Grouped_Sources!$C:$C,1,FALSE())),"", INDIRECT(VLOOKUP($D32,Grouped_Sources!$C:$I,7,FALSE())))</f>
        <v>0</v>
      </c>
    </row>
    <row r="33" spans="1:14" x14ac:dyDescent="0.25">
      <c r="A33" s="26">
        <v>3</v>
      </c>
      <c r="B33" s="26">
        <v>31</v>
      </c>
      <c r="C33" s="26" t="str">
        <f t="shared" ca="1" si="0"/>
        <v>CO2_emission_inventories bus_driver</v>
      </c>
      <c r="D33" s="26" t="str">
        <f t="shared" ca="1" si="1"/>
        <v>CO2_emission_inventories_bogota</v>
      </c>
      <c r="E33" s="32" t="str">
        <f t="array" aca="1" ref="E33" ca="1">INDIRECT(ADDRESS(1,A33,1,1,"all_city_parameter_inputs"))</f>
        <v>bogota</v>
      </c>
      <c r="F33" s="32" t="str">
        <f t="array" aca="1" ref="F33" ca="1">IF(AND(ISBLANK(INDIRECT(ADDRESS(B33,2,1,1,"all_city_parameter_inputs"))), ISBLANK(INDIRECT(ADDRESS(B33,1,1,1,"all_city_parameter_inputs")))), "", IF(ISBLANK(INDIRECT(ADDRESS(B33,1,1,1,"all_city_parameter_inputs"))), All_city_list!F32,INDIRECT(ADDRESS(B33,1,1,1,"all_city_parameter_inputs"))))</f>
        <v>CO2_emission_inventories</v>
      </c>
      <c r="G33" s="32" t="str">
        <f t="array" aca="1" ref="G33" ca="1">IF(AND(ISBLANK(INDIRECT(ADDRESS(B33,3,1,1,"all_city_parameter_inputs"))),ISBLANK(INDIRECT(ADDRESS(B33,2,1,1,"all_city_parameter_inputs")))),"",IF(ISBLANK(INDIRECT(ADDRESS(B33,2,1,1,"all_city_parameter_inputs"))),"",INDIRECT(ADDRESS(B33,2,1,1,"all_city_parameter_inputs"))))</f>
        <v>bus_driver</v>
      </c>
      <c r="H33" s="33">
        <f t="array" aca="1" ref="H33" ca="1">IF(ISBLANK(INDIRECT(ADDRESS(B33,A33,1,1,"all_city_parameter_inputs"))), "--",INDIRECT(ADDRESS(B33,A33,1,1,"all_city_parameter_inputs")))</f>
        <v>163823.92000000001</v>
      </c>
      <c r="I33" s="33">
        <f ca="1">IF(OR(G33="alpha",G33="beta",G33="sd",G33="mean"),"--",VLOOKUP(C33,Default!$B$5:$H$114,7,FALSE()))</f>
        <v>100429.7216</v>
      </c>
      <c r="J33" s="32" t="str">
        <f ca="1">VLOOKUP(F33,Lookup!$C$5:$D$110,2, FALSE())</f>
        <v>Pollution values</v>
      </c>
      <c r="K33" s="32">
        <f ca="1">VLOOKUP(C33,Default!$B$4:$E$114,4, FALSE())</f>
        <v>0</v>
      </c>
      <c r="L33" s="30" t="str">
        <f t="array" aca="1" ref="L33" ca="1">IF(ISNA(VLOOKUP($D33,Grouped_Sources!$C:$C,1,FALSE())),"", INDIRECT(VLOOKUP($D33,Grouped_Sources!$C:$I,5,FALSE())))</f>
        <v xml:space="preserve">https://www.who.int/publications/m/item/who-air-quality-database-2022 </v>
      </c>
      <c r="M33" s="30" t="str">
        <f t="array" aca="1" ref="M33" ca="1">IF(ISNA(VLOOKUP($D33,Grouped_Sources!$C:$C,1,FALSE())),"", INDIRECT(VLOOKUP($D33,Grouped_Sources!$C:$I,6,FALSE())))</f>
        <v>WHO Air Quality Database, Update 2022</v>
      </c>
      <c r="N33" s="30">
        <f ca="1">IF(ISNA(VLOOKUP($D33,Grouped_Sources!$C:$C,1,FALSE())),"", INDIRECT(VLOOKUP($D33,Grouped_Sources!$C:$I,7,FALSE())))</f>
        <v>0</v>
      </c>
    </row>
    <row r="34" spans="1:14" x14ac:dyDescent="0.25">
      <c r="A34" s="26">
        <v>3</v>
      </c>
      <c r="B34" s="26">
        <v>32</v>
      </c>
      <c r="C34" s="26" t="str">
        <f t="shared" ca="1" si="0"/>
        <v>CO2_emission_inventories heavy_truck</v>
      </c>
      <c r="D34" s="26" t="str">
        <f t="shared" ca="1" si="1"/>
        <v>CO2_emission_inventories_bogota</v>
      </c>
      <c r="E34" s="32" t="str">
        <f t="array" aca="1" ref="E34" ca="1">INDIRECT(ADDRESS(1,A34,1,1,"all_city_parameter_inputs"))</f>
        <v>bogota</v>
      </c>
      <c r="F34" s="32" t="str">
        <f t="array" aca="1" ref="F34" ca="1">IF(AND(ISBLANK(INDIRECT(ADDRESS(B34,2,1,1,"all_city_parameter_inputs"))), ISBLANK(INDIRECT(ADDRESS(B34,1,1,1,"all_city_parameter_inputs")))), "", IF(ISBLANK(INDIRECT(ADDRESS(B34,1,1,1,"all_city_parameter_inputs"))), All_city_list!F33,INDIRECT(ADDRESS(B34,1,1,1,"all_city_parameter_inputs"))))</f>
        <v>CO2_emission_inventories</v>
      </c>
      <c r="G34" s="32" t="str">
        <f t="array" aca="1" ref="G34" ca="1">IF(AND(ISBLANK(INDIRECT(ADDRESS(B34,3,1,1,"all_city_parameter_inputs"))),ISBLANK(INDIRECT(ADDRESS(B34,2,1,1,"all_city_parameter_inputs")))),"",IF(ISBLANK(INDIRECT(ADDRESS(B34,2,1,1,"all_city_parameter_inputs"))),"",INDIRECT(ADDRESS(B34,2,1,1,"all_city_parameter_inputs"))))</f>
        <v>heavy_truck</v>
      </c>
      <c r="H34" s="33">
        <f t="array" aca="1" ref="H34" ca="1">IF(ISBLANK(INDIRECT(ADDRESS(B34,A34,1,1,"all_city_parameter_inputs"))), "--",INDIRECT(ADDRESS(B34,A34,1,1,"all_city_parameter_inputs")))</f>
        <v>1033752.25</v>
      </c>
      <c r="I34" s="33">
        <f ca="1">IF(OR(G34="alpha",G34="beta",G34="sd",G34="mean"),"--",VLOOKUP(C34,Default!$B$5:$H$114,7,FALSE()))</f>
        <v>259655.32449999999</v>
      </c>
      <c r="J34" s="32" t="str">
        <f ca="1">VLOOKUP(F34,Lookup!$C$5:$D$110,2, FALSE())</f>
        <v>Pollution values</v>
      </c>
      <c r="K34" s="35">
        <f ca="1">VLOOKUP(C34,Default!$B$4:$E$114,4, FALSE())</f>
        <v>0</v>
      </c>
      <c r="L34" s="29" t="s">
        <v>118</v>
      </c>
      <c r="M34" s="30" t="s">
        <v>119</v>
      </c>
      <c r="N34" s="30" t="s">
        <v>120</v>
      </c>
    </row>
    <row r="35" spans="1:14" x14ac:dyDescent="0.25">
      <c r="A35" s="26">
        <v>3</v>
      </c>
      <c r="B35" s="26">
        <v>33</v>
      </c>
      <c r="C35" s="26" t="str">
        <f t="shared" ca="1" si="0"/>
        <v>CO2_emission_inventories truck</v>
      </c>
      <c r="D35" s="26" t="str">
        <f t="shared" ca="1" si="1"/>
        <v>CO2_emission_inventories_bogota</v>
      </c>
      <c r="E35" s="32" t="str">
        <f t="array" aca="1" ref="E35" ca="1">INDIRECT(ADDRESS(1,A35,1,1,"all_city_parameter_inputs"))</f>
        <v>bogota</v>
      </c>
      <c r="F35" s="32" t="str">
        <f t="array" aca="1" ref="F35" ca="1">IF(AND(ISBLANK(INDIRECT(ADDRESS(B35,2,1,1,"all_city_parameter_inputs"))), ISBLANK(INDIRECT(ADDRESS(B35,1,1,1,"all_city_parameter_inputs")))), "", IF(ISBLANK(INDIRECT(ADDRESS(B35,1,1,1,"all_city_parameter_inputs"))), All_city_list!F34,INDIRECT(ADDRESS(B35,1,1,1,"all_city_parameter_inputs"))))</f>
        <v>CO2_emission_inventories</v>
      </c>
      <c r="G35" s="32" t="str">
        <f t="array" aca="1" ref="G35" ca="1">IF(AND(ISBLANK(INDIRECT(ADDRESS(B35,3,1,1,"all_city_parameter_inputs"))),ISBLANK(INDIRECT(ADDRESS(B35,2,1,1,"all_city_parameter_inputs")))),"",IF(ISBLANK(INDIRECT(ADDRESS(B35,2,1,1,"all_city_parameter_inputs"))),"",INDIRECT(ADDRESS(B35,2,1,1,"all_city_parameter_inputs"))))</f>
        <v>truck</v>
      </c>
      <c r="H35" s="33">
        <f t="array" aca="1" ref="H35" ca="1">IF(ISBLANK(INDIRECT(ADDRESS(B35,A35,1,1,"all_city_parameter_inputs"))), "--",INDIRECT(ADDRESS(B35,A35,1,1,"all_city_parameter_inputs")))</f>
        <v>371604.37</v>
      </c>
      <c r="I35" s="33">
        <f ca="1">IF(OR(G35="alpha",G35="beta",G35="sd",G35="mean"),"--",VLOOKUP(C35,Default!$B$5:$H$114,7,FALSE()))</f>
        <v>163516.11319999999</v>
      </c>
      <c r="J35" s="32" t="str">
        <f ca="1">VLOOKUP(F35,Lookup!$C$5:$D$110,2, FALSE())</f>
        <v>Pollution values</v>
      </c>
      <c r="K35" s="32">
        <f ca="1">VLOOKUP(C35,Default!$B$4:$E$114,4, FALSE())</f>
        <v>0</v>
      </c>
      <c r="L35" s="30" t="str">
        <f t="array" aca="1" ref="L35" ca="1">IF(ISNA(VLOOKUP($D35,Grouped_Sources!$C:$C,1,FALSE())),"", INDIRECT(VLOOKUP($D35,Grouped_Sources!$C:$I,5,FALSE())))</f>
        <v xml:space="preserve">https://www.who.int/publications/m/item/who-air-quality-database-2022 </v>
      </c>
      <c r="M35" s="30" t="str">
        <f t="array" aca="1" ref="M35" ca="1">IF(ISNA(VLOOKUP($D35,Grouped_Sources!$C:$C,1,FALSE())),"", INDIRECT(VLOOKUP($D35,Grouped_Sources!$C:$I,6,FALSE())))</f>
        <v>WHO Air Quality Database, Update 2022</v>
      </c>
      <c r="N35" s="30">
        <f ca="1">IF(ISNA(VLOOKUP($D35,Grouped_Sources!$C:$C,1,FALSE())),"", INDIRECT(VLOOKUP($D35,Grouped_Sources!$C:$I,7,FALSE())))</f>
        <v>0</v>
      </c>
    </row>
    <row r="36" spans="1:14" x14ac:dyDescent="0.25">
      <c r="A36" s="26">
        <v>3</v>
      </c>
      <c r="B36" s="26">
        <v>34</v>
      </c>
      <c r="C36" s="26" t="str">
        <f t="shared" ref="C36:C67" ca="1" si="2">IF(G36 = "",F36,IF(OR(G36="alpha",G36="beta",G36="constant",G36="sd",G36="mean",G36="sample"),F36,F36&amp;" "&amp;G36))</f>
        <v>CO2_emission_inventories van</v>
      </c>
      <c r="D36" s="26" t="str">
        <f t="shared" ref="D36:D67" ca="1" si="3">F36&amp;"_"&amp;E36</f>
        <v>CO2_emission_inventories_bogota</v>
      </c>
      <c r="E36" s="32" t="str">
        <f t="array" aca="1" ref="E36" ca="1">INDIRECT(ADDRESS(1,A36,1,1,"all_city_parameter_inputs"))</f>
        <v>bogota</v>
      </c>
      <c r="F36" s="32" t="str">
        <f t="array" aca="1" ref="F36" ca="1">IF(AND(ISBLANK(INDIRECT(ADDRESS(B36,2,1,1,"all_city_parameter_inputs"))), ISBLANK(INDIRECT(ADDRESS(B36,1,1,1,"all_city_parameter_inputs")))), "", IF(ISBLANK(INDIRECT(ADDRESS(B36,1,1,1,"all_city_parameter_inputs"))), All_city_list!F35,INDIRECT(ADDRESS(B36,1,1,1,"all_city_parameter_inputs"))))</f>
        <v>CO2_emission_inventories</v>
      </c>
      <c r="G36" s="32" t="str">
        <f t="array" aca="1" ref="G36" ca="1">IF(AND(ISBLANK(INDIRECT(ADDRESS(B36,3,1,1,"all_city_parameter_inputs"))),ISBLANK(INDIRECT(ADDRESS(B36,2,1,1,"all_city_parameter_inputs")))),"",IF(ISBLANK(INDIRECT(ADDRESS(B36,2,1,1,"all_city_parameter_inputs"))),"",INDIRECT(ADDRESS(B36,2,1,1,"all_city_parameter_inputs"))))</f>
        <v>van</v>
      </c>
      <c r="H36" s="33" t="str">
        <f t="array" aca="1" ref="H36" ca="1">IF(ISBLANK(INDIRECT(ADDRESS(B36,A36,1,1,"all_city_parameter_inputs"))), "--",INDIRECT(ADDRESS(B36,A36,1,1,"all_city_parameter_inputs")))</f>
        <v>--</v>
      </c>
      <c r="I36" s="33">
        <f ca="1">IF(OR(G36="alpha",G36="beta",G36="sd",G36="mean"),"--",VLOOKUP(C36,Default!$B$5:$H$114,7,FALSE()))</f>
        <v>0</v>
      </c>
      <c r="J36" s="32" t="str">
        <f ca="1">VLOOKUP(F36,Lookup!$C$5:$D$110,2, FALSE())</f>
        <v>Pollution values</v>
      </c>
      <c r="K36" s="32">
        <f ca="1">VLOOKUP(C36,Default!$B$4:$E$114,4, FALSE())</f>
        <v>0</v>
      </c>
      <c r="L36" s="30" t="str">
        <f t="array" aca="1" ref="L36" ca="1">IF(ISNA(VLOOKUP($D36,Grouped_Sources!$C:$C,1,FALSE())),"", INDIRECT(VLOOKUP($D36,Grouped_Sources!$C:$I,5,FALSE())))</f>
        <v xml:space="preserve">https://www.who.int/publications/m/item/who-air-quality-database-2022 </v>
      </c>
      <c r="M36" s="30" t="str">
        <f t="array" aca="1" ref="M36" ca="1">IF(ISNA(VLOOKUP($D36,Grouped_Sources!$C:$C,1,FALSE())),"", INDIRECT(VLOOKUP($D36,Grouped_Sources!$C:$I,6,FALSE())))</f>
        <v>WHO Air Quality Database, Update 2022</v>
      </c>
      <c r="N36" s="30">
        <f ca="1">IF(ISNA(VLOOKUP($D36,Grouped_Sources!$C:$C,1,FALSE())),"", INDIRECT(VLOOKUP($D36,Grouped_Sources!$C:$I,7,FALSE())))</f>
        <v>0</v>
      </c>
    </row>
    <row r="37" spans="1:14" x14ac:dyDescent="0.25">
      <c r="A37" s="26">
        <v>3</v>
      </c>
      <c r="B37" s="26">
        <v>35</v>
      </c>
      <c r="C37" s="26" t="str">
        <f t="shared" ca="1" si="2"/>
        <v>CO2_emission_inventories other</v>
      </c>
      <c r="D37" s="26" t="str">
        <f t="shared" ca="1" si="3"/>
        <v>CO2_emission_inventories_bogota</v>
      </c>
      <c r="E37" s="32" t="str">
        <f t="array" aca="1" ref="E37" ca="1">INDIRECT(ADDRESS(1,A37,1,1,"all_city_parameter_inputs"))</f>
        <v>bogota</v>
      </c>
      <c r="F37" s="32" t="str">
        <f t="array" aca="1" ref="F37" ca="1">IF(AND(ISBLANK(INDIRECT(ADDRESS(B37,2,1,1,"all_city_parameter_inputs"))), ISBLANK(INDIRECT(ADDRESS(B37,1,1,1,"all_city_parameter_inputs")))), "", IF(ISBLANK(INDIRECT(ADDRESS(B37,1,1,1,"all_city_parameter_inputs"))), All_city_list!F36,INDIRECT(ADDRESS(B37,1,1,1,"all_city_parameter_inputs"))))</f>
        <v>CO2_emission_inventories</v>
      </c>
      <c r="G37" s="32" t="str">
        <f t="array" aca="1" ref="G37" ca="1">IF(AND(ISBLANK(INDIRECT(ADDRESS(B37,3,1,1,"all_city_parameter_inputs"))),ISBLANK(INDIRECT(ADDRESS(B37,2,1,1,"all_city_parameter_inputs")))),"",IF(ISBLANK(INDIRECT(ADDRESS(B37,2,1,1,"all_city_parameter_inputs"))),"",INDIRECT(ADDRESS(B37,2,1,1,"all_city_parameter_inputs"))))</f>
        <v>other</v>
      </c>
      <c r="H37" s="33" t="str">
        <f t="array" aca="1" ref="H37" ca="1">IF(ISBLANK(INDIRECT(ADDRESS(B37,A37,1,1,"all_city_parameter_inputs"))), "--",INDIRECT(ADDRESS(B37,A37,1,1,"all_city_parameter_inputs")))</f>
        <v>--</v>
      </c>
      <c r="I37" s="33">
        <f ca="1">IF(OR(G37="alpha",G37="beta",G37="sd",G37="mean"),"--",VLOOKUP(C37,Default!$B$5:$H$114,7,FALSE()))</f>
        <v>1906.893448</v>
      </c>
      <c r="J37" s="32" t="str">
        <f ca="1">VLOOKUP(F37,Lookup!$C$5:$D$110,2, FALSE())</f>
        <v>Pollution values</v>
      </c>
      <c r="K37" s="32">
        <f ca="1">VLOOKUP(C37,Default!$B$4:$E$114,4, FALSE())</f>
        <v>0</v>
      </c>
      <c r="L37" s="29" t="s">
        <v>121</v>
      </c>
      <c r="M37" s="30"/>
      <c r="N37" s="30"/>
    </row>
    <row r="38" spans="1:14" x14ac:dyDescent="0.25">
      <c r="A38" s="26">
        <v>3</v>
      </c>
      <c r="B38" s="26">
        <v>36</v>
      </c>
      <c r="C38" s="26" t="str">
        <f t="shared" ca="1" si="2"/>
        <v>CO2_emission_inventories taxi</v>
      </c>
      <c r="D38" s="26" t="str">
        <f t="shared" ca="1" si="3"/>
        <v>CO2_emission_inventories_bogota</v>
      </c>
      <c r="E38" s="32" t="str">
        <f t="array" aca="1" ref="E38" ca="1">INDIRECT(ADDRESS(1,A38,1,1,"all_city_parameter_inputs"))</f>
        <v>bogota</v>
      </c>
      <c r="F38" s="32" t="str">
        <f t="array" aca="1" ref="F38" ca="1">IF(AND(ISBLANK(INDIRECT(ADDRESS(B38,2,1,1,"all_city_parameter_inputs"))), ISBLANK(INDIRECT(ADDRESS(B38,1,1,1,"all_city_parameter_inputs")))), "", IF(ISBLANK(INDIRECT(ADDRESS(B38,1,1,1,"all_city_parameter_inputs"))), All_city_list!F37,INDIRECT(ADDRESS(B38,1,1,1,"all_city_parameter_inputs"))))</f>
        <v>CO2_emission_inventories</v>
      </c>
      <c r="G38" s="32" t="str">
        <f t="array" aca="1" ref="G38" ca="1">IF(AND(ISBLANK(INDIRECT(ADDRESS(B38,3,1,1,"all_city_parameter_inputs"))),ISBLANK(INDIRECT(ADDRESS(B38,2,1,1,"all_city_parameter_inputs")))),"",IF(ISBLANK(INDIRECT(ADDRESS(B38,2,1,1,"all_city_parameter_inputs"))),"",INDIRECT(ADDRESS(B38,2,1,1,"all_city_parameter_inputs"))))</f>
        <v>taxi</v>
      </c>
      <c r="H38" s="33" t="str">
        <f t="array" aca="1" ref="H38" ca="1">IF(ISBLANK(INDIRECT(ADDRESS(B38,A38,1,1,"all_city_parameter_inputs"))), "--",INDIRECT(ADDRESS(B38,A38,1,1,"all_city_parameter_inputs")))</f>
        <v>--</v>
      </c>
      <c r="I38" s="33">
        <f ca="1">IF(OR(G38="alpha",G38="beta",G38="sd",G38="mean"),"--",VLOOKUP(C38,Default!$B$5:$H$114,7,FALSE()))</f>
        <v>0</v>
      </c>
      <c r="J38" s="32" t="str">
        <f ca="1">VLOOKUP(F38,Lookup!$C$5:$D$110,2, FALSE())</f>
        <v>Pollution values</v>
      </c>
      <c r="K38" s="32">
        <f ca="1">VLOOKUP(C38,Default!$B$4:$E$114,4, FALSE())</f>
        <v>0</v>
      </c>
      <c r="L38" s="30" t="str">
        <f t="array" aca="1" ref="L38" ca="1">IF(ISNA(VLOOKUP($D38,Grouped_Sources!$C:$C,1,FALSE())),"", INDIRECT(VLOOKUP($D38,Grouped_Sources!$C:$I,5,FALSE())))</f>
        <v xml:space="preserve">https://www.who.int/publications/m/item/who-air-quality-database-2022 </v>
      </c>
      <c r="M38" s="30" t="str">
        <f ca="1">IF(ISNA(VLOOKUP($D38,Grouped_Sources!$C:$C,1,FALSE())),"", INDIRECT(VLOOKUP($D38,Grouped_Sources!$C:$I,6,FALSE())))</f>
        <v>WHO Air Quality Database, Update 2022</v>
      </c>
      <c r="N38" s="30">
        <f ca="1">IF(ISNA(VLOOKUP($D38,Grouped_Sources!$C:$C,1,FALSE())),"", INDIRECT(VLOOKUP($D38,Grouped_Sources!$C:$I,7,FALSE())))</f>
        <v>0</v>
      </c>
    </row>
    <row r="39" spans="1:14" x14ac:dyDescent="0.25">
      <c r="A39" s="26">
        <v>3</v>
      </c>
      <c r="B39" s="26">
        <v>37</v>
      </c>
      <c r="C39" s="26" t="str">
        <f t="shared" ca="1" si="2"/>
        <v>CO2_emission_inventories auto_rickshaw</v>
      </c>
      <c r="D39" s="26" t="str">
        <f t="shared" ca="1" si="3"/>
        <v>CO2_emission_inventories_bogota</v>
      </c>
      <c r="E39" s="32" t="str">
        <f t="array" aca="1" ref="E39" ca="1">INDIRECT(ADDRESS(1,A39,1,1,"all_city_parameter_inputs"))</f>
        <v>bogota</v>
      </c>
      <c r="F39" s="32" t="str">
        <f t="array" aca="1" ref="F39" ca="1">IF(AND(ISBLANK(INDIRECT(ADDRESS(B39,2,1,1,"all_city_parameter_inputs"))), ISBLANK(INDIRECT(ADDRESS(B39,1,1,1,"all_city_parameter_inputs")))), "", IF(ISBLANK(INDIRECT(ADDRESS(B39,1,1,1,"all_city_parameter_inputs"))), All_city_list!F38,INDIRECT(ADDRESS(B39,1,1,1,"all_city_parameter_inputs"))))</f>
        <v>CO2_emission_inventories</v>
      </c>
      <c r="G39" s="32" t="str">
        <f t="array" aca="1" ref="G39" ca="1">IF(AND(ISBLANK(INDIRECT(ADDRESS(B39,3,1,1,"all_city_parameter_inputs"))),ISBLANK(INDIRECT(ADDRESS(B39,2,1,1,"all_city_parameter_inputs")))),"",IF(ISBLANK(INDIRECT(ADDRESS(B39,2,1,1,"all_city_parameter_inputs"))),"",INDIRECT(ADDRESS(B39,2,1,1,"all_city_parameter_inputs"))))</f>
        <v>auto_rickshaw</v>
      </c>
      <c r="H39" s="33" t="str">
        <f t="array" aca="1" ref="H39" ca="1">IF(ISBLANK(INDIRECT(ADDRESS(B39,A39,1,1,"all_city_parameter_inputs"))), "--",INDIRECT(ADDRESS(B39,A39,1,1,"all_city_parameter_inputs")))</f>
        <v>--</v>
      </c>
      <c r="I39" s="33">
        <f ca="1">IF(OR(G39="alpha",G39="beta",G39="sd",G39="mean"),"--",VLOOKUP(C39,Default!$B$5:$H$114,7,FALSE()))</f>
        <v>0</v>
      </c>
      <c r="J39" s="32" t="str">
        <f ca="1">VLOOKUP(F39,Lookup!$C$5:$D$110,2, FALSE())</f>
        <v>Pollution values</v>
      </c>
      <c r="K39" s="32">
        <f ca="1">VLOOKUP(C39,Default!$B$4:$E$114,4, FALSE())</f>
        <v>0</v>
      </c>
      <c r="L39" s="30" t="str">
        <f t="array" aca="1" ref="L39" ca="1">IF(ISNA(VLOOKUP($D39,Grouped_Sources!$C:$C,1,FALSE())),"", INDIRECT(VLOOKUP($D39,Grouped_Sources!$C:$I,5,FALSE())))</f>
        <v xml:space="preserve">https://www.who.int/publications/m/item/who-air-quality-database-2022 </v>
      </c>
      <c r="M39" s="30" t="str">
        <f ca="1">IF(ISNA(VLOOKUP($D39,Grouped_Sources!$C:$C,1,FALSE())),"", INDIRECT(VLOOKUP($D39,Grouped_Sources!$C:$I,6,FALSE())))</f>
        <v>WHO Air Quality Database, Update 2022</v>
      </c>
      <c r="N39" s="30">
        <f ca="1">IF(ISNA(VLOOKUP($D39,Grouped_Sources!$C:$C,1,FALSE())),"", INDIRECT(VLOOKUP($D39,Grouped_Sources!$C:$I,7,FALSE())))</f>
        <v>0</v>
      </c>
    </row>
    <row r="40" spans="1:14" x14ac:dyDescent="0.25">
      <c r="A40" s="26">
        <v>3</v>
      </c>
      <c r="B40" s="26">
        <v>38</v>
      </c>
      <c r="C40" s="26" t="str">
        <f t="shared" ca="1" si="2"/>
        <v>country</v>
      </c>
      <c r="D40" s="26" t="str">
        <f t="shared" ca="1" si="3"/>
        <v>country_bogota</v>
      </c>
      <c r="E40" s="32" t="str">
        <f t="array" aca="1" ref="E40" ca="1">INDIRECT(ADDRESS(1,A40,1,1,"all_city_parameter_inputs"))</f>
        <v>bogota</v>
      </c>
      <c r="F40" s="32" t="str">
        <f t="array" aca="1" ref="F40" ca="1">IF(AND(ISBLANK(INDIRECT(ADDRESS(B40,2,1,1,"all_city_parameter_inputs"))), ISBLANK(INDIRECT(ADDRESS(B40,1,1,1,"all_city_parameter_inputs")))), "", IF(ISBLANK(INDIRECT(ADDRESS(B40,1,1,1,"all_city_parameter_inputs"))), All_city_list!F39,INDIRECT(ADDRESS(B40,1,1,1,"all_city_parameter_inputs"))))</f>
        <v>country</v>
      </c>
      <c r="G40" s="32" t="str">
        <f t="array" aca="1" ref="G40" ca="1">IF(AND(ISBLANK(INDIRECT(ADDRESS(B40,3,1,1,"all_city_parameter_inputs"))),ISBLANK(INDIRECT(ADDRESS(B40,2,1,1,"all_city_parameter_inputs")))),"",IF(ISBLANK(INDIRECT(ADDRESS(B40,2,1,1,"all_city_parameter_inputs"))),"",INDIRECT(ADDRESS(B40,2,1,1,"all_city_parameter_inputs"))))</f>
        <v/>
      </c>
      <c r="H40" s="33" t="str">
        <f t="array" aca="1" ref="H40" ca="1">IF(ISBLANK(INDIRECT(ADDRESS(B40,A40,1,1,"all_city_parameter_inputs"))), "--",INDIRECT(ADDRESS(B40,A40,1,1,"all_city_parameter_inputs")))</f>
        <v>Colombia</v>
      </c>
      <c r="I40" s="33" t="str">
        <f ca="1">IF(OR(G40="alpha",G40="beta",G40="sd",G40="mean"),"--",VLOOKUP(C40,Default!$B$5:$H$114,7,FALSE()))</f>
        <v>Bogota</v>
      </c>
      <c r="J40" s="32" t="str">
        <f ca="1">VLOOKUP(F40,Lookup!$C$5:$D$110,2, FALSE())</f>
        <v>Miscellaneous</v>
      </c>
      <c r="K40" s="32" t="str">
        <f ca="1">VLOOKUP(C40,Default!$B$4:$E$114,4, FALSE())</f>
        <v>country where city lies in</v>
      </c>
      <c r="L40" s="29" t="s">
        <v>122</v>
      </c>
      <c r="M40" s="30" t="s">
        <v>123</v>
      </c>
      <c r="N40" s="30"/>
    </row>
    <row r="41" spans="1:14" x14ac:dyDescent="0.25">
      <c r="A41" s="26">
        <v>3</v>
      </c>
      <c r="B41" s="26">
        <v>39</v>
      </c>
      <c r="C41" s="26" t="str">
        <f t="shared" ca="1" si="2"/>
        <v>continent</v>
      </c>
      <c r="D41" s="26" t="str">
        <f t="shared" ca="1" si="3"/>
        <v>continent_bogota</v>
      </c>
      <c r="E41" s="32" t="str">
        <f t="array" aca="1" ref="E41" ca="1">INDIRECT(ADDRESS(1,A41,1,1,"all_city_parameter_inputs"))</f>
        <v>bogota</v>
      </c>
      <c r="F41" s="32" t="str">
        <f t="array" aca="1" ref="F41" ca="1">IF(AND(ISBLANK(INDIRECT(ADDRESS(B41,2,1,1,"all_city_parameter_inputs"))), ISBLANK(INDIRECT(ADDRESS(B41,1,1,1,"all_city_parameter_inputs")))), "", IF(ISBLANK(INDIRECT(ADDRESS(B41,1,1,1,"all_city_parameter_inputs"))), All_city_list!F40,INDIRECT(ADDRESS(B41,1,1,1,"all_city_parameter_inputs"))))</f>
        <v>continent</v>
      </c>
      <c r="G41" s="32" t="str">
        <f t="array" aca="1" ref="G41" ca="1">IF(AND(ISBLANK(INDIRECT(ADDRESS(B41,3,1,1,"all_city_parameter_inputs"))),ISBLANK(INDIRECT(ADDRESS(B41,2,1,1,"all_city_parameter_inputs")))),"",IF(ISBLANK(INDIRECT(ADDRESS(B41,2,1,1,"all_city_parameter_inputs"))),"",INDIRECT(ADDRESS(B41,2,1,1,"all_city_parameter_inputs"))))</f>
        <v/>
      </c>
      <c r="H41" s="33" t="str">
        <f t="array" aca="1" ref="H41" ca="1">IF(ISBLANK(INDIRECT(ADDRESS(B41,A41,1,1,"all_city_parameter_inputs"))), "--",INDIRECT(ADDRESS(B41,A41,1,1,"all_city_parameter_inputs")))</f>
        <v>Latin_America</v>
      </c>
      <c r="I41" s="33" t="str">
        <f ca="1">IF(OR(G41="alpha",G41="beta",G41="sd",G41="mean"),"--",VLOOKUP(C41,Default!$B$5:$H$114,7,FALSE()))</f>
        <v>Latin_America</v>
      </c>
      <c r="J41" s="32" t="str">
        <f ca="1">VLOOKUP(F41,Lookup!$C$5:$D$110,2, FALSE())</f>
        <v>Miscellaneous</v>
      </c>
      <c r="K41" s="32" t="str">
        <f ca="1">VLOOKUP(C41,Default!$B$4:$E$114,4, FALSE())</f>
        <v>continent</v>
      </c>
      <c r="L41" s="30" t="str">
        <f ca="1">IF(ISNA(VLOOKUP($D41,Grouped_Sources!$C:$C,1,FALSE())),"", INDIRECT(VLOOKUP($D41,Grouped_Sources!$C:$I,5,FALSE())))</f>
        <v/>
      </c>
      <c r="M41" s="30" t="str">
        <f ca="1">IF(ISNA(VLOOKUP($D41,Grouped_Sources!$C:$C,1,FALSE())),"", INDIRECT(VLOOKUP($D41,Grouped_Sources!$C:$I,6,FALSE())))</f>
        <v/>
      </c>
      <c r="N41" s="30" t="str">
        <f ca="1">IF(ISNA(VLOOKUP($D41,Grouped_Sources!$C:$C,1,FALSE())),"", INDIRECT(VLOOKUP($D41,Grouped_Sources!$C:$I,7,FALSE())))</f>
        <v/>
      </c>
    </row>
    <row r="42" spans="1:14" x14ac:dyDescent="0.25">
      <c r="A42" s="26">
        <v>3</v>
      </c>
      <c r="B42" s="26">
        <v>40</v>
      </c>
      <c r="C42" s="26" t="str">
        <f t="shared" ca="1" si="2"/>
        <v/>
      </c>
      <c r="D42" s="26" t="str">
        <f t="shared" ca="1" si="3"/>
        <v>_bogota</v>
      </c>
      <c r="E42" s="32" t="str">
        <f t="array" aca="1" ref="E42" ca="1">INDIRECT(ADDRESS(1,A42,1,1,"all_city_parameter_inputs"))</f>
        <v>bogota</v>
      </c>
      <c r="F42" s="32" t="str">
        <f t="array" aca="1" ref="F42" ca="1">IF(AND(ISBLANK(INDIRECT(ADDRESS(B42,2,1,1,"all_city_parameter_inputs"))), ISBLANK(INDIRECT(ADDRESS(B42,1,1,1,"all_city_parameter_inputs")))), "", IF(ISBLANK(INDIRECT(ADDRESS(B42,1,1,1,"all_city_parameter_inputs"))), All_city_list!F41,INDIRECT(ADDRESS(B42,1,1,1,"all_city_parameter_inputs"))))</f>
        <v/>
      </c>
      <c r="G42" s="32" t="str">
        <f t="array" aca="1" ref="G42" ca="1">IF(AND(ISBLANK(INDIRECT(ADDRESS(B42,3,1,1,"all_city_parameter_inputs"))),ISBLANK(INDIRECT(ADDRESS(B42,2,1,1,"all_city_parameter_inputs")))),"",IF(ISBLANK(INDIRECT(ADDRESS(B42,2,1,1,"all_city_parameter_inputs"))),"",INDIRECT(ADDRESS(B42,2,1,1,"all_city_parameter_inputs"))))</f>
        <v/>
      </c>
      <c r="H42" s="33" t="str">
        <f t="array" aca="1" ref="H42" ca="1">IF(ISBLANK(INDIRECT(ADDRESS(B42,A42,1,1,"all_city_parameter_inputs"))), "--",INDIRECT(ADDRESS(B42,A42,1,1,"all_city_parameter_inputs")))</f>
        <v>--</v>
      </c>
      <c r="I42" s="33" t="e">
        <f ca="1">IF(OR(G42="alpha",G42="beta",G42="sd",G42="mean"),"--",VLOOKUP(C42,Default!$B$5:$H$114,7,FALSE()))</f>
        <v>#N/A</v>
      </c>
      <c r="J42" s="32" t="e">
        <f ca="1">VLOOKUP(F42,Lookup!$C$5:$D$110,2, FALSE())</f>
        <v>#N/A</v>
      </c>
      <c r="K42" s="32" t="e">
        <f ca="1">VLOOKUP(C42,Default!$B$4:$E$114,4, FALSE())</f>
        <v>#N/A</v>
      </c>
      <c r="L42" s="30" t="str">
        <f ca="1">IF(ISNA(VLOOKUP($D42,Grouped_Sources!$C:$C,1,FALSE())),"", INDIRECT(VLOOKUP($D42,Grouped_Sources!$C:$I,5,FALSE())))</f>
        <v/>
      </c>
      <c r="M42" s="30" t="str">
        <f ca="1">IF(ISNA(VLOOKUP($D42,Grouped_Sources!$C:$C,1,FALSE())),"", INDIRECT(VLOOKUP($D42,Grouped_Sources!$C:$I,6,FALSE())))</f>
        <v/>
      </c>
      <c r="N42" s="30" t="str">
        <f ca="1">IF(ISNA(VLOOKUP($D42,Grouped_Sources!$C:$C,1,FALSE())),"", INDIRECT(VLOOKUP($D42,Grouped_Sources!$C:$I,7,FALSE())))</f>
        <v/>
      </c>
    </row>
    <row r="43" spans="1:14" ht="105" x14ac:dyDescent="0.25">
      <c r="A43" s="26">
        <v>3</v>
      </c>
      <c r="B43" s="26">
        <v>41</v>
      </c>
      <c r="C43" s="26" t="str">
        <f t="shared" ca="1" si="2"/>
        <v/>
      </c>
      <c r="D43" s="26" t="str">
        <f t="shared" ca="1" si="3"/>
        <v>_bogota</v>
      </c>
      <c r="E43" s="32" t="str">
        <f t="array" aca="1" ref="E43" ca="1">INDIRECT(ADDRESS(1,A43,1,1,"all_city_parameter_inputs"))</f>
        <v>bogota</v>
      </c>
      <c r="F43" s="32" t="str">
        <f t="array" aca="1" ref="F43" ca="1">IF(AND(ISBLANK(INDIRECT(ADDRESS(B43,2,1,1,"all_city_parameter_inputs"))), ISBLANK(INDIRECT(ADDRESS(B43,1,1,1,"all_city_parameter_inputs")))), "", IF(ISBLANK(INDIRECT(ADDRESS(B43,1,1,1,"all_city_parameter_inputs"))), All_city_list!F42,INDIRECT(ADDRESS(B43,1,1,1,"all_city_parameter_inputs"))))</f>
        <v/>
      </c>
      <c r="G43" s="32" t="str">
        <f t="array" aca="1" ref="G43" ca="1">IF(AND(ISBLANK(INDIRECT(ADDRESS(B43,3,1,1,"all_city_parameter_inputs"))),ISBLANK(INDIRECT(ADDRESS(B43,2,1,1,"all_city_parameter_inputs")))),"",IF(ISBLANK(INDIRECT(ADDRESS(B43,2,1,1,"all_city_parameter_inputs"))),"",INDIRECT(ADDRESS(B43,2,1,1,"all_city_parameter_inputs"))))</f>
        <v/>
      </c>
      <c r="H43" s="33" t="str">
        <f t="array" aca="1" ref="H43" ca="1">IF(ISBLANK(INDIRECT(ADDRESS(B43,A43,1,1,"all_city_parameter_inputs"))), "--",INDIRECT(ADDRESS(B43,A43,1,1,"all_city_parameter_inputs")))</f>
        <v>--</v>
      </c>
      <c r="I43" s="33" t="e">
        <f ca="1">IF(OR(G43="alpha",G43="beta",G43="sd",G43="mean"),"--",VLOOKUP(C43,Default!$B$5:$H$114,7,FALSE()))</f>
        <v>#N/A</v>
      </c>
      <c r="J43" s="32" t="e">
        <f ca="1">VLOOKUP(F43,Lookup!$C$5:$D$110,2, FALSE())</f>
        <v>#N/A</v>
      </c>
      <c r="K43" s="32" t="e">
        <f ca="1">VLOOKUP(C43,Default!$B$4:$E$114,4, FALSE())</f>
        <v>#N/A</v>
      </c>
      <c r="L43" s="42" t="s">
        <v>124</v>
      </c>
      <c r="M43" s="30" t="s">
        <v>125</v>
      </c>
      <c r="N43" s="30"/>
    </row>
    <row r="44" spans="1:14" x14ac:dyDescent="0.25">
      <c r="A44" s="26">
        <v>3</v>
      </c>
      <c r="B44" s="26">
        <v>42</v>
      </c>
      <c r="C44" s="26" t="str">
        <f t="shared" ca="1" si="2"/>
        <v/>
      </c>
      <c r="D44" s="26" t="str">
        <f t="shared" ca="1" si="3"/>
        <v>_bogota</v>
      </c>
      <c r="E44" s="32" t="str">
        <f t="array" aca="1" ref="E44" ca="1">INDIRECT(ADDRESS(1,A44,1,1,"all_city_parameter_inputs"))</f>
        <v>bogota</v>
      </c>
      <c r="F44" s="32" t="str">
        <f t="array" aca="1" ref="F44" ca="1">IF(AND(ISBLANK(INDIRECT(ADDRESS(B44,2,1,1,"all_city_parameter_inputs"))), ISBLANK(INDIRECT(ADDRESS(B44,1,1,1,"all_city_parameter_inputs")))), "", IF(ISBLANK(INDIRECT(ADDRESS(B44,1,1,1,"all_city_parameter_inputs"))), All_city_list!F43,INDIRECT(ADDRESS(B44,1,1,1,"all_city_parameter_inputs"))))</f>
        <v/>
      </c>
      <c r="G44" s="32" t="str">
        <f t="array" aca="1" ref="G44" ca="1">IF(AND(ISBLANK(INDIRECT(ADDRESS(B44,3,1,1,"all_city_parameter_inputs"))),ISBLANK(INDIRECT(ADDRESS(B44,2,1,1,"all_city_parameter_inputs")))),"",IF(ISBLANK(INDIRECT(ADDRESS(B44,2,1,1,"all_city_parameter_inputs"))),"",INDIRECT(ADDRESS(B44,2,1,1,"all_city_parameter_inputs"))))</f>
        <v/>
      </c>
      <c r="H44" s="33" t="str">
        <f t="array" aca="1" ref="H44" ca="1">IF(ISBLANK(INDIRECT(ADDRESS(B44,A44,1,1,"all_city_parameter_inputs"))), "--",INDIRECT(ADDRESS(B44,A44,1,1,"all_city_parameter_inputs")))</f>
        <v>--</v>
      </c>
      <c r="I44" s="33" t="e">
        <f ca="1">IF(OR(G44="alpha",G44="beta",G44="sd",G44="mean"),"--",VLOOKUP(C44,Default!$B$5:$H$114,7,FALSE()))</f>
        <v>#N/A</v>
      </c>
      <c r="J44" s="32" t="e">
        <f ca="1">VLOOKUP(F44,Lookup!$C$5:$D$110,2, FALSE())</f>
        <v>#N/A</v>
      </c>
      <c r="K44" s="32" t="e">
        <f ca="1">VLOOKUP(C44,Default!$B$4:$E$114,4, FALSE())</f>
        <v>#N/A</v>
      </c>
      <c r="L44" s="43" t="str">
        <f ca="1">IF(ISNA(VLOOKUP($D44,Grouped_Sources!$C:$C,1,FALSE())),"", INDIRECT(VLOOKUP($D44,Grouped_Sources!$C:$I,5,FALSE())))</f>
        <v/>
      </c>
      <c r="M44" s="30" t="str">
        <f ca="1">IF(ISNA(VLOOKUP($D44,Grouped_Sources!$C:$C,1,FALSE())),"", INDIRECT(VLOOKUP($D44,Grouped_Sources!$C:$I,6,FALSE())))</f>
        <v/>
      </c>
      <c r="N44" s="30" t="str">
        <f ca="1">IF(ISNA(VLOOKUP($D44,Grouped_Sources!$C:$C,1,FALSE())),"", INDIRECT(VLOOKUP($D44,Grouped_Sources!$C:$I,7,FALSE())))</f>
        <v/>
      </c>
    </row>
    <row r="45" spans="1:14" x14ac:dyDescent="0.25">
      <c r="A45" s="26">
        <v>3</v>
      </c>
      <c r="B45" s="26">
        <v>43</v>
      </c>
      <c r="C45" s="26" t="str">
        <f t="shared" ca="1" si="2"/>
        <v/>
      </c>
      <c r="D45" s="26" t="str">
        <f t="shared" ca="1" si="3"/>
        <v>_bogota</v>
      </c>
      <c r="E45" s="32" t="str">
        <f t="array" aca="1" ref="E45" ca="1">INDIRECT(ADDRESS(1,A45,1,1,"all_city_parameter_inputs"))</f>
        <v>bogota</v>
      </c>
      <c r="F45" s="32" t="str">
        <f t="array" aca="1" ref="F45" ca="1">IF(AND(ISBLANK(INDIRECT(ADDRESS(B45,2,1,1,"all_city_parameter_inputs"))), ISBLANK(INDIRECT(ADDRESS(B45,1,1,1,"all_city_parameter_inputs")))), "", IF(ISBLANK(INDIRECT(ADDRESS(B45,1,1,1,"all_city_parameter_inputs"))), All_city_list!F44,INDIRECT(ADDRESS(B45,1,1,1,"all_city_parameter_inputs"))))</f>
        <v/>
      </c>
      <c r="G45" s="32" t="str">
        <f t="array" aca="1" ref="G45" ca="1">IF(AND(ISBLANK(INDIRECT(ADDRESS(B45,3,1,1,"all_city_parameter_inputs"))),ISBLANK(INDIRECT(ADDRESS(B45,2,1,1,"all_city_parameter_inputs")))),"",IF(ISBLANK(INDIRECT(ADDRESS(B45,2,1,1,"all_city_parameter_inputs"))),"",INDIRECT(ADDRESS(B45,2,1,1,"all_city_parameter_inputs"))))</f>
        <v/>
      </c>
      <c r="H45" s="33" t="str">
        <f t="array" aca="1" ref="H45" ca="1">IF(ISBLANK(INDIRECT(ADDRESS(B45,A45,1,1,"all_city_parameter_inputs"))), "--",INDIRECT(ADDRESS(B45,A45,1,1,"all_city_parameter_inputs")))</f>
        <v>--</v>
      </c>
      <c r="I45" s="33" t="e">
        <f ca="1">IF(OR(G45="alpha",G45="beta",G45="sd",G45="mean"),"--",VLOOKUP(C45,Default!$B$5:$H$114,7,FALSE()))</f>
        <v>#N/A</v>
      </c>
      <c r="J45" s="32" t="e">
        <f ca="1">VLOOKUP(F45,Lookup!$C$5:$D$110,2, FALSE())</f>
        <v>#N/A</v>
      </c>
      <c r="K45" s="32" t="e">
        <f ca="1">VLOOKUP(C45,Default!$B$4:$E$114,4, FALSE())</f>
        <v>#N/A</v>
      </c>
      <c r="L45" s="30" t="str">
        <f t="array" aca="1" ref="L45" ca="1">IF(ISNA(VLOOKUP($D45,Grouped_Sources!$C:$C,1,FALSE())),"", INDIRECT(VLOOKUP($D45,Grouped_Sources!$C:$I,5,FALSE())))</f>
        <v/>
      </c>
      <c r="M45" s="30" t="str">
        <f t="array" aca="1" ref="M45" ca="1">IF(ISNA(VLOOKUP($D45,Grouped_Sources!$C:$C,1,FALSE())),"", INDIRECT(VLOOKUP($D45,Grouped_Sources!$C:$I,6,FALSE())))</f>
        <v/>
      </c>
      <c r="N45" s="30" t="str">
        <f ca="1">IF(ISNA(VLOOKUP($D45,Grouped_Sources!$C:$C,1,FALSE())),"", INDIRECT(VLOOKUP($D45,Grouped_Sources!$C:$I,7,FALSE())))</f>
        <v/>
      </c>
    </row>
    <row r="46" spans="1:14" x14ac:dyDescent="0.25">
      <c r="A46" s="26">
        <v>3</v>
      </c>
      <c r="B46" s="26">
        <v>44</v>
      </c>
      <c r="C46" s="26" t="str">
        <f t="shared" ca="1" si="2"/>
        <v/>
      </c>
      <c r="D46" s="26" t="str">
        <f t="shared" ca="1" si="3"/>
        <v>_bogota</v>
      </c>
      <c r="E46" s="32" t="str">
        <f t="array" aca="1" ref="E46" ca="1">INDIRECT(ADDRESS(1,A46,1,1,"all_city_parameter_inputs"))</f>
        <v>bogota</v>
      </c>
      <c r="F46" s="32" t="str">
        <f t="array" aca="1" ref="F46" ca="1">IF(AND(ISBLANK(INDIRECT(ADDRESS(B46,2,1,1,"all_city_parameter_inputs"))), ISBLANK(INDIRECT(ADDRESS(B46,1,1,1,"all_city_parameter_inputs")))), "", IF(ISBLANK(INDIRECT(ADDRESS(B46,1,1,1,"all_city_parameter_inputs"))), All_city_list!F45,INDIRECT(ADDRESS(B46,1,1,1,"all_city_parameter_inputs"))))</f>
        <v/>
      </c>
      <c r="G46" s="32" t="str">
        <f t="array" aca="1" ref="G46" ca="1">IF(AND(ISBLANK(INDIRECT(ADDRESS(B46,3,1,1,"all_city_parameter_inputs"))),ISBLANK(INDIRECT(ADDRESS(B46,2,1,1,"all_city_parameter_inputs")))),"",IF(ISBLANK(INDIRECT(ADDRESS(B46,2,1,1,"all_city_parameter_inputs"))),"",INDIRECT(ADDRESS(B46,2,1,1,"all_city_parameter_inputs"))))</f>
        <v/>
      </c>
      <c r="H46" s="33" t="str">
        <f t="array" aca="1" ref="H46" ca="1">IF(ISBLANK(INDIRECT(ADDRESS(B46,A46,1,1,"all_city_parameter_inputs"))), "--",INDIRECT(ADDRESS(B46,A46,1,1,"all_city_parameter_inputs")))</f>
        <v>--</v>
      </c>
      <c r="I46" s="33" t="e">
        <f ca="1">IF(OR(G46="alpha",G46="beta",G46="sd",G46="mean"),"--",VLOOKUP(C46,Default!$B$5:$H$114,7,FALSE()))</f>
        <v>#N/A</v>
      </c>
      <c r="J46" s="32" t="e">
        <f ca="1">VLOOKUP(F46,Lookup!$C$5:$D$110,2, FALSE())</f>
        <v>#N/A</v>
      </c>
      <c r="K46" s="32" t="e">
        <f ca="1">VLOOKUP(C46,Default!$B$4:$E$114,4, FALSE())</f>
        <v>#N/A</v>
      </c>
      <c r="L46" s="29" t="s">
        <v>126</v>
      </c>
      <c r="M46" s="30"/>
      <c r="N46" s="30"/>
    </row>
    <row r="47" spans="1:14" x14ac:dyDescent="0.25">
      <c r="A47" s="26">
        <v>3</v>
      </c>
      <c r="B47" s="26">
        <v>45</v>
      </c>
      <c r="C47" s="26" t="str">
        <f t="shared" ca="1" si="2"/>
        <v/>
      </c>
      <c r="D47" s="26" t="str">
        <f t="shared" ca="1" si="3"/>
        <v>_bogota</v>
      </c>
      <c r="E47" s="32" t="str">
        <f t="array" aca="1" ref="E47" ca="1">INDIRECT(ADDRESS(1,A47,1,1,"all_city_parameter_inputs"))</f>
        <v>bogota</v>
      </c>
      <c r="F47" s="32" t="str">
        <f t="array" aca="1" ref="F47" ca="1">IF(AND(ISBLANK(INDIRECT(ADDRESS(B47,2,1,1,"all_city_parameter_inputs"))), ISBLANK(INDIRECT(ADDRESS(B47,1,1,1,"all_city_parameter_inputs")))), "", IF(ISBLANK(INDIRECT(ADDRESS(B47,1,1,1,"all_city_parameter_inputs"))), All_city_list!F46,INDIRECT(ADDRESS(B47,1,1,1,"all_city_parameter_inputs"))))</f>
        <v/>
      </c>
      <c r="G47" s="32" t="str">
        <f t="array" aca="1" ref="G47" ca="1">IF(AND(ISBLANK(INDIRECT(ADDRESS(B47,3,1,1,"all_city_parameter_inputs"))),ISBLANK(INDIRECT(ADDRESS(B47,2,1,1,"all_city_parameter_inputs")))),"",IF(ISBLANK(INDIRECT(ADDRESS(B47,2,1,1,"all_city_parameter_inputs"))),"",INDIRECT(ADDRESS(B47,2,1,1,"all_city_parameter_inputs"))))</f>
        <v/>
      </c>
      <c r="H47" s="33" t="str">
        <f t="array" aca="1" ref="H47" ca="1">IF(ISBLANK(INDIRECT(ADDRESS(B47,A47,1,1,"all_city_parameter_inputs"))), "--",INDIRECT(ADDRESS(B47,A47,1,1,"all_city_parameter_inputs")))</f>
        <v>--</v>
      </c>
      <c r="I47" s="33" t="e">
        <f ca="1">IF(OR(G47="alpha",G47="beta",G47="sd",G47="mean"),"--",VLOOKUP(C47,Default!$B$5:$H$114,7,FALSE()))</f>
        <v>#N/A</v>
      </c>
      <c r="J47" s="32" t="e">
        <f ca="1">VLOOKUP(F47,Lookup!$C$5:$D$110,2, FALSE())</f>
        <v>#N/A</v>
      </c>
      <c r="K47" s="32" t="e">
        <f ca="1">VLOOKUP(C47,Default!$B$4:$E$114,4, FALSE())</f>
        <v>#N/A</v>
      </c>
      <c r="L47" s="29" t="s">
        <v>126</v>
      </c>
      <c r="M47" s="30"/>
      <c r="N47" s="30"/>
    </row>
    <row r="48" spans="1:14" x14ac:dyDescent="0.25">
      <c r="A48" s="26">
        <v>3</v>
      </c>
      <c r="B48" s="26">
        <v>46</v>
      </c>
      <c r="C48" s="26" t="str">
        <f t="shared" ca="1" si="2"/>
        <v/>
      </c>
      <c r="D48" s="26" t="str">
        <f t="shared" ca="1" si="3"/>
        <v>_bogota</v>
      </c>
      <c r="E48" s="32" t="str">
        <f t="array" aca="1" ref="E48" ca="1">INDIRECT(ADDRESS(1,A48,1,1,"all_city_parameter_inputs"))</f>
        <v>bogota</v>
      </c>
      <c r="F48" s="32" t="str">
        <f t="array" aca="1" ref="F48" ca="1">IF(AND(ISBLANK(INDIRECT(ADDRESS(B48,2,1,1,"all_city_parameter_inputs"))), ISBLANK(INDIRECT(ADDRESS(B48,1,1,1,"all_city_parameter_inputs")))), "", IF(ISBLANK(INDIRECT(ADDRESS(B48,1,1,1,"all_city_parameter_inputs"))), All_city_list!F47,INDIRECT(ADDRESS(B48,1,1,1,"all_city_parameter_inputs"))))</f>
        <v/>
      </c>
      <c r="G48" s="32" t="str">
        <f t="array" aca="1" ref="G48" ca="1">IF(AND(ISBLANK(INDIRECT(ADDRESS(B48,3,1,1,"all_city_parameter_inputs"))),ISBLANK(INDIRECT(ADDRESS(B48,2,1,1,"all_city_parameter_inputs")))),"",IF(ISBLANK(INDIRECT(ADDRESS(B48,2,1,1,"all_city_parameter_inputs"))),"",INDIRECT(ADDRESS(B48,2,1,1,"all_city_parameter_inputs"))))</f>
        <v/>
      </c>
      <c r="H48" s="33" t="str">
        <f t="array" aca="1" ref="H48" ca="1">IF(ISBLANK(INDIRECT(ADDRESS(B48,A48,1,1,"all_city_parameter_inputs"))), "--",INDIRECT(ADDRESS(B48,A48,1,1,"all_city_parameter_inputs")))</f>
        <v>--</v>
      </c>
      <c r="I48" s="33" t="e">
        <f ca="1">IF(OR(G48="alpha",G48="beta",G48="sd",G48="mean"),"--",VLOOKUP(C48,Default!$B$5:$H$114,7,FALSE()))</f>
        <v>#N/A</v>
      </c>
      <c r="J48" s="32" t="e">
        <f ca="1">VLOOKUP(F48,Lookup!$C$5:$D$110,2, FALSE())</f>
        <v>#N/A</v>
      </c>
      <c r="K48" s="32" t="e">
        <f ca="1">VLOOKUP(C48,Default!$B$4:$E$114,4, FALSE())</f>
        <v>#N/A</v>
      </c>
      <c r="L48" s="30" t="str">
        <f ca="1">IF(ISNA(VLOOKUP($D48,Grouped_Sources!$C:$C,1,FALSE())),"", INDIRECT(VLOOKUP($D48,Grouped_Sources!$C:$I,5,FALSE())))</f>
        <v/>
      </c>
      <c r="M48" s="30" t="str">
        <f ca="1">IF(ISNA(VLOOKUP($D48,Grouped_Sources!$C:$C,1,FALSE())),"", INDIRECT(VLOOKUP($D48,Grouped_Sources!$C:$I,6,FALSE())))</f>
        <v/>
      </c>
      <c r="N48" s="30" t="str">
        <f ca="1">IF(ISNA(VLOOKUP($D48,Grouped_Sources!$C:$C,1,FALSE())),"", INDIRECT(VLOOKUP($D48,Grouped_Sources!$C:$I,7,FALSE())))</f>
        <v/>
      </c>
    </row>
    <row r="49" spans="1:14" x14ac:dyDescent="0.25">
      <c r="A49" s="26">
        <v>3</v>
      </c>
      <c r="B49" s="26">
        <v>47</v>
      </c>
      <c r="C49" s="26" t="str">
        <f t="shared" ca="1" si="2"/>
        <v/>
      </c>
      <c r="D49" s="26" t="str">
        <f t="shared" ca="1" si="3"/>
        <v>_bogota</v>
      </c>
      <c r="E49" s="32" t="str">
        <f t="array" aca="1" ref="E49" ca="1">INDIRECT(ADDRESS(1,A49,1,1,"all_city_parameter_inputs"))</f>
        <v>bogota</v>
      </c>
      <c r="F49" s="32" t="str">
        <f t="array" aca="1" ref="F49" ca="1">IF(AND(ISBLANK(INDIRECT(ADDRESS(B49,2,1,1,"all_city_parameter_inputs"))), ISBLANK(INDIRECT(ADDRESS(B49,1,1,1,"all_city_parameter_inputs")))), "", IF(ISBLANK(INDIRECT(ADDRESS(B49,1,1,1,"all_city_parameter_inputs"))), All_city_list!F48,INDIRECT(ADDRESS(B49,1,1,1,"all_city_parameter_inputs"))))</f>
        <v/>
      </c>
      <c r="G49" s="32" t="str">
        <f t="array" aca="1" ref="G49" ca="1">IF(AND(ISBLANK(INDIRECT(ADDRESS(B49,3,1,1,"all_city_parameter_inputs"))),ISBLANK(INDIRECT(ADDRESS(B49,2,1,1,"all_city_parameter_inputs")))),"",IF(ISBLANK(INDIRECT(ADDRESS(B49,2,1,1,"all_city_parameter_inputs"))),"",INDIRECT(ADDRESS(B49,2,1,1,"all_city_parameter_inputs"))))</f>
        <v/>
      </c>
      <c r="H49" s="33" t="str">
        <f t="array" aca="1" ref="H49" ca="1">IF(ISBLANK(INDIRECT(ADDRESS(B49,A49,1,1,"all_city_parameter_inputs"))), "--",INDIRECT(ADDRESS(B49,A49,1,1,"all_city_parameter_inputs")))</f>
        <v>--</v>
      </c>
      <c r="I49" s="33" t="e">
        <f ca="1">IF(OR(G49="alpha",G49="beta",G49="sd",G49="mean"),"--",VLOOKUP(C49,Default!$B$5:$H$114,7,FALSE()))</f>
        <v>#N/A</v>
      </c>
      <c r="J49" s="32" t="e">
        <f ca="1">VLOOKUP(F49,Lookup!$C$5:$D$110,2, FALSE())</f>
        <v>#N/A</v>
      </c>
      <c r="K49" s="32" t="e">
        <f ca="1">VLOOKUP(C49,Default!$B$4:$E$114,4, FALSE())</f>
        <v>#N/A</v>
      </c>
      <c r="L49" s="30" t="str">
        <f ca="1">IF(ISNA(VLOOKUP($D49,Grouped_Sources!$C:$C,1,FALSE())),"", INDIRECT(VLOOKUP($D49,Grouped_Sources!$C:$I,5,FALSE())))</f>
        <v/>
      </c>
      <c r="M49" s="30" t="str">
        <f ca="1">IF(ISNA(VLOOKUP($D49,Grouped_Sources!$C:$C,1,FALSE())),"", INDIRECT(VLOOKUP($D49,Grouped_Sources!$C:$I,6,FALSE())))</f>
        <v/>
      </c>
      <c r="N49" s="30" t="str">
        <f ca="1">IF(ISNA(VLOOKUP($D49,Grouped_Sources!$C:$C,1,FALSE())),"", INDIRECT(VLOOKUP($D49,Grouped_Sources!$C:$I,7,FALSE())))</f>
        <v/>
      </c>
    </row>
    <row r="50" spans="1:14" x14ac:dyDescent="0.25">
      <c r="A50" s="26">
        <v>3</v>
      </c>
      <c r="B50" s="26">
        <v>48</v>
      </c>
      <c r="C50" s="26" t="str">
        <f t="shared" ca="1" si="2"/>
        <v/>
      </c>
      <c r="D50" s="26" t="str">
        <f t="shared" ca="1" si="3"/>
        <v>_bogota</v>
      </c>
      <c r="E50" s="32" t="str">
        <f t="array" aca="1" ref="E50" ca="1">INDIRECT(ADDRESS(1,A50,1,1,"all_city_parameter_inputs"))</f>
        <v>bogota</v>
      </c>
      <c r="F50" s="32" t="str">
        <f t="array" aca="1" ref="F50" ca="1">IF(AND(ISBLANK(INDIRECT(ADDRESS(B50,2,1,1,"all_city_parameter_inputs"))), ISBLANK(INDIRECT(ADDRESS(B50,1,1,1,"all_city_parameter_inputs")))), "", IF(ISBLANK(INDIRECT(ADDRESS(B50,1,1,1,"all_city_parameter_inputs"))), All_city_list!F49,INDIRECT(ADDRESS(B50,1,1,1,"all_city_parameter_inputs"))))</f>
        <v/>
      </c>
      <c r="G50" s="32" t="str">
        <f t="array" aca="1" ref="G50" ca="1">IF(AND(ISBLANK(INDIRECT(ADDRESS(B50,3,1,1,"all_city_parameter_inputs"))),ISBLANK(INDIRECT(ADDRESS(B50,2,1,1,"all_city_parameter_inputs")))),"",IF(ISBLANK(INDIRECT(ADDRESS(B50,2,1,1,"all_city_parameter_inputs"))),"",INDIRECT(ADDRESS(B50,2,1,1,"all_city_parameter_inputs"))))</f>
        <v/>
      </c>
      <c r="H50" s="33" t="str">
        <f t="array" aca="1" ref="H50" ca="1">IF(ISBLANK(INDIRECT(ADDRESS(B50,A50,1,1,"all_city_parameter_inputs"))), "--",INDIRECT(ADDRESS(B50,A50,1,1,"all_city_parameter_inputs")))</f>
        <v>--</v>
      </c>
      <c r="I50" s="33" t="e">
        <f ca="1">IF(OR(G50="alpha",G50="beta",G50="sd",G50="mean"),"--",VLOOKUP(C50,Default!$B$5:$H$114,7,FALSE()))</f>
        <v>#N/A</v>
      </c>
      <c r="J50" s="32" t="e">
        <f ca="1">VLOOKUP(F50,Lookup!$C$5:$D$110,2, FALSE())</f>
        <v>#N/A</v>
      </c>
      <c r="K50" s="32" t="e">
        <f ca="1">VLOOKUP(C50,Default!$B$4:$E$114,4, FALSE())</f>
        <v>#N/A</v>
      </c>
      <c r="L50" s="29" t="s">
        <v>127</v>
      </c>
      <c r="M50" s="30"/>
      <c r="N50" s="30"/>
    </row>
    <row r="51" spans="1:14" x14ac:dyDescent="0.25">
      <c r="A51" s="26">
        <v>3</v>
      </c>
      <c r="B51" s="26">
        <v>49</v>
      </c>
      <c r="C51" s="26" t="str">
        <f t="shared" ca="1" si="2"/>
        <v/>
      </c>
      <c r="D51" s="26" t="str">
        <f t="shared" ca="1" si="3"/>
        <v>_bogota</v>
      </c>
      <c r="E51" s="32" t="str">
        <f t="array" aca="1" ref="E51" ca="1">INDIRECT(ADDRESS(1,A51,1,1,"all_city_parameter_inputs"))</f>
        <v>bogota</v>
      </c>
      <c r="F51" s="32" t="str">
        <f t="array" aca="1" ref="F51" ca="1">IF(AND(ISBLANK(INDIRECT(ADDRESS(B51,2,1,1,"all_city_parameter_inputs"))), ISBLANK(INDIRECT(ADDRESS(B51,1,1,1,"all_city_parameter_inputs")))), "", IF(ISBLANK(INDIRECT(ADDRESS(B51,1,1,1,"all_city_parameter_inputs"))), All_city_list!F50,INDIRECT(ADDRESS(B51,1,1,1,"all_city_parameter_inputs"))))</f>
        <v/>
      </c>
      <c r="G51" s="32" t="str">
        <f t="array" aca="1" ref="G51" ca="1">IF(AND(ISBLANK(INDIRECT(ADDRESS(B51,3,1,1,"all_city_parameter_inputs"))),ISBLANK(INDIRECT(ADDRESS(B51,2,1,1,"all_city_parameter_inputs")))),"",IF(ISBLANK(INDIRECT(ADDRESS(B51,2,1,1,"all_city_parameter_inputs"))),"",INDIRECT(ADDRESS(B51,2,1,1,"all_city_parameter_inputs"))))</f>
        <v/>
      </c>
      <c r="H51" s="33" t="str">
        <f t="array" aca="1" ref="H51" ca="1">IF(ISBLANK(INDIRECT(ADDRESS(B51,A51,1,1,"all_city_parameter_inputs"))), "--",INDIRECT(ADDRESS(B51,A51,1,1,"all_city_parameter_inputs")))</f>
        <v>--</v>
      </c>
      <c r="I51" s="33" t="e">
        <f ca="1">IF(OR(G51="alpha",G51="beta",G51="sd",G51="mean"),"--",VLOOKUP(C51,Default!$B$5:$H$114,7,FALSE()))</f>
        <v>#N/A</v>
      </c>
      <c r="J51" s="32" t="e">
        <f ca="1">VLOOKUP(F51,Lookup!$C$5:$D$110,2, FALSE())</f>
        <v>#N/A</v>
      </c>
      <c r="K51" s="32" t="e">
        <f ca="1">VLOOKUP(C51,Default!$B$4:$E$114,4, FALSE())</f>
        <v>#N/A</v>
      </c>
      <c r="L51" s="29" t="s">
        <v>128</v>
      </c>
      <c r="M51" s="30" t="s">
        <v>129</v>
      </c>
      <c r="N51" s="30"/>
    </row>
    <row r="52" spans="1:14" x14ac:dyDescent="0.25">
      <c r="A52" s="26">
        <v>3</v>
      </c>
      <c r="B52" s="26">
        <v>50</v>
      </c>
      <c r="C52" s="26" t="str">
        <f t="shared" ca="1" si="2"/>
        <v/>
      </c>
      <c r="D52" s="26" t="str">
        <f t="shared" ca="1" si="3"/>
        <v>_bogota</v>
      </c>
      <c r="E52" s="32" t="str">
        <f t="array" aca="1" ref="E52" ca="1">INDIRECT(ADDRESS(1,A52,1,1,"all_city_parameter_inputs"))</f>
        <v>bogota</v>
      </c>
      <c r="F52" s="32" t="str">
        <f t="array" aca="1" ref="F52" ca="1">IF(AND(ISBLANK(INDIRECT(ADDRESS(B52,2,1,1,"all_city_parameter_inputs"))), ISBLANK(INDIRECT(ADDRESS(B52,1,1,1,"all_city_parameter_inputs")))), "", IF(ISBLANK(INDIRECT(ADDRESS(B52,1,1,1,"all_city_parameter_inputs"))), All_city_list!F51,INDIRECT(ADDRESS(B52,1,1,1,"all_city_parameter_inputs"))))</f>
        <v/>
      </c>
      <c r="G52" s="32" t="str">
        <f t="array" aca="1" ref="G52" ca="1">IF(AND(ISBLANK(INDIRECT(ADDRESS(B52,3,1,1,"all_city_parameter_inputs"))),ISBLANK(INDIRECT(ADDRESS(B52,2,1,1,"all_city_parameter_inputs")))),"",IF(ISBLANK(INDIRECT(ADDRESS(B52,2,1,1,"all_city_parameter_inputs"))),"",INDIRECT(ADDRESS(B52,2,1,1,"all_city_parameter_inputs"))))</f>
        <v/>
      </c>
      <c r="H52" s="33" t="str">
        <f t="array" aca="1" ref="H52" ca="1">IF(ISBLANK(INDIRECT(ADDRESS(B52,A52,1,1,"all_city_parameter_inputs"))), "--",INDIRECT(ADDRESS(B52,A52,1,1,"all_city_parameter_inputs")))</f>
        <v>--</v>
      </c>
      <c r="I52" s="33" t="e">
        <f ca="1">IF(OR(G52="alpha",G52="beta",G52="sd",G52="mean"),"--",VLOOKUP(C52,Default!$B$5:$H$114,7,FALSE()))</f>
        <v>#N/A</v>
      </c>
      <c r="J52" s="32" t="e">
        <f ca="1">VLOOKUP(F52,Lookup!$C$5:$D$110,2, FALSE())</f>
        <v>#N/A</v>
      </c>
      <c r="K52" s="32" t="e">
        <f ca="1">VLOOKUP(C52,Default!$B$4:$E$114,4, FALSE())</f>
        <v>#N/A</v>
      </c>
      <c r="L52" s="30" t="str">
        <f ca="1">IF(ISNA(VLOOKUP($D52,Grouped_Sources!$C:$C,1,FALSE())),"", INDIRECT(VLOOKUP($D52,Grouped_Sources!$C:$I,5,FALSE())))</f>
        <v/>
      </c>
      <c r="M52" s="30" t="str">
        <f ca="1">IF(ISNA(VLOOKUP($D52,Grouped_Sources!$C:$C,1,FALSE())),"", INDIRECT(VLOOKUP($D52,Grouped_Sources!$C:$I,6,FALSE())))</f>
        <v/>
      </c>
      <c r="N52" s="30" t="str">
        <f ca="1">IF(ISNA(VLOOKUP($D52,Grouped_Sources!$C:$C,1,FALSE())),"", INDIRECT(VLOOKUP($D52,Grouped_Sources!$C:$I,7,FALSE())))</f>
        <v/>
      </c>
    </row>
    <row r="53" spans="1:14" x14ac:dyDescent="0.25">
      <c r="A53" s="26">
        <v>3</v>
      </c>
      <c r="B53" s="26">
        <v>51</v>
      </c>
      <c r="C53" s="26" t="str">
        <f t="shared" ca="1" si="2"/>
        <v/>
      </c>
      <c r="D53" s="26" t="str">
        <f t="shared" ca="1" si="3"/>
        <v>_bogota</v>
      </c>
      <c r="E53" s="32" t="str">
        <f t="array" aca="1" ref="E53" ca="1">INDIRECT(ADDRESS(1,A53,1,1,"all_city_parameter_inputs"))</f>
        <v>bogota</v>
      </c>
      <c r="F53" s="32" t="str">
        <f t="array" aca="1" ref="F53" ca="1">IF(AND(ISBLANK(INDIRECT(ADDRESS(B53,2,1,1,"all_city_parameter_inputs"))), ISBLANK(INDIRECT(ADDRESS(B53,1,1,1,"all_city_parameter_inputs")))), "", IF(ISBLANK(INDIRECT(ADDRESS(B53,1,1,1,"all_city_parameter_inputs"))), All_city_list!F52,INDIRECT(ADDRESS(B53,1,1,1,"all_city_parameter_inputs"))))</f>
        <v/>
      </c>
      <c r="G53" s="32" t="str">
        <f t="array" aca="1" ref="G53" ca="1">IF(AND(ISBLANK(INDIRECT(ADDRESS(B53,3,1,1,"all_city_parameter_inputs"))),ISBLANK(INDIRECT(ADDRESS(B53,2,1,1,"all_city_parameter_inputs")))),"",IF(ISBLANK(INDIRECT(ADDRESS(B53,2,1,1,"all_city_parameter_inputs"))),"",INDIRECT(ADDRESS(B53,2,1,1,"all_city_parameter_inputs"))))</f>
        <v/>
      </c>
      <c r="H53" s="33" t="str">
        <f t="array" aca="1" ref="H53" ca="1">IF(ISBLANK(INDIRECT(ADDRESS(B53,A53,1,1,"all_city_parameter_inputs"))), "--",INDIRECT(ADDRESS(B53,A53,1,1,"all_city_parameter_inputs")))</f>
        <v>--</v>
      </c>
      <c r="I53" s="33" t="e">
        <f ca="1">IF(OR(G53="alpha",G53="beta",G53="sd",G53="mean"),"--",VLOOKUP(C53,Default!$B$5:$H$114,7,FALSE()))</f>
        <v>#N/A</v>
      </c>
      <c r="J53" s="32" t="e">
        <f ca="1">VLOOKUP(F53,Lookup!$C$5:$D$110,2, FALSE())</f>
        <v>#N/A</v>
      </c>
      <c r="K53" s="32" t="e">
        <f ca="1">VLOOKUP(C53,Default!$B$4:$E$114,4, FALSE())</f>
        <v>#N/A</v>
      </c>
      <c r="L53" s="30" t="str">
        <f ca="1">IF(ISNA(VLOOKUP($D53,Grouped_Sources!$C:$C,1,FALSE())),"", INDIRECT(VLOOKUP($D53,Grouped_Sources!$C:$I,5,FALSE())))</f>
        <v/>
      </c>
      <c r="M53" s="30" t="str">
        <f ca="1">IF(ISNA(VLOOKUP($D53,Grouped_Sources!$C:$C,1,FALSE())),"", INDIRECT(VLOOKUP($D53,Grouped_Sources!$C:$I,6,FALSE())))</f>
        <v/>
      </c>
      <c r="N53" s="30" t="str">
        <f ca="1">IF(ISNA(VLOOKUP($D53,Grouped_Sources!$C:$C,1,FALSE())),"", INDIRECT(VLOOKUP($D53,Grouped_Sources!$C:$I,7,FALSE())))</f>
        <v/>
      </c>
    </row>
    <row r="54" spans="1:14" x14ac:dyDescent="0.25">
      <c r="A54" s="26">
        <v>3</v>
      </c>
      <c r="B54" s="26">
        <v>52</v>
      </c>
      <c r="C54" s="26" t="str">
        <f t="shared" ca="1" si="2"/>
        <v/>
      </c>
      <c r="D54" s="26" t="str">
        <f t="shared" ca="1" si="3"/>
        <v>_bogota</v>
      </c>
      <c r="E54" s="32" t="str">
        <f t="array" aca="1" ref="E54" ca="1">INDIRECT(ADDRESS(1,A54,1,1,"all_city_parameter_inputs"))</f>
        <v>bogota</v>
      </c>
      <c r="F54" s="32" t="str">
        <f t="array" aca="1" ref="F54" ca="1">IF(AND(ISBLANK(INDIRECT(ADDRESS(B54,2,1,1,"all_city_parameter_inputs"))), ISBLANK(INDIRECT(ADDRESS(B54,1,1,1,"all_city_parameter_inputs")))), "", IF(ISBLANK(INDIRECT(ADDRESS(B54,1,1,1,"all_city_parameter_inputs"))), All_city_list!F53,INDIRECT(ADDRESS(B54,1,1,1,"all_city_parameter_inputs"))))</f>
        <v/>
      </c>
      <c r="G54" s="32" t="str">
        <f t="array" aca="1" ref="G54" ca="1">IF(AND(ISBLANK(INDIRECT(ADDRESS(B54,3,1,1,"all_city_parameter_inputs"))),ISBLANK(INDIRECT(ADDRESS(B54,2,1,1,"all_city_parameter_inputs")))),"",IF(ISBLANK(INDIRECT(ADDRESS(B54,2,1,1,"all_city_parameter_inputs"))),"",INDIRECT(ADDRESS(B54,2,1,1,"all_city_parameter_inputs"))))</f>
        <v/>
      </c>
      <c r="H54" s="33" t="str">
        <f t="array" aca="1" ref="H54" ca="1">IF(ISBLANK(INDIRECT(ADDRESS(B54,A54,1,1,"all_city_parameter_inputs"))), "--",INDIRECT(ADDRESS(B54,A54,1,1,"all_city_parameter_inputs")))</f>
        <v>--</v>
      </c>
      <c r="I54" s="33" t="e">
        <f ca="1">IF(OR(G54="alpha",G54="beta",G54="sd",G54="mean"),"--",VLOOKUP(C54,Default!$B$5:$H$114,7,FALSE()))</f>
        <v>#N/A</v>
      </c>
      <c r="J54" s="32" t="e">
        <f ca="1">VLOOKUP(F54,Lookup!$C$5:$D$110,2, FALSE())</f>
        <v>#N/A</v>
      </c>
      <c r="K54" s="32" t="e">
        <f ca="1">VLOOKUP(C54,Default!$B$4:$E$114,4, FALSE())</f>
        <v>#N/A</v>
      </c>
      <c r="L54" s="29" t="s">
        <v>130</v>
      </c>
      <c r="M54" s="30"/>
      <c r="N54" s="30"/>
    </row>
    <row r="55" spans="1:14" x14ac:dyDescent="0.25">
      <c r="A55" s="26">
        <v>3</v>
      </c>
      <c r="B55" s="26">
        <v>53</v>
      </c>
      <c r="C55" s="26" t="str">
        <f t="shared" ca="1" si="2"/>
        <v/>
      </c>
      <c r="D55" s="26" t="str">
        <f t="shared" ca="1" si="3"/>
        <v>_bogota</v>
      </c>
      <c r="E55" s="32" t="str">
        <f t="array" aca="1" ref="E55" ca="1">INDIRECT(ADDRESS(1,A55,1,1,"all_city_parameter_inputs"))</f>
        <v>bogota</v>
      </c>
      <c r="F55" s="32" t="str">
        <f t="array" aca="1" ref="F55" ca="1">IF(AND(ISBLANK(INDIRECT(ADDRESS(B55,2,1,1,"all_city_parameter_inputs"))), ISBLANK(INDIRECT(ADDRESS(B55,1,1,1,"all_city_parameter_inputs")))), "", IF(ISBLANK(INDIRECT(ADDRESS(B55,1,1,1,"all_city_parameter_inputs"))), All_city_list!F54,INDIRECT(ADDRESS(B55,1,1,1,"all_city_parameter_inputs"))))</f>
        <v/>
      </c>
      <c r="G55" s="32" t="str">
        <f t="array" aca="1" ref="G55" ca="1">IF(AND(ISBLANK(INDIRECT(ADDRESS(B55,3,1,1,"all_city_parameter_inputs"))),ISBLANK(INDIRECT(ADDRESS(B55,2,1,1,"all_city_parameter_inputs")))),"",IF(ISBLANK(INDIRECT(ADDRESS(B55,2,1,1,"all_city_parameter_inputs"))),"",INDIRECT(ADDRESS(B55,2,1,1,"all_city_parameter_inputs"))))</f>
        <v/>
      </c>
      <c r="H55" s="33" t="str">
        <f t="array" aca="1" ref="H55" ca="1">IF(ISBLANK(INDIRECT(ADDRESS(B55,A55,1,1,"all_city_parameter_inputs"))), "--",INDIRECT(ADDRESS(B55,A55,1,1,"all_city_parameter_inputs")))</f>
        <v>--</v>
      </c>
      <c r="I55" s="33" t="e">
        <f ca="1">IF(OR(G55="alpha",G55="beta",G55="sd",G55="mean"),"--",VLOOKUP(C55,Default!$B$5:$H$114,7,FALSE()))</f>
        <v>#N/A</v>
      </c>
      <c r="J55" s="32" t="e">
        <f ca="1">VLOOKUP(F55,Lookup!$C$5:$D$110,2, FALSE())</f>
        <v>#N/A</v>
      </c>
      <c r="K55" s="32" t="e">
        <f ca="1">VLOOKUP(C55,Default!$B$4:$E$114,4, FALSE())</f>
        <v>#N/A</v>
      </c>
      <c r="L55" s="29" t="s">
        <v>131</v>
      </c>
      <c r="M55" s="30"/>
      <c r="N55" s="30"/>
    </row>
    <row r="56" spans="1:14" ht="105" x14ac:dyDescent="0.25">
      <c r="A56" s="26">
        <v>3</v>
      </c>
      <c r="B56" s="26">
        <v>54</v>
      </c>
      <c r="C56" s="26" t="str">
        <f t="shared" ca="1" si="2"/>
        <v/>
      </c>
      <c r="D56" s="26" t="str">
        <f t="shared" ca="1" si="3"/>
        <v>_bogota</v>
      </c>
      <c r="E56" s="32" t="str">
        <f t="array" aca="1" ref="E56" ca="1">INDIRECT(ADDRESS(1,A56,1,1,"all_city_parameter_inputs"))</f>
        <v>bogota</v>
      </c>
      <c r="F56" s="32" t="str">
        <f t="array" aca="1" ref="F56" ca="1">IF(AND(ISBLANK(INDIRECT(ADDRESS(B56,2,1,1,"all_city_parameter_inputs"))), ISBLANK(INDIRECT(ADDRESS(B56,1,1,1,"all_city_parameter_inputs")))), "", IF(ISBLANK(INDIRECT(ADDRESS(B56,1,1,1,"all_city_parameter_inputs"))), All_city_list!F55,INDIRECT(ADDRESS(B56,1,1,1,"all_city_parameter_inputs"))))</f>
        <v/>
      </c>
      <c r="G56" s="32" t="str">
        <f t="array" aca="1" ref="G56" ca="1">IF(AND(ISBLANK(INDIRECT(ADDRESS(B56,3,1,1,"all_city_parameter_inputs"))),ISBLANK(INDIRECT(ADDRESS(B56,2,1,1,"all_city_parameter_inputs")))),"",IF(ISBLANK(INDIRECT(ADDRESS(B56,2,1,1,"all_city_parameter_inputs"))),"",INDIRECT(ADDRESS(B56,2,1,1,"all_city_parameter_inputs"))))</f>
        <v/>
      </c>
      <c r="H56" s="33" t="str">
        <f t="array" aca="1" ref="H56" ca="1">IF(ISBLANK(INDIRECT(ADDRESS(B56,A56,1,1,"all_city_parameter_inputs"))), "--",INDIRECT(ADDRESS(B56,A56,1,1,"all_city_parameter_inputs")))</f>
        <v>--</v>
      </c>
      <c r="I56" s="33" t="e">
        <f ca="1">IF(OR(G56="alpha",G56="beta",G56="sd",G56="mean"),"--",VLOOKUP(C56,Default!$B$5:$H$114,7,FALSE()))</f>
        <v>#N/A</v>
      </c>
      <c r="J56" s="32" t="e">
        <f ca="1">VLOOKUP(F56,Lookup!$C$5:$D$110,2, FALSE())</f>
        <v>#N/A</v>
      </c>
      <c r="K56" s="32" t="e">
        <f ca="1">VLOOKUP(C56,Default!$B$4:$E$114,4, FALSE())</f>
        <v>#N/A</v>
      </c>
      <c r="L56" s="42" t="s">
        <v>132</v>
      </c>
      <c r="M56" s="30" t="s">
        <v>133</v>
      </c>
      <c r="N56" s="30"/>
    </row>
    <row r="57" spans="1:14" x14ac:dyDescent="0.25">
      <c r="A57" s="26">
        <v>3</v>
      </c>
      <c r="B57" s="26">
        <v>55</v>
      </c>
      <c r="C57" s="26" t="str">
        <f t="shared" ca="1" si="2"/>
        <v/>
      </c>
      <c r="D57" s="26" t="str">
        <f t="shared" ca="1" si="3"/>
        <v>_bogota</v>
      </c>
      <c r="E57" s="32" t="str">
        <f t="array" aca="1" ref="E57" ca="1">INDIRECT(ADDRESS(1,A57,1,1,"all_city_parameter_inputs"))</f>
        <v>bogota</v>
      </c>
      <c r="F57" s="32" t="str">
        <f t="array" aca="1" ref="F57" ca="1">IF(AND(ISBLANK(INDIRECT(ADDRESS(B57,2,1,1,"all_city_parameter_inputs"))), ISBLANK(INDIRECT(ADDRESS(B57,1,1,1,"all_city_parameter_inputs")))), "", IF(ISBLANK(INDIRECT(ADDRESS(B57,1,1,1,"all_city_parameter_inputs"))), All_city_list!F56,INDIRECT(ADDRESS(B57,1,1,1,"all_city_parameter_inputs"))))</f>
        <v/>
      </c>
      <c r="G57" s="32" t="str">
        <f t="array" aca="1" ref="G57" ca="1">IF(AND(ISBLANK(INDIRECT(ADDRESS(B57,3,1,1,"all_city_parameter_inputs"))),ISBLANK(INDIRECT(ADDRESS(B57,2,1,1,"all_city_parameter_inputs")))),"",IF(ISBLANK(INDIRECT(ADDRESS(B57,2,1,1,"all_city_parameter_inputs"))),"",INDIRECT(ADDRESS(B57,2,1,1,"all_city_parameter_inputs"))))</f>
        <v/>
      </c>
      <c r="H57" s="33" t="str">
        <f t="array" aca="1" ref="H57" ca="1">IF(ISBLANK(INDIRECT(ADDRESS(B57,A57,1,1,"all_city_parameter_inputs"))), "--",INDIRECT(ADDRESS(B57,A57,1,1,"all_city_parameter_inputs")))</f>
        <v>--</v>
      </c>
      <c r="I57" s="33" t="e">
        <f ca="1">IF(OR(G57="alpha",G57="beta",G57="sd",G57="mean"),"--",VLOOKUP(C57,Default!$B$5:$H$114,7,FALSE()))</f>
        <v>#N/A</v>
      </c>
      <c r="J57" s="32" t="e">
        <f ca="1">VLOOKUP(F57,Lookup!$C$5:$D$110,2, FALSE())</f>
        <v>#N/A</v>
      </c>
      <c r="K57" s="32" t="e">
        <f ca="1">VLOOKUP(C57,Default!$B$4:$E$114,4, FALSE())</f>
        <v>#N/A</v>
      </c>
      <c r="L57" s="30" t="str">
        <f ca="1">IF(ISNA(VLOOKUP($D57,Grouped_Sources!$C:$C,1,FALSE())),"", INDIRECT(VLOOKUP($D57,Grouped_Sources!$C:$I,5,FALSE())))</f>
        <v/>
      </c>
      <c r="M57" s="30" t="str">
        <f ca="1">IF(ISNA(VLOOKUP($D57,Grouped_Sources!$C:$C,1,FALSE())),"", INDIRECT(VLOOKUP($D57,Grouped_Sources!$C:$I,6,FALSE())))</f>
        <v/>
      </c>
      <c r="N57" s="30" t="str">
        <f ca="1">IF(ISNA(VLOOKUP($D57,Grouped_Sources!$C:$C,1,FALSE())),"", INDIRECT(VLOOKUP($D57,Grouped_Sources!$C:$I,7,FALSE())))</f>
        <v/>
      </c>
    </row>
    <row r="58" spans="1:14" x14ac:dyDescent="0.25">
      <c r="A58" s="26">
        <v>3</v>
      </c>
      <c r="B58" s="26">
        <v>56</v>
      </c>
      <c r="C58" s="26" t="str">
        <f t="shared" ca="1" si="2"/>
        <v/>
      </c>
      <c r="D58" s="26" t="str">
        <f t="shared" ca="1" si="3"/>
        <v>_bogota</v>
      </c>
      <c r="E58" s="32" t="str">
        <f t="array" aca="1" ref="E58" ca="1">INDIRECT(ADDRESS(1,A58,1,1,"all_city_parameter_inputs"))</f>
        <v>bogota</v>
      </c>
      <c r="F58" s="32" t="str">
        <f t="array" aca="1" ref="F58" ca="1">IF(AND(ISBLANK(INDIRECT(ADDRESS(B58,2,1,1,"all_city_parameter_inputs"))), ISBLANK(INDIRECT(ADDRESS(B58,1,1,1,"all_city_parameter_inputs")))), "", IF(ISBLANK(INDIRECT(ADDRESS(B58,1,1,1,"all_city_parameter_inputs"))), All_city_list!F57,INDIRECT(ADDRESS(B58,1,1,1,"all_city_parameter_inputs"))))</f>
        <v/>
      </c>
      <c r="G58" s="32" t="str">
        <f t="array" aca="1" ref="G58" ca="1">IF(AND(ISBLANK(INDIRECT(ADDRESS(B58,3,1,1,"all_city_parameter_inputs"))),ISBLANK(INDIRECT(ADDRESS(B58,2,1,1,"all_city_parameter_inputs")))),"",IF(ISBLANK(INDIRECT(ADDRESS(B58,2,1,1,"all_city_parameter_inputs"))),"",INDIRECT(ADDRESS(B58,2,1,1,"all_city_parameter_inputs"))))</f>
        <v/>
      </c>
      <c r="H58" s="33" t="str">
        <f t="array" aca="1" ref="H58" ca="1">IF(ISBLANK(INDIRECT(ADDRESS(B58,A58,1,1,"all_city_parameter_inputs"))), "--",INDIRECT(ADDRESS(B58,A58,1,1,"all_city_parameter_inputs")))</f>
        <v>--</v>
      </c>
      <c r="I58" s="33" t="e">
        <f ca="1">IF(OR(G58="alpha",G58="beta",G58="sd",G58="mean"),"--",VLOOKUP(C58,Default!$B$5:$H$114,7,FALSE()))</f>
        <v>#N/A</v>
      </c>
      <c r="J58" s="32" t="e">
        <f ca="1">VLOOKUP(F58,Lookup!$C$5:$D$110,2, FALSE())</f>
        <v>#N/A</v>
      </c>
      <c r="K58" s="32" t="e">
        <f ca="1">VLOOKUP(C58,Default!$B$4:$E$114,4, FALSE())</f>
        <v>#N/A</v>
      </c>
      <c r="L58" s="30" t="str">
        <f ca="1">IF(ISNA(VLOOKUP($D58,Grouped_Sources!$C:$C,1,FALSE())),"", INDIRECT(VLOOKUP($D58,Grouped_Sources!$C:$I,5,FALSE())))</f>
        <v/>
      </c>
      <c r="M58" s="30" t="str">
        <f ca="1">IF(ISNA(VLOOKUP($D58,Grouped_Sources!$C:$C,1,FALSE())),"", INDIRECT(VLOOKUP($D58,Grouped_Sources!$C:$I,6,FALSE())))</f>
        <v/>
      </c>
      <c r="N58" s="30" t="str">
        <f ca="1">IF(ISNA(VLOOKUP($D58,Grouped_Sources!$C:$C,1,FALSE())),"", INDIRECT(VLOOKUP($D58,Grouped_Sources!$C:$I,7,FALSE())))</f>
        <v/>
      </c>
    </row>
    <row r="59" spans="1:14" ht="165" x14ac:dyDescent="0.25">
      <c r="A59" s="26">
        <v>3</v>
      </c>
      <c r="B59" s="26">
        <v>57</v>
      </c>
      <c r="C59" s="26" t="str">
        <f t="shared" ca="1" si="2"/>
        <v/>
      </c>
      <c r="D59" s="26" t="str">
        <f t="shared" ca="1" si="3"/>
        <v>_bogota</v>
      </c>
      <c r="E59" s="32" t="str">
        <f t="array" aca="1" ref="E59" ca="1">INDIRECT(ADDRESS(1,A59,1,1,"all_city_parameter_inputs"))</f>
        <v>bogota</v>
      </c>
      <c r="F59" s="32" t="str">
        <f t="array" aca="1" ref="F59" ca="1">IF(AND(ISBLANK(INDIRECT(ADDRESS(B59,2,1,1,"all_city_parameter_inputs"))), ISBLANK(INDIRECT(ADDRESS(B59,1,1,1,"all_city_parameter_inputs")))), "", IF(ISBLANK(INDIRECT(ADDRESS(B59,1,1,1,"all_city_parameter_inputs"))), All_city_list!F58,INDIRECT(ADDRESS(B59,1,1,1,"all_city_parameter_inputs"))))</f>
        <v/>
      </c>
      <c r="G59" s="32" t="str">
        <f t="array" aca="1" ref="G59" ca="1">IF(AND(ISBLANK(INDIRECT(ADDRESS(B59,3,1,1,"all_city_parameter_inputs"))),ISBLANK(INDIRECT(ADDRESS(B59,2,1,1,"all_city_parameter_inputs")))),"",IF(ISBLANK(INDIRECT(ADDRESS(B59,2,1,1,"all_city_parameter_inputs"))),"",INDIRECT(ADDRESS(B59,2,1,1,"all_city_parameter_inputs"))))</f>
        <v/>
      </c>
      <c r="H59" s="33" t="str">
        <f t="array" aca="1" ref="H59" ca="1">IF(ISBLANK(INDIRECT(ADDRESS(B59,A59,1,1,"all_city_parameter_inputs"))), "--",INDIRECT(ADDRESS(B59,A59,1,1,"all_city_parameter_inputs")))</f>
        <v>--</v>
      </c>
      <c r="I59" s="33" t="e">
        <f ca="1">IF(OR(G59="alpha",G59="beta",G59="sd",G59="mean"),"--",VLOOKUP(C59,Default!$B$5:$H$114,7,FALSE()))</f>
        <v>#N/A</v>
      </c>
      <c r="J59" s="32" t="e">
        <f ca="1">VLOOKUP(F59,Lookup!$C$5:$D$110,2, FALSE())</f>
        <v>#N/A</v>
      </c>
      <c r="K59" s="32" t="e">
        <f ca="1">VLOOKUP(C59,Default!$B$4:$E$114,4, FALSE())</f>
        <v>#N/A</v>
      </c>
      <c r="L59" s="42" t="s">
        <v>134</v>
      </c>
      <c r="M59" s="30" t="s">
        <v>135</v>
      </c>
      <c r="N59" s="30"/>
    </row>
    <row r="60" spans="1:14" x14ac:dyDescent="0.25">
      <c r="A60" s="26">
        <v>3</v>
      </c>
      <c r="B60" s="26">
        <v>58</v>
      </c>
      <c r="C60" s="26" t="str">
        <f t="shared" ca="1" si="2"/>
        <v/>
      </c>
      <c r="D60" s="26" t="str">
        <f t="shared" ca="1" si="3"/>
        <v>_bogota</v>
      </c>
      <c r="E60" s="32" t="str">
        <f t="array" aca="1" ref="E60" ca="1">INDIRECT(ADDRESS(1,A60,1,1,"all_city_parameter_inputs"))</f>
        <v>bogota</v>
      </c>
      <c r="F60" s="32" t="str">
        <f t="array" aca="1" ref="F60" ca="1">IF(AND(ISBLANK(INDIRECT(ADDRESS(B60,2,1,1,"all_city_parameter_inputs"))), ISBLANK(INDIRECT(ADDRESS(B60,1,1,1,"all_city_parameter_inputs")))), "", IF(ISBLANK(INDIRECT(ADDRESS(B60,1,1,1,"all_city_parameter_inputs"))), All_city_list!F59,INDIRECT(ADDRESS(B60,1,1,1,"all_city_parameter_inputs"))))</f>
        <v/>
      </c>
      <c r="G60" s="32" t="str">
        <f t="array" aca="1" ref="G60" ca="1">IF(AND(ISBLANK(INDIRECT(ADDRESS(B60,3,1,1,"all_city_parameter_inputs"))),ISBLANK(INDIRECT(ADDRESS(B60,2,1,1,"all_city_parameter_inputs")))),"",IF(ISBLANK(INDIRECT(ADDRESS(B60,2,1,1,"all_city_parameter_inputs"))),"",INDIRECT(ADDRESS(B60,2,1,1,"all_city_parameter_inputs"))))</f>
        <v/>
      </c>
      <c r="H60" s="33" t="str">
        <f t="array" aca="1" ref="H60" ca="1">IF(ISBLANK(INDIRECT(ADDRESS(B60,A60,1,1,"all_city_parameter_inputs"))), "--",INDIRECT(ADDRESS(B60,A60,1,1,"all_city_parameter_inputs")))</f>
        <v>--</v>
      </c>
      <c r="I60" s="33" t="e">
        <f ca="1">IF(OR(G60="alpha",G60="beta",G60="sd",G60="mean"),"--",VLOOKUP(C60,Default!$B$5:$H$114,7,FALSE()))</f>
        <v>#N/A</v>
      </c>
      <c r="J60" s="32" t="e">
        <f ca="1">VLOOKUP(F60,Lookup!$C$5:$D$110,2, FALSE())</f>
        <v>#N/A</v>
      </c>
      <c r="K60" s="32" t="e">
        <f ca="1">VLOOKUP(C60,Default!$B$4:$E$114,4, FALSE())</f>
        <v>#N/A</v>
      </c>
      <c r="L60" s="30" t="str">
        <f ca="1">IF(ISNA(VLOOKUP($D60,Grouped_Sources!$C:$C,1,FALSE())),"", INDIRECT(VLOOKUP($D60,Grouped_Sources!$C:$I,5,FALSE())))</f>
        <v/>
      </c>
      <c r="M60" s="30" t="str">
        <f ca="1">IF(ISNA(VLOOKUP($D60,Grouped_Sources!$C:$C,1,FALSE())),"", INDIRECT(VLOOKUP($D60,Grouped_Sources!$C:$I,6,FALSE())))</f>
        <v/>
      </c>
      <c r="N60" s="30" t="str">
        <f t="array" aca="1" ref="N60" ca="1">IF(ISNA(VLOOKUP($D60,Grouped_Sources!$C:$C,1,FALSE())),"", INDIRECT(VLOOKUP($D60,Grouped_Sources!$C:$I,7,FALSE())))</f>
        <v/>
      </c>
    </row>
    <row r="61" spans="1:14" x14ac:dyDescent="0.25">
      <c r="A61" s="26">
        <v>3</v>
      </c>
      <c r="B61" s="26">
        <v>59</v>
      </c>
      <c r="C61" s="26" t="str">
        <f t="shared" ca="1" si="2"/>
        <v/>
      </c>
      <c r="D61" s="26" t="str">
        <f t="shared" ca="1" si="3"/>
        <v>_bogota</v>
      </c>
      <c r="E61" s="32" t="str">
        <f t="array" aca="1" ref="E61" ca="1">INDIRECT(ADDRESS(1,A61,1,1,"all_city_parameter_inputs"))</f>
        <v>bogota</v>
      </c>
      <c r="F61" s="32" t="str">
        <f t="array" aca="1" ref="F61" ca="1">IF(AND(ISBLANK(INDIRECT(ADDRESS(B61,2,1,1,"all_city_parameter_inputs"))), ISBLANK(INDIRECT(ADDRESS(B61,1,1,1,"all_city_parameter_inputs")))), "", IF(ISBLANK(INDIRECT(ADDRESS(B61,1,1,1,"all_city_parameter_inputs"))), All_city_list!F60,INDIRECT(ADDRESS(B61,1,1,1,"all_city_parameter_inputs"))))</f>
        <v/>
      </c>
      <c r="G61" s="32" t="str">
        <f t="array" aca="1" ref="G61" ca="1">IF(AND(ISBLANK(INDIRECT(ADDRESS(B61,3,1,1,"all_city_parameter_inputs"))),ISBLANK(INDIRECT(ADDRESS(B61,2,1,1,"all_city_parameter_inputs")))),"",IF(ISBLANK(INDIRECT(ADDRESS(B61,2,1,1,"all_city_parameter_inputs"))),"",INDIRECT(ADDRESS(B61,2,1,1,"all_city_parameter_inputs"))))</f>
        <v/>
      </c>
      <c r="H61" s="33" t="str">
        <f t="array" aca="1" ref="H61" ca="1">IF(ISBLANK(INDIRECT(ADDRESS(B61,A61,1,1,"all_city_parameter_inputs"))), "--",INDIRECT(ADDRESS(B61,A61,1,1,"all_city_parameter_inputs")))</f>
        <v>--</v>
      </c>
      <c r="I61" s="33" t="e">
        <f ca="1">IF(OR(G61="alpha",G61="beta",G61="sd",G61="mean"),"--",VLOOKUP(C61,Default!$B$5:$H$114,7,FALSE()))</f>
        <v>#N/A</v>
      </c>
      <c r="J61" s="32" t="e">
        <f ca="1">VLOOKUP(F61,Lookup!$C$5:$D$110,2, FALSE())</f>
        <v>#N/A</v>
      </c>
      <c r="K61" s="32" t="e">
        <f ca="1">VLOOKUP(C61,Default!$B$4:$E$114,4, FALSE())</f>
        <v>#N/A</v>
      </c>
      <c r="L61" s="30" t="str">
        <f ca="1">IF(ISNA(VLOOKUP(D61,Grouped_Sources!$C:$C,1,FALSE())),"", INDIRECT(VLOOKUP(D61,Grouped_Sources!$C:$G,5,FALSE())))</f>
        <v/>
      </c>
      <c r="M61" s="30"/>
      <c r="N61" s="30"/>
    </row>
    <row r="62" spans="1:14" x14ac:dyDescent="0.25">
      <c r="A62" s="26">
        <v>3</v>
      </c>
      <c r="B62" s="26">
        <v>60</v>
      </c>
      <c r="C62" s="26" t="str">
        <f t="shared" ca="1" si="2"/>
        <v/>
      </c>
      <c r="D62" s="26" t="str">
        <f t="shared" ca="1" si="3"/>
        <v>_bogota</v>
      </c>
      <c r="E62" s="32" t="str">
        <f t="array" aca="1" ref="E62" ca="1">INDIRECT(ADDRESS(1,A62,1,1,"all_city_parameter_inputs"))</f>
        <v>bogota</v>
      </c>
      <c r="F62" s="32" t="str">
        <f t="array" aca="1" ref="F62" ca="1">IF(AND(ISBLANK(INDIRECT(ADDRESS(B62,2,1,1,"all_city_parameter_inputs"))), ISBLANK(INDIRECT(ADDRESS(B62,1,1,1,"all_city_parameter_inputs")))), "", IF(ISBLANK(INDIRECT(ADDRESS(B62,1,1,1,"all_city_parameter_inputs"))), All_city_list!F61,INDIRECT(ADDRESS(B62,1,1,1,"all_city_parameter_inputs"))))</f>
        <v/>
      </c>
      <c r="G62" s="32" t="str">
        <f t="array" aca="1" ref="G62" ca="1">IF(AND(ISBLANK(INDIRECT(ADDRESS(B62,3,1,1,"all_city_parameter_inputs"))),ISBLANK(INDIRECT(ADDRESS(B62,2,1,1,"all_city_parameter_inputs")))),"",IF(ISBLANK(INDIRECT(ADDRESS(B62,2,1,1,"all_city_parameter_inputs"))),"",INDIRECT(ADDRESS(B62,2,1,1,"all_city_parameter_inputs"))))</f>
        <v/>
      </c>
      <c r="H62" s="33" t="str">
        <f t="array" aca="1" ref="H62" ca="1">IF(ISBLANK(INDIRECT(ADDRESS(B62,A62,1,1,"all_city_parameter_inputs"))), "--",INDIRECT(ADDRESS(B62,A62,1,1,"all_city_parameter_inputs")))</f>
        <v>--</v>
      </c>
      <c r="I62" s="33" t="e">
        <f ca="1">IF(OR(G62="alpha",G62="beta",G62="sd",G62="mean"),"--",VLOOKUP(C62,Default!$B$5:$H$114,7,FALSE()))</f>
        <v>#N/A</v>
      </c>
      <c r="J62" s="32" t="e">
        <f ca="1">VLOOKUP(F62,Lookup!$C$5:$D$110,2, FALSE())</f>
        <v>#N/A</v>
      </c>
      <c r="K62" s="32" t="e">
        <f ca="1">VLOOKUP(C62,Default!$B$4:$E$114,4, FALSE())</f>
        <v>#N/A</v>
      </c>
      <c r="L62" s="29" t="s">
        <v>130</v>
      </c>
      <c r="M62" s="30"/>
      <c r="N62" s="30"/>
    </row>
    <row r="63" spans="1:14" x14ac:dyDescent="0.25">
      <c r="A63" s="26">
        <v>3</v>
      </c>
      <c r="B63" s="26">
        <v>61</v>
      </c>
      <c r="C63" s="26" t="str">
        <f t="shared" ca="1" si="2"/>
        <v/>
      </c>
      <c r="D63" s="26" t="str">
        <f t="shared" ca="1" si="3"/>
        <v>_bogota</v>
      </c>
      <c r="E63" s="32" t="str">
        <f t="array" aca="1" ref="E63" ca="1">INDIRECT(ADDRESS(1,A63,1,1,"all_city_parameter_inputs"))</f>
        <v>bogota</v>
      </c>
      <c r="F63" s="32" t="str">
        <f t="array" aca="1" ref="F63" ca="1">IF(AND(ISBLANK(INDIRECT(ADDRESS(B63,2,1,1,"all_city_parameter_inputs"))), ISBLANK(INDIRECT(ADDRESS(B63,1,1,1,"all_city_parameter_inputs")))), "", IF(ISBLANK(INDIRECT(ADDRESS(B63,1,1,1,"all_city_parameter_inputs"))), All_city_list!F62,INDIRECT(ADDRESS(B63,1,1,1,"all_city_parameter_inputs"))))</f>
        <v/>
      </c>
      <c r="G63" s="32" t="str">
        <f t="array" aca="1" ref="G63" ca="1">IF(AND(ISBLANK(INDIRECT(ADDRESS(B63,3,1,1,"all_city_parameter_inputs"))),ISBLANK(INDIRECT(ADDRESS(B63,2,1,1,"all_city_parameter_inputs")))),"",IF(ISBLANK(INDIRECT(ADDRESS(B63,2,1,1,"all_city_parameter_inputs"))),"",INDIRECT(ADDRESS(B63,2,1,1,"all_city_parameter_inputs"))))</f>
        <v/>
      </c>
      <c r="H63" s="33" t="str">
        <f t="array" aca="1" ref="H63" ca="1">IF(ISBLANK(INDIRECT(ADDRESS(B63,A63,1,1,"all_city_parameter_inputs"))), "--",INDIRECT(ADDRESS(B63,A63,1,1,"all_city_parameter_inputs")))</f>
        <v>--</v>
      </c>
      <c r="I63" s="33" t="e">
        <f ca="1">IF(OR(G63="alpha",G63="beta",G63="sd",G63="mean"),"--",VLOOKUP(C63,Default!$B$5:$H$114,7,FALSE()))</f>
        <v>#N/A</v>
      </c>
      <c r="J63" s="32" t="e">
        <f ca="1">VLOOKUP(F63,Lookup!$C$5:$D$110,2, FALSE())</f>
        <v>#N/A</v>
      </c>
      <c r="K63" s="32" t="e">
        <f ca="1">VLOOKUP(C63,Default!$B$4:$E$114,4, FALSE())</f>
        <v>#N/A</v>
      </c>
      <c r="L63" s="29" t="s">
        <v>136</v>
      </c>
      <c r="M63" s="30"/>
      <c r="N63" s="30"/>
    </row>
    <row r="64" spans="1:14" x14ac:dyDescent="0.25">
      <c r="A64" s="26">
        <v>3</v>
      </c>
      <c r="B64" s="26">
        <v>62</v>
      </c>
      <c r="C64" s="26" t="str">
        <f t="shared" ca="1" si="2"/>
        <v/>
      </c>
      <c r="D64" s="26" t="str">
        <f t="shared" ca="1" si="3"/>
        <v>_bogota</v>
      </c>
      <c r="E64" s="32" t="str">
        <f t="array" aca="1" ref="E64" ca="1">INDIRECT(ADDRESS(1,A64,1,1,"all_city_parameter_inputs"))</f>
        <v>bogota</v>
      </c>
      <c r="F64" s="32" t="str">
        <f t="array" aca="1" ref="F64" ca="1">IF(AND(ISBLANK(INDIRECT(ADDRESS(B64,2,1,1,"all_city_parameter_inputs"))), ISBLANK(INDIRECT(ADDRESS(B64,1,1,1,"all_city_parameter_inputs")))), "", IF(ISBLANK(INDIRECT(ADDRESS(B64,1,1,1,"all_city_parameter_inputs"))), All_city_list!F63,INDIRECT(ADDRESS(B64,1,1,1,"all_city_parameter_inputs"))))</f>
        <v/>
      </c>
      <c r="G64" s="32" t="str">
        <f t="array" aca="1" ref="G64" ca="1">IF(AND(ISBLANK(INDIRECT(ADDRESS(B64,3,1,1,"all_city_parameter_inputs"))),ISBLANK(INDIRECT(ADDRESS(B64,2,1,1,"all_city_parameter_inputs")))),"",IF(ISBLANK(INDIRECT(ADDRESS(B64,2,1,1,"all_city_parameter_inputs"))),"",INDIRECT(ADDRESS(B64,2,1,1,"all_city_parameter_inputs"))))</f>
        <v/>
      </c>
      <c r="H64" s="33" t="str">
        <f t="array" aca="1" ref="H64" ca="1">IF(ISBLANK(INDIRECT(ADDRESS(B64,A64,1,1,"all_city_parameter_inputs"))), "--",INDIRECT(ADDRESS(B64,A64,1,1,"all_city_parameter_inputs")))</f>
        <v>--</v>
      </c>
      <c r="I64" s="33" t="e">
        <f ca="1">IF(OR(G64="alpha",G64="beta",G64="sd",G64="mean"),"--",VLOOKUP(C64,Default!$B$5:$H$114,7,FALSE()))</f>
        <v>#N/A</v>
      </c>
      <c r="J64" s="32" t="e">
        <f ca="1">VLOOKUP(F64,Lookup!$C$5:$D$110,2, FALSE())</f>
        <v>#N/A</v>
      </c>
      <c r="K64" s="32" t="e">
        <f ca="1">VLOOKUP(C64,Default!$B$4:$E$114,4, FALSE())</f>
        <v>#N/A</v>
      </c>
      <c r="L64" s="30" t="str">
        <f t="array" aca="1" ref="L64" ca="1">IF(ISNA(VLOOKUP($D64,Grouped_Sources!$C:$C,1,FALSE())),"", INDIRECT(VLOOKUP($D64,Grouped_Sources!$C:$I,5,FALSE())))</f>
        <v/>
      </c>
      <c r="M64" s="30" t="str">
        <f ca="1">IF(ISNA(VLOOKUP($D64,Grouped_Sources!$C:$C,1,FALSE())),"", INDIRECT(VLOOKUP($D64,Grouped_Sources!$C:$I,6,FALSE())))</f>
        <v/>
      </c>
      <c r="N64" s="30" t="str">
        <f ca="1">IF(ISNA(VLOOKUP($D64,Grouped_Sources!$C:$C,1,FALSE())),"", INDIRECT(VLOOKUP($D64,Grouped_Sources!$C:$I,7,FALSE())))</f>
        <v/>
      </c>
    </row>
    <row r="65" spans="1:14" x14ac:dyDescent="0.25">
      <c r="A65" s="26">
        <v>3</v>
      </c>
      <c r="B65" s="26">
        <v>63</v>
      </c>
      <c r="C65" s="26" t="str">
        <f t="shared" ca="1" si="2"/>
        <v/>
      </c>
      <c r="D65" s="26" t="str">
        <f t="shared" ca="1" si="3"/>
        <v>_bogota</v>
      </c>
      <c r="E65" s="32" t="str">
        <f t="array" aca="1" ref="E65" ca="1">INDIRECT(ADDRESS(1,A65,1,1,"all_city_parameter_inputs"))</f>
        <v>bogota</v>
      </c>
      <c r="F65" s="32" t="str">
        <f t="array" aca="1" ref="F65" ca="1">IF(AND(ISBLANK(INDIRECT(ADDRESS(B65,2,1,1,"all_city_parameter_inputs"))), ISBLANK(INDIRECT(ADDRESS(B65,1,1,1,"all_city_parameter_inputs")))), "", IF(ISBLANK(INDIRECT(ADDRESS(B65,1,1,1,"all_city_parameter_inputs"))), All_city_list!F64,INDIRECT(ADDRESS(B65,1,1,1,"all_city_parameter_inputs"))))</f>
        <v/>
      </c>
      <c r="G65" s="32" t="str">
        <f t="array" aca="1" ref="G65" ca="1">IF(AND(ISBLANK(INDIRECT(ADDRESS(B65,3,1,1,"all_city_parameter_inputs"))),ISBLANK(INDIRECT(ADDRESS(B65,2,1,1,"all_city_parameter_inputs")))),"",IF(ISBLANK(INDIRECT(ADDRESS(B65,2,1,1,"all_city_parameter_inputs"))),"",INDIRECT(ADDRESS(B65,2,1,1,"all_city_parameter_inputs"))))</f>
        <v/>
      </c>
      <c r="H65" s="33" t="str">
        <f t="array" aca="1" ref="H65" ca="1">IF(ISBLANK(INDIRECT(ADDRESS(B65,A65,1,1,"all_city_parameter_inputs"))), "--",INDIRECT(ADDRESS(B65,A65,1,1,"all_city_parameter_inputs")))</f>
        <v>--</v>
      </c>
      <c r="I65" s="33" t="e">
        <f ca="1">IF(OR(G65="alpha",G65="beta",G65="sd",G65="mean"),"--",VLOOKUP(C65,Default!$B$5:$H$114,7,FALSE()))</f>
        <v>#N/A</v>
      </c>
      <c r="J65" s="32" t="e">
        <f ca="1">VLOOKUP(F65,Lookup!$C$5:$D$110,2, FALSE())</f>
        <v>#N/A</v>
      </c>
      <c r="K65" s="32" t="e">
        <f ca="1">VLOOKUP(C65,Default!$B$4:$E$114,4, FALSE())</f>
        <v>#N/A</v>
      </c>
      <c r="L65" s="30" t="str">
        <f t="array" aca="1" ref="L65" ca="1">IF(ISNA(VLOOKUP($D65,Grouped_Sources!$C:$C,1,FALSE())),"", INDIRECT(VLOOKUP($D65,Grouped_Sources!$C:$I,5,FALSE())))</f>
        <v/>
      </c>
      <c r="M65" s="30" t="str">
        <f ca="1">IF(ISNA(VLOOKUP($D65,Grouped_Sources!$C:$C,1,FALSE())),"", INDIRECT(VLOOKUP($D65,Grouped_Sources!$C:$I,6,FALSE())))</f>
        <v/>
      </c>
      <c r="N65" s="30" t="str">
        <f ca="1">IF(ISNA(VLOOKUP($D65,Grouped_Sources!$C:$C,1,FALSE())),"", INDIRECT(VLOOKUP($D65,Grouped_Sources!$C:$I,7,FALSE())))</f>
        <v/>
      </c>
    </row>
    <row r="66" spans="1:14" x14ac:dyDescent="0.25">
      <c r="A66" s="26">
        <v>3</v>
      </c>
      <c r="B66" s="26">
        <v>64</v>
      </c>
      <c r="C66" s="26" t="str">
        <f t="shared" ca="1" si="2"/>
        <v/>
      </c>
      <c r="D66" s="26" t="str">
        <f t="shared" ca="1" si="3"/>
        <v>_bogota</v>
      </c>
      <c r="E66" s="32" t="str">
        <f t="array" aca="1" ref="E66" ca="1">INDIRECT(ADDRESS(1,A66,1,1,"all_city_parameter_inputs"))</f>
        <v>bogota</v>
      </c>
      <c r="F66" s="32" t="str">
        <f t="array" aca="1" ref="F66" ca="1">IF(AND(ISBLANK(INDIRECT(ADDRESS(B66,2,1,1,"all_city_parameter_inputs"))), ISBLANK(INDIRECT(ADDRESS(B66,1,1,1,"all_city_parameter_inputs")))), "", IF(ISBLANK(INDIRECT(ADDRESS(B66,1,1,1,"all_city_parameter_inputs"))), All_city_list!F65,INDIRECT(ADDRESS(B66,1,1,1,"all_city_parameter_inputs"))))</f>
        <v/>
      </c>
      <c r="G66" s="32" t="str">
        <f t="array" aca="1" ref="G66" ca="1">IF(AND(ISBLANK(INDIRECT(ADDRESS(B66,3,1,1,"all_city_parameter_inputs"))),ISBLANK(INDIRECT(ADDRESS(B66,2,1,1,"all_city_parameter_inputs")))),"",IF(ISBLANK(INDIRECT(ADDRESS(B66,2,1,1,"all_city_parameter_inputs"))),"",INDIRECT(ADDRESS(B66,2,1,1,"all_city_parameter_inputs"))))</f>
        <v/>
      </c>
      <c r="H66" s="33" t="str">
        <f t="array" aca="1" ref="H66" ca="1">IF(ISBLANK(INDIRECT(ADDRESS(B66,A66,1,1,"all_city_parameter_inputs"))), "--",INDIRECT(ADDRESS(B66,A66,1,1,"all_city_parameter_inputs")))</f>
        <v>--</v>
      </c>
      <c r="I66" s="33" t="e">
        <f ca="1">IF(OR(G66="alpha",G66="beta",G66="sd",G66="mean"),"--",VLOOKUP(C66,Default!$B$5:$H$114,7,FALSE()))</f>
        <v>#N/A</v>
      </c>
      <c r="J66" s="32" t="e">
        <f ca="1">VLOOKUP(F66,Lookup!$C$5:$D$110,2, FALSE())</f>
        <v>#N/A</v>
      </c>
      <c r="K66" s="32" t="e">
        <f ca="1">VLOOKUP(C66,Default!$B$4:$E$114,4, FALSE())</f>
        <v>#N/A</v>
      </c>
      <c r="L66" s="29" t="s">
        <v>136</v>
      </c>
      <c r="M66" s="30"/>
      <c r="N66" s="30"/>
    </row>
    <row r="67" spans="1:14" x14ac:dyDescent="0.25">
      <c r="A67" s="26">
        <v>3</v>
      </c>
      <c r="B67" s="26">
        <v>65</v>
      </c>
      <c r="C67" s="26" t="str">
        <f t="shared" ca="1" si="2"/>
        <v/>
      </c>
      <c r="D67" s="26" t="str">
        <f t="shared" ca="1" si="3"/>
        <v>_bogota</v>
      </c>
      <c r="E67" s="32" t="str">
        <f t="array" aca="1" ref="E67" ca="1">INDIRECT(ADDRESS(1,A67,1,1,"all_city_parameter_inputs"))</f>
        <v>bogota</v>
      </c>
      <c r="F67" s="32" t="str">
        <f t="array" aca="1" ref="F67" ca="1">IF(AND(ISBLANK(INDIRECT(ADDRESS(B67,2,1,1,"all_city_parameter_inputs"))), ISBLANK(INDIRECT(ADDRESS(B67,1,1,1,"all_city_parameter_inputs")))), "", IF(ISBLANK(INDIRECT(ADDRESS(B67,1,1,1,"all_city_parameter_inputs"))), All_city_list!F66,INDIRECT(ADDRESS(B67,1,1,1,"all_city_parameter_inputs"))))</f>
        <v/>
      </c>
      <c r="G67" s="32" t="str">
        <f t="array" aca="1" ref="G67" ca="1">IF(AND(ISBLANK(INDIRECT(ADDRESS(B67,3,1,1,"all_city_parameter_inputs"))),ISBLANK(INDIRECT(ADDRESS(B67,2,1,1,"all_city_parameter_inputs")))),"",IF(ISBLANK(INDIRECT(ADDRESS(B67,2,1,1,"all_city_parameter_inputs"))),"",INDIRECT(ADDRESS(B67,2,1,1,"all_city_parameter_inputs"))))</f>
        <v/>
      </c>
      <c r="H67" s="33" t="str">
        <f t="array" aca="1" ref="H67" ca="1">IF(ISBLANK(INDIRECT(ADDRESS(B67,A67,1,1,"all_city_parameter_inputs"))), "--",INDIRECT(ADDRESS(B67,A67,1,1,"all_city_parameter_inputs")))</f>
        <v>--</v>
      </c>
      <c r="I67" s="33" t="e">
        <f ca="1">IF(OR(G67="alpha",G67="beta",G67="sd",G67="mean"),"--",VLOOKUP(C67,Default!$B$5:$H$114,7,FALSE()))</f>
        <v>#N/A</v>
      </c>
      <c r="J67" s="32" t="e">
        <f ca="1">VLOOKUP(F67,Lookup!$C$5:$D$110,2, FALSE())</f>
        <v>#N/A</v>
      </c>
      <c r="K67" s="32" t="e">
        <f ca="1">VLOOKUP(C67,Default!$B$4:$E$114,4, FALSE())</f>
        <v>#N/A</v>
      </c>
      <c r="L67" s="30" t="str">
        <f t="array" aca="1" ref="L67" ca="1">IF(ISNA(VLOOKUP($D67,Grouped_Sources!$C:$C,1,FALSE())),"", INDIRECT(VLOOKUP($D67,Grouped_Sources!$C:$I,5,FALSE())))</f>
        <v/>
      </c>
      <c r="M67" s="30" t="str">
        <f ca="1">IF(ISNA(VLOOKUP($D67,Grouped_Sources!$C:$C,1,FALSE())),"", INDIRECT(VLOOKUP($D67,Grouped_Sources!$C:$I,6,FALSE())))</f>
        <v/>
      </c>
      <c r="N67" s="30" t="str">
        <f ca="1">IF(ISNA(VLOOKUP($D67,Grouped_Sources!$C:$C,1,FALSE())),"", INDIRECT(VLOOKUP($D67,Grouped_Sources!$C:$I,7,FALSE())))</f>
        <v/>
      </c>
    </row>
    <row r="68" spans="1:14" x14ac:dyDescent="0.25">
      <c r="A68" s="26">
        <v>3</v>
      </c>
      <c r="B68" s="26">
        <v>66</v>
      </c>
      <c r="C68" s="26" t="str">
        <f t="shared" ref="C68:C103" ca="1" si="4">IF(G68 = "",F68,IF(OR(G68="alpha",G68="beta",G68="constant",G68="sd",G68="mean",G68="sample"),F68,F68&amp;" "&amp;G68))</f>
        <v/>
      </c>
      <c r="D68" s="26" t="str">
        <f t="shared" ref="D68:D99" ca="1" si="5">F68&amp;"_"&amp;E68</f>
        <v>_bogota</v>
      </c>
      <c r="E68" s="32" t="str">
        <f t="array" aca="1" ref="E68" ca="1">INDIRECT(ADDRESS(1,A68,1,1,"all_city_parameter_inputs"))</f>
        <v>bogota</v>
      </c>
      <c r="F68" s="32" t="str">
        <f t="array" aca="1" ref="F68" ca="1">IF(AND(ISBLANK(INDIRECT(ADDRESS(B68,2,1,1,"all_city_parameter_inputs"))), ISBLANK(INDIRECT(ADDRESS(B68,1,1,1,"all_city_parameter_inputs")))), "", IF(ISBLANK(INDIRECT(ADDRESS(B68,1,1,1,"all_city_parameter_inputs"))), All_city_list!F67,INDIRECT(ADDRESS(B68,1,1,1,"all_city_parameter_inputs"))))</f>
        <v/>
      </c>
      <c r="G68" s="32" t="str">
        <f t="array" aca="1" ref="G68" ca="1">IF(AND(ISBLANK(INDIRECT(ADDRESS(B68,3,1,1,"all_city_parameter_inputs"))),ISBLANK(INDIRECT(ADDRESS(B68,2,1,1,"all_city_parameter_inputs")))),"",IF(ISBLANK(INDIRECT(ADDRESS(B68,2,1,1,"all_city_parameter_inputs"))),"",INDIRECT(ADDRESS(B68,2,1,1,"all_city_parameter_inputs"))))</f>
        <v/>
      </c>
      <c r="H68" s="33" t="str">
        <f t="array" aca="1" ref="H68" ca="1">IF(ISBLANK(INDIRECT(ADDRESS(B68,A68,1,1,"all_city_parameter_inputs"))), "--",INDIRECT(ADDRESS(B68,A68,1,1,"all_city_parameter_inputs")))</f>
        <v>--</v>
      </c>
      <c r="I68" s="33" t="e">
        <f ca="1">IF(OR(G68="alpha",G68="beta",G68="sd",G68="mean"),"--",VLOOKUP(C68,Default!$B$5:$H$114,7,FALSE()))</f>
        <v>#N/A</v>
      </c>
      <c r="J68" s="32" t="e">
        <f ca="1">VLOOKUP(F68,Lookup!$C$5:$D$110,2, FALSE())</f>
        <v>#N/A</v>
      </c>
      <c r="K68" s="32" t="e">
        <f ca="1">VLOOKUP(C68,Default!$B$4:$E$114,4, FALSE())</f>
        <v>#N/A</v>
      </c>
      <c r="L68" s="30" t="str">
        <f t="array" aca="1" ref="L68" ca="1">IF(ISNA(VLOOKUP($D68,Grouped_Sources!$C:$C,1,FALSE())),"", INDIRECT(VLOOKUP($D68,Grouped_Sources!$C:$I,5,FALSE())))</f>
        <v/>
      </c>
      <c r="M68" s="30" t="str">
        <f ca="1">IF(ISNA(VLOOKUP($D68,Grouped_Sources!$C:$C,1,FALSE())),"", INDIRECT(VLOOKUP($D68,Grouped_Sources!$C:$I,6,FALSE())))</f>
        <v/>
      </c>
      <c r="N68" s="30" t="str">
        <f ca="1">IF(ISNA(VLOOKUP($D68,Grouped_Sources!$C:$C,1,FALSE())),"", INDIRECT(VLOOKUP($D68,Grouped_Sources!$C:$I,7,FALSE())))</f>
        <v/>
      </c>
    </row>
    <row r="69" spans="1:14" x14ac:dyDescent="0.25">
      <c r="A69" s="26">
        <v>3</v>
      </c>
      <c r="B69" s="26">
        <v>67</v>
      </c>
      <c r="C69" s="26" t="str">
        <f t="shared" ca="1" si="4"/>
        <v/>
      </c>
      <c r="D69" s="26" t="str">
        <f t="shared" ca="1" si="5"/>
        <v>_bogota</v>
      </c>
      <c r="E69" s="32" t="str">
        <f t="array" aca="1" ref="E69" ca="1">INDIRECT(ADDRESS(1,A69,1,1,"all_city_parameter_inputs"))</f>
        <v>bogota</v>
      </c>
      <c r="F69" s="32" t="str">
        <f t="array" aca="1" ref="F69" ca="1">IF(AND(ISBLANK(INDIRECT(ADDRESS(B69,2,1,1,"all_city_parameter_inputs"))), ISBLANK(INDIRECT(ADDRESS(B69,1,1,1,"all_city_parameter_inputs")))), "", IF(ISBLANK(INDIRECT(ADDRESS(B69,1,1,1,"all_city_parameter_inputs"))), All_city_list!F68,INDIRECT(ADDRESS(B69,1,1,1,"all_city_parameter_inputs"))))</f>
        <v/>
      </c>
      <c r="G69" s="32" t="str">
        <f t="array" aca="1" ref="G69" ca="1">IF(AND(ISBLANK(INDIRECT(ADDRESS(B69,3,1,1,"all_city_parameter_inputs"))),ISBLANK(INDIRECT(ADDRESS(B69,2,1,1,"all_city_parameter_inputs")))),"",IF(ISBLANK(INDIRECT(ADDRESS(B69,2,1,1,"all_city_parameter_inputs"))),"",INDIRECT(ADDRESS(B69,2,1,1,"all_city_parameter_inputs"))))</f>
        <v/>
      </c>
      <c r="H69" s="33" t="str">
        <f t="array" aca="1" ref="H69" ca="1">IF(ISBLANK(INDIRECT(ADDRESS(B69,A69,1,1,"all_city_parameter_inputs"))), "--",INDIRECT(ADDRESS(B69,A69,1,1,"all_city_parameter_inputs")))</f>
        <v>--</v>
      </c>
      <c r="I69" s="33" t="e">
        <f ca="1">IF(OR(G69="alpha",G69="beta",G69="sd",G69="mean"),"--",VLOOKUP(C69,Default!$B$5:$H$114,7,FALSE()))</f>
        <v>#N/A</v>
      </c>
      <c r="J69" s="32" t="e">
        <f ca="1">VLOOKUP(F69,Lookup!$C$5:$D$110,2, FALSE())</f>
        <v>#N/A</v>
      </c>
      <c r="K69" s="35" t="e">
        <f ca="1">VLOOKUP(C69,Default!$B$4:$E$114,4, FALSE())</f>
        <v>#N/A</v>
      </c>
      <c r="L69" s="29" t="s">
        <v>136</v>
      </c>
      <c r="M69" s="30"/>
      <c r="N69" s="30"/>
    </row>
    <row r="70" spans="1:14" x14ac:dyDescent="0.25">
      <c r="A70" s="26">
        <v>3</v>
      </c>
      <c r="B70" s="26">
        <v>68</v>
      </c>
      <c r="C70" s="26" t="str">
        <f t="shared" ca="1" si="4"/>
        <v/>
      </c>
      <c r="D70" s="26" t="str">
        <f t="shared" ca="1" si="5"/>
        <v>_bogota</v>
      </c>
      <c r="E70" s="32" t="str">
        <f t="array" aca="1" ref="E70" ca="1">INDIRECT(ADDRESS(1,A70,1,1,"all_city_parameter_inputs"))</f>
        <v>bogota</v>
      </c>
      <c r="F70" s="32" t="str">
        <f t="array" aca="1" ref="F70" ca="1">IF(AND(ISBLANK(INDIRECT(ADDRESS(B70,2,1,1,"all_city_parameter_inputs"))), ISBLANK(INDIRECT(ADDRESS(B70,1,1,1,"all_city_parameter_inputs")))), "", IF(ISBLANK(INDIRECT(ADDRESS(B70,1,1,1,"all_city_parameter_inputs"))), All_city_list!F69,INDIRECT(ADDRESS(B70,1,1,1,"all_city_parameter_inputs"))))</f>
        <v/>
      </c>
      <c r="G70" s="32" t="str">
        <f t="array" aca="1" ref="G70" ca="1">IF(AND(ISBLANK(INDIRECT(ADDRESS(B70,3,1,1,"all_city_parameter_inputs"))),ISBLANK(INDIRECT(ADDRESS(B70,2,1,1,"all_city_parameter_inputs")))),"",IF(ISBLANK(INDIRECT(ADDRESS(B70,2,1,1,"all_city_parameter_inputs"))),"",INDIRECT(ADDRESS(B70,2,1,1,"all_city_parameter_inputs"))))</f>
        <v/>
      </c>
      <c r="H70" s="33" t="str">
        <f t="array" aca="1" ref="H70" ca="1">IF(ISBLANK(INDIRECT(ADDRESS(B70,A70,1,1,"all_city_parameter_inputs"))), "--",INDIRECT(ADDRESS(B70,A70,1,1,"all_city_parameter_inputs")))</f>
        <v>--</v>
      </c>
      <c r="I70" s="33" t="e">
        <f ca="1">IF(OR(G70="alpha",G70="beta",G70="sd",G70="mean"),"--",VLOOKUP(C70,Default!$B$5:$H$114,7,FALSE()))</f>
        <v>#N/A</v>
      </c>
      <c r="J70" s="32" t="e">
        <f ca="1">VLOOKUP(F70,Lookup!$C$5:$D$110,2, FALSE())</f>
        <v>#N/A</v>
      </c>
      <c r="K70" s="32" t="e">
        <f ca="1">VLOOKUP(C70,Default!$B$4:$E$114,4, FALSE())</f>
        <v>#N/A</v>
      </c>
      <c r="L70" s="30" t="str">
        <f t="array" aca="1" ref="L70" ca="1">IF(ISNA(VLOOKUP($D70,Grouped_Sources!$C:$C,1,FALSE())),"", INDIRECT(VLOOKUP($D70,Grouped_Sources!$C:$I,5,FALSE())))</f>
        <v/>
      </c>
      <c r="M70" s="30" t="str">
        <f ca="1">IF(ISNA(VLOOKUP($D70,Grouped_Sources!$C:$C,1,FALSE())),"", INDIRECT(VLOOKUP($D70,Grouped_Sources!$C:$I,6,FALSE())))</f>
        <v/>
      </c>
      <c r="N70" s="30" t="str">
        <f ca="1">IF(ISNA(VLOOKUP($D70,Grouped_Sources!$C:$C,1,FALSE())),"", INDIRECT(VLOOKUP($D70,Grouped_Sources!$C:$I,7,FALSE())))</f>
        <v/>
      </c>
    </row>
    <row r="71" spans="1:14" x14ac:dyDescent="0.25">
      <c r="A71" s="26">
        <v>3</v>
      </c>
      <c r="B71" s="26">
        <v>69</v>
      </c>
      <c r="C71" s="26" t="str">
        <f t="shared" ca="1" si="4"/>
        <v/>
      </c>
      <c r="D71" s="26" t="str">
        <f t="shared" ca="1" si="5"/>
        <v>_bogota</v>
      </c>
      <c r="E71" s="32" t="str">
        <f t="array" aca="1" ref="E71" ca="1">INDIRECT(ADDRESS(1,A71,1,1,"all_city_parameter_inputs"))</f>
        <v>bogota</v>
      </c>
      <c r="F71" s="32" t="str">
        <f t="array" aca="1" ref="F71" ca="1">IF(AND(ISBLANK(INDIRECT(ADDRESS(B71,2,1,1,"all_city_parameter_inputs"))), ISBLANK(INDIRECT(ADDRESS(B71,1,1,1,"all_city_parameter_inputs")))), "", IF(ISBLANK(INDIRECT(ADDRESS(B71,1,1,1,"all_city_parameter_inputs"))), All_city_list!F70,INDIRECT(ADDRESS(B71,1,1,1,"all_city_parameter_inputs"))))</f>
        <v/>
      </c>
      <c r="G71" s="32" t="str">
        <f t="array" aca="1" ref="G71" ca="1">IF(AND(ISBLANK(INDIRECT(ADDRESS(B71,3,1,1,"all_city_parameter_inputs"))),ISBLANK(INDIRECT(ADDRESS(B71,2,1,1,"all_city_parameter_inputs")))),"",IF(ISBLANK(INDIRECT(ADDRESS(B71,2,1,1,"all_city_parameter_inputs"))),"",INDIRECT(ADDRESS(B71,2,1,1,"all_city_parameter_inputs"))))</f>
        <v/>
      </c>
      <c r="H71" s="33" t="str">
        <f t="array" aca="1" ref="H71" ca="1">IF(ISBLANK(INDIRECT(ADDRESS(B71,A71,1,1,"all_city_parameter_inputs"))), "--",INDIRECT(ADDRESS(B71,A71,1,1,"all_city_parameter_inputs")))</f>
        <v>--</v>
      </c>
      <c r="I71" s="33" t="e">
        <f ca="1">IF(OR(G71="alpha",G71="beta",G71="sd",G71="mean"),"--",VLOOKUP(C71,Default!$B$5:$H$114,7,FALSE()))</f>
        <v>#N/A</v>
      </c>
      <c r="J71" s="32" t="e">
        <f ca="1">VLOOKUP(F71,Lookup!$C$5:$D$110,2, FALSE())</f>
        <v>#N/A</v>
      </c>
      <c r="K71" s="32" t="e">
        <f ca="1">VLOOKUP(C71,Default!$B$4:$E$114,4, FALSE())</f>
        <v>#N/A</v>
      </c>
      <c r="L71" s="30" t="str">
        <f t="array" aca="1" ref="L71" ca="1">IF(ISNA(VLOOKUP($D71,Grouped_Sources!$C:$C,1,FALSE())),"", INDIRECT(VLOOKUP($D71,Grouped_Sources!$C:$I,5,FALSE())))</f>
        <v/>
      </c>
      <c r="M71" s="30" t="str">
        <f ca="1">IF(ISNA(VLOOKUP($D71,Grouped_Sources!$C:$C,1,FALSE())),"", INDIRECT(VLOOKUP($D71,Grouped_Sources!$C:$I,6,FALSE())))</f>
        <v/>
      </c>
      <c r="N71" s="30" t="str">
        <f ca="1">IF(ISNA(VLOOKUP($D71,Grouped_Sources!$C:$C,1,FALSE())),"", INDIRECT(VLOOKUP($D71,Grouped_Sources!$C:$I,7,FALSE())))</f>
        <v/>
      </c>
    </row>
    <row r="72" spans="1:14" x14ac:dyDescent="0.25">
      <c r="A72" s="26">
        <v>3</v>
      </c>
      <c r="B72" s="26">
        <v>70</v>
      </c>
      <c r="C72" s="26" t="str">
        <f t="shared" ca="1" si="4"/>
        <v/>
      </c>
      <c r="D72" s="26" t="str">
        <f t="shared" ca="1" si="5"/>
        <v>_bogota</v>
      </c>
      <c r="E72" s="32" t="str">
        <f t="array" aca="1" ref="E72" ca="1">INDIRECT(ADDRESS(1,A72,1,1,"all_city_parameter_inputs"))</f>
        <v>bogota</v>
      </c>
      <c r="F72" s="32" t="str">
        <f t="array" aca="1" ref="F72" ca="1">IF(AND(ISBLANK(INDIRECT(ADDRESS(B72,2,1,1,"all_city_parameter_inputs"))), ISBLANK(INDIRECT(ADDRESS(B72,1,1,1,"all_city_parameter_inputs")))), "", IF(ISBLANK(INDIRECT(ADDRESS(B72,1,1,1,"all_city_parameter_inputs"))), All_city_list!F71,INDIRECT(ADDRESS(B72,1,1,1,"all_city_parameter_inputs"))))</f>
        <v/>
      </c>
      <c r="G72" s="32" t="str">
        <f t="array" aca="1" ref="G72" ca="1">IF(AND(ISBLANK(INDIRECT(ADDRESS(B72,3,1,1,"all_city_parameter_inputs"))),ISBLANK(INDIRECT(ADDRESS(B72,2,1,1,"all_city_parameter_inputs")))),"",IF(ISBLANK(INDIRECT(ADDRESS(B72,2,1,1,"all_city_parameter_inputs"))),"",INDIRECT(ADDRESS(B72,2,1,1,"all_city_parameter_inputs"))))</f>
        <v/>
      </c>
      <c r="H72" s="33" t="str">
        <f t="array" aca="1" ref="H72" ca="1">IF(ISBLANK(INDIRECT(ADDRESS(B72,A72,1,1,"all_city_parameter_inputs"))), "--",INDIRECT(ADDRESS(B72,A72,1,1,"all_city_parameter_inputs")))</f>
        <v>--</v>
      </c>
      <c r="I72" s="33" t="e">
        <f ca="1">IF(OR(G72="alpha",G72="beta",G72="sd",G72="mean"),"--",VLOOKUP(C72,Default!$B$5:$H$114,7,FALSE()))</f>
        <v>#N/A</v>
      </c>
      <c r="J72" s="32" t="e">
        <f ca="1">VLOOKUP(F72,Lookup!$C$5:$D$110,2, FALSE())</f>
        <v>#N/A</v>
      </c>
      <c r="K72" s="32" t="e">
        <f ca="1">VLOOKUP(C72,Default!$B$4:$E$114,4, FALSE())</f>
        <v>#N/A</v>
      </c>
      <c r="L72" s="29" t="s">
        <v>136</v>
      </c>
      <c r="M72" s="30"/>
      <c r="N72" s="30"/>
    </row>
    <row r="73" spans="1:14" x14ac:dyDescent="0.25">
      <c r="A73" s="26">
        <v>3</v>
      </c>
      <c r="B73" s="26">
        <v>71</v>
      </c>
      <c r="C73" s="26" t="str">
        <f t="shared" ca="1" si="4"/>
        <v/>
      </c>
      <c r="D73" s="26" t="str">
        <f t="shared" ca="1" si="5"/>
        <v>_bogota</v>
      </c>
      <c r="E73" s="32" t="str">
        <f t="array" aca="1" ref="E73" ca="1">INDIRECT(ADDRESS(1,A73,1,1,"all_city_parameter_inputs"))</f>
        <v>bogota</v>
      </c>
      <c r="F73" s="32" t="str">
        <f t="array" aca="1" ref="F73" ca="1">IF(AND(ISBLANK(INDIRECT(ADDRESS(B73,2,1,1,"all_city_parameter_inputs"))), ISBLANK(INDIRECT(ADDRESS(B73,1,1,1,"all_city_parameter_inputs")))), "", IF(ISBLANK(INDIRECT(ADDRESS(B73,1,1,1,"all_city_parameter_inputs"))), All_city_list!F72,INDIRECT(ADDRESS(B73,1,1,1,"all_city_parameter_inputs"))))</f>
        <v/>
      </c>
      <c r="G73" s="32" t="str">
        <f t="array" aca="1" ref="G73" ca="1">IF(AND(ISBLANK(INDIRECT(ADDRESS(B73,3,1,1,"all_city_parameter_inputs"))),ISBLANK(INDIRECT(ADDRESS(B73,2,1,1,"all_city_parameter_inputs")))),"",IF(ISBLANK(INDIRECT(ADDRESS(B73,2,1,1,"all_city_parameter_inputs"))),"",INDIRECT(ADDRESS(B73,2,1,1,"all_city_parameter_inputs"))))</f>
        <v/>
      </c>
      <c r="H73" s="33" t="str">
        <f t="array" aca="1" ref="H73" ca="1">IF(ISBLANK(INDIRECT(ADDRESS(B73,A73,1,1,"all_city_parameter_inputs"))), "--",INDIRECT(ADDRESS(B73,A73,1,1,"all_city_parameter_inputs")))</f>
        <v>--</v>
      </c>
      <c r="I73" s="33" t="e">
        <f ca="1">IF(OR(G73="alpha",G73="beta",G73="sd",G73="mean"),"--",VLOOKUP(C73,Default!$B$5:$H$114,7,FALSE()))</f>
        <v>#N/A</v>
      </c>
      <c r="J73" s="32" t="e">
        <f ca="1">VLOOKUP(F73,Lookup!$C$5:$D$110,2, FALSE())</f>
        <v>#N/A</v>
      </c>
      <c r="K73" s="32" t="e">
        <f ca="1">VLOOKUP(C73,Default!$B$4:$E$114,4, FALSE())</f>
        <v>#N/A</v>
      </c>
      <c r="L73" s="30" t="str">
        <f t="array" aca="1" ref="L73" ca="1">IF(ISNA(VLOOKUP($D73,Grouped_Sources!$C:$C,1,FALSE())),"", INDIRECT(VLOOKUP($D73,Grouped_Sources!$C:$I,5,FALSE())))</f>
        <v/>
      </c>
      <c r="M73" s="30" t="str">
        <f ca="1">IF(ISNA(VLOOKUP($D73,Grouped_Sources!$C:$C,1,FALSE())),"", INDIRECT(VLOOKUP($D73,Grouped_Sources!$C:$I,6,FALSE())))</f>
        <v/>
      </c>
      <c r="N73" s="30" t="str">
        <f ca="1">IF(ISNA(VLOOKUP($D73,Grouped_Sources!$C:$C,1,FALSE())),"", INDIRECT(VLOOKUP($D73,Grouped_Sources!$C:$I,7,FALSE())))</f>
        <v/>
      </c>
    </row>
    <row r="74" spans="1:14" x14ac:dyDescent="0.25">
      <c r="A74" s="26">
        <v>3</v>
      </c>
      <c r="B74" s="26">
        <v>72</v>
      </c>
      <c r="C74" s="26" t="str">
        <f t="shared" ca="1" si="4"/>
        <v/>
      </c>
      <c r="D74" s="26" t="str">
        <f t="shared" ca="1" si="5"/>
        <v>_bogota</v>
      </c>
      <c r="E74" s="32" t="str">
        <f t="array" aca="1" ref="E74" ca="1">INDIRECT(ADDRESS(1,A74,1,1,"all_city_parameter_inputs"))</f>
        <v>bogota</v>
      </c>
      <c r="F74" s="32" t="str">
        <f t="array" aca="1" ref="F74" ca="1">IF(AND(ISBLANK(INDIRECT(ADDRESS(B74,2,1,1,"all_city_parameter_inputs"))), ISBLANK(INDIRECT(ADDRESS(B74,1,1,1,"all_city_parameter_inputs")))), "", IF(ISBLANK(INDIRECT(ADDRESS(B74,1,1,1,"all_city_parameter_inputs"))), All_city_list!F73,INDIRECT(ADDRESS(B74,1,1,1,"all_city_parameter_inputs"))))</f>
        <v/>
      </c>
      <c r="G74" s="32" t="str">
        <f t="array" aca="1" ref="G74" ca="1">IF(AND(ISBLANK(INDIRECT(ADDRESS(B74,3,1,1,"all_city_parameter_inputs"))),ISBLANK(INDIRECT(ADDRESS(B74,2,1,1,"all_city_parameter_inputs")))),"",IF(ISBLANK(INDIRECT(ADDRESS(B74,2,1,1,"all_city_parameter_inputs"))),"",INDIRECT(ADDRESS(B74,2,1,1,"all_city_parameter_inputs"))))</f>
        <v/>
      </c>
      <c r="H74" s="33" t="str">
        <f t="array" aca="1" ref="H74" ca="1">IF(ISBLANK(INDIRECT(ADDRESS(B74,A74,1,1,"all_city_parameter_inputs"))), "--",INDIRECT(ADDRESS(B74,A74,1,1,"all_city_parameter_inputs")))</f>
        <v>--</v>
      </c>
      <c r="I74" s="33" t="e">
        <f ca="1">IF(OR(G74="alpha",G74="beta",G74="sd",G74="mean"),"--",VLOOKUP(C74,Default!$B$5:$H$114,7,FALSE()))</f>
        <v>#N/A</v>
      </c>
      <c r="J74" s="32" t="e">
        <f ca="1">VLOOKUP(F74,Lookup!$C$5:$D$110,2, FALSE())</f>
        <v>#N/A</v>
      </c>
      <c r="K74" s="32" t="e">
        <f ca="1">VLOOKUP(C74,Default!$B$4:$E$114,4, FALSE())</f>
        <v>#N/A</v>
      </c>
      <c r="L74" s="30" t="str">
        <f t="array" aca="1" ref="L74" ca="1">IF(ISNA(VLOOKUP($D74,Grouped_Sources!$C:$C,1,FALSE())),"", INDIRECT(VLOOKUP($D74,Grouped_Sources!$C:$I,5,FALSE())))</f>
        <v/>
      </c>
      <c r="M74" s="30" t="str">
        <f ca="1">IF(ISNA(VLOOKUP($D74,Grouped_Sources!$C:$C,1,FALSE())),"", INDIRECT(VLOOKUP($D74,Grouped_Sources!$C:$I,6,FALSE())))</f>
        <v/>
      </c>
      <c r="N74" s="30" t="str">
        <f ca="1">IF(ISNA(VLOOKUP($D74,Grouped_Sources!$C:$C,1,FALSE())),"", INDIRECT(VLOOKUP($D74,Grouped_Sources!$C:$I,7,FALSE())))</f>
        <v/>
      </c>
    </row>
    <row r="75" spans="1:14" x14ac:dyDescent="0.25">
      <c r="A75" s="26">
        <v>3</v>
      </c>
      <c r="B75" s="26">
        <v>73</v>
      </c>
      <c r="C75" s="26" t="str">
        <f t="shared" ca="1" si="4"/>
        <v/>
      </c>
      <c r="D75" s="26" t="str">
        <f t="shared" ca="1" si="5"/>
        <v>_bogota</v>
      </c>
      <c r="E75" s="32" t="str">
        <f t="array" aca="1" ref="E75" ca="1">INDIRECT(ADDRESS(1,A75,1,1,"all_city_parameter_inputs"))</f>
        <v>bogota</v>
      </c>
      <c r="F75" s="32" t="str">
        <f t="array" aca="1" ref="F75" ca="1">IF(AND(ISBLANK(INDIRECT(ADDRESS(B75,2,1,1,"all_city_parameter_inputs"))), ISBLANK(INDIRECT(ADDRESS(B75,1,1,1,"all_city_parameter_inputs")))), "", IF(ISBLANK(INDIRECT(ADDRESS(B75,1,1,1,"all_city_parameter_inputs"))), All_city_list!F74,INDIRECT(ADDRESS(B75,1,1,1,"all_city_parameter_inputs"))))</f>
        <v/>
      </c>
      <c r="G75" s="32" t="str">
        <f t="array" aca="1" ref="G75" ca="1">IF(AND(ISBLANK(INDIRECT(ADDRESS(B75,3,1,1,"all_city_parameter_inputs"))),ISBLANK(INDIRECT(ADDRESS(B75,2,1,1,"all_city_parameter_inputs")))),"",IF(ISBLANK(INDIRECT(ADDRESS(B75,2,1,1,"all_city_parameter_inputs"))),"",INDIRECT(ADDRESS(B75,2,1,1,"all_city_parameter_inputs"))))</f>
        <v/>
      </c>
      <c r="H75" s="33" t="str">
        <f t="array" aca="1" ref="H75" ca="1">IF(ISBLANK(INDIRECT(ADDRESS(B75,A75,1,1,"all_city_parameter_inputs"))), "--",INDIRECT(ADDRESS(B75,A75,1,1,"all_city_parameter_inputs")))</f>
        <v>--</v>
      </c>
      <c r="I75" s="33" t="e">
        <f ca="1">IF(OR(G75="alpha",G75="beta",G75="sd",G75="mean"),"--",VLOOKUP(C75,Default!$B$5:$H$114,7,FALSE()))</f>
        <v>#N/A</v>
      </c>
      <c r="J75" s="32" t="e">
        <f ca="1">VLOOKUP(F75,Lookup!$C$5:$D$110,2, FALSE())</f>
        <v>#N/A</v>
      </c>
      <c r="K75" s="32" t="e">
        <f ca="1">VLOOKUP(C75,Default!$B$4:$E$114,4, FALSE())</f>
        <v>#N/A</v>
      </c>
      <c r="L75" s="29" t="s">
        <v>136</v>
      </c>
      <c r="M75" s="30"/>
      <c r="N75" s="30"/>
    </row>
    <row r="76" spans="1:14" x14ac:dyDescent="0.25">
      <c r="A76" s="26">
        <v>3</v>
      </c>
      <c r="B76" s="26">
        <v>74</v>
      </c>
      <c r="C76" s="26" t="str">
        <f t="shared" ca="1" si="4"/>
        <v/>
      </c>
      <c r="D76" s="26" t="str">
        <f t="shared" ca="1" si="5"/>
        <v>_bogota</v>
      </c>
      <c r="E76" s="32" t="str">
        <f t="array" aca="1" ref="E76" ca="1">INDIRECT(ADDRESS(1,A76,1,1,"all_city_parameter_inputs"))</f>
        <v>bogota</v>
      </c>
      <c r="F76" s="32" t="str">
        <f t="array" aca="1" ref="F76" ca="1">IF(AND(ISBLANK(INDIRECT(ADDRESS(B76,2,1,1,"all_city_parameter_inputs"))), ISBLANK(INDIRECT(ADDRESS(B76,1,1,1,"all_city_parameter_inputs")))), "", IF(ISBLANK(INDIRECT(ADDRESS(B76,1,1,1,"all_city_parameter_inputs"))), All_city_list!F75,INDIRECT(ADDRESS(B76,1,1,1,"all_city_parameter_inputs"))))</f>
        <v/>
      </c>
      <c r="G76" s="32" t="str">
        <f t="array" aca="1" ref="G76" ca="1">IF(AND(ISBLANK(INDIRECT(ADDRESS(B76,3,1,1,"all_city_parameter_inputs"))),ISBLANK(INDIRECT(ADDRESS(B76,2,1,1,"all_city_parameter_inputs")))),"",IF(ISBLANK(INDIRECT(ADDRESS(B76,2,1,1,"all_city_parameter_inputs"))),"",INDIRECT(ADDRESS(B76,2,1,1,"all_city_parameter_inputs"))))</f>
        <v/>
      </c>
      <c r="H76" s="33" t="str">
        <f t="array" aca="1" ref="H76" ca="1">IF(ISBLANK(INDIRECT(ADDRESS(B76,A76,1,1,"all_city_parameter_inputs"))), "--",INDIRECT(ADDRESS(B76,A76,1,1,"all_city_parameter_inputs")))</f>
        <v>--</v>
      </c>
      <c r="I76" s="33" t="e">
        <f ca="1">IF(OR(G76="alpha",G76="beta",G76="sd",G76="mean"),"--",VLOOKUP(C76,Default!$B$5:$H$114,7,FALSE()))</f>
        <v>#N/A</v>
      </c>
      <c r="J76" s="32" t="e">
        <f ca="1">VLOOKUP(F76,Lookup!$C$5:$D$110,2, FALSE())</f>
        <v>#N/A</v>
      </c>
      <c r="K76" s="32" t="e">
        <f ca="1">VLOOKUP(C76,Default!$B$4:$E$114,4, FALSE())</f>
        <v>#N/A</v>
      </c>
      <c r="L76" s="30" t="str">
        <f t="array" aca="1" ref="L76" ca="1">IF(ISNA(VLOOKUP($D76,Grouped_Sources!$C:$C,1,FALSE())),"", INDIRECT(VLOOKUP($D76,Grouped_Sources!$C:$I,5,FALSE())))</f>
        <v/>
      </c>
      <c r="M76" s="30" t="str">
        <f ca="1">IF(ISNA(VLOOKUP($D76,Grouped_Sources!$C:$C,1,FALSE())),"", INDIRECT(VLOOKUP($D76,Grouped_Sources!$C:$I,6,FALSE())))</f>
        <v/>
      </c>
      <c r="N76" s="30" t="str">
        <f ca="1">IF(ISNA(VLOOKUP($D76,Grouped_Sources!$C:$C,1,FALSE())),"", INDIRECT(VLOOKUP($D76,Grouped_Sources!$C:$I,7,FALSE())))</f>
        <v/>
      </c>
    </row>
    <row r="77" spans="1:14" x14ac:dyDescent="0.25">
      <c r="A77" s="26">
        <v>3</v>
      </c>
      <c r="B77" s="26">
        <v>75</v>
      </c>
      <c r="C77" s="26" t="str">
        <f t="shared" ca="1" si="4"/>
        <v/>
      </c>
      <c r="D77" s="26" t="str">
        <f t="shared" ca="1" si="5"/>
        <v>_bogota</v>
      </c>
      <c r="E77" s="32" t="str">
        <f t="array" aca="1" ref="E77" ca="1">INDIRECT(ADDRESS(1,A77,1,1,"all_city_parameter_inputs"))</f>
        <v>bogota</v>
      </c>
      <c r="F77" s="32" t="str">
        <f t="array" aca="1" ref="F77" ca="1">IF(AND(ISBLANK(INDIRECT(ADDRESS(B77,2,1,1,"all_city_parameter_inputs"))), ISBLANK(INDIRECT(ADDRESS(B77,1,1,1,"all_city_parameter_inputs")))), "", IF(ISBLANK(INDIRECT(ADDRESS(B77,1,1,1,"all_city_parameter_inputs"))), All_city_list!F76,INDIRECT(ADDRESS(B77,1,1,1,"all_city_parameter_inputs"))))</f>
        <v/>
      </c>
      <c r="G77" s="32" t="str">
        <f t="array" aca="1" ref="G77" ca="1">IF(AND(ISBLANK(INDIRECT(ADDRESS(B77,3,1,1,"all_city_parameter_inputs"))),ISBLANK(INDIRECT(ADDRESS(B77,2,1,1,"all_city_parameter_inputs")))),"",IF(ISBLANK(INDIRECT(ADDRESS(B77,2,1,1,"all_city_parameter_inputs"))),"",INDIRECT(ADDRESS(B77,2,1,1,"all_city_parameter_inputs"))))</f>
        <v/>
      </c>
      <c r="H77" s="33" t="str">
        <f t="array" aca="1" ref="H77" ca="1">IF(ISBLANK(INDIRECT(ADDRESS(B77,A77,1,1,"all_city_parameter_inputs"))), "--",INDIRECT(ADDRESS(B77,A77,1,1,"all_city_parameter_inputs")))</f>
        <v>--</v>
      </c>
      <c r="I77" s="33" t="e">
        <f ca="1">IF(OR(G77="alpha",G77="beta",G77="sd",G77="mean"),"--",VLOOKUP(C77,Default!$B$5:$H$114,7,FALSE()))</f>
        <v>#N/A</v>
      </c>
      <c r="J77" s="32" t="e">
        <f ca="1">VLOOKUP(F77,Lookup!$C$5:$D$110,2, FALSE())</f>
        <v>#N/A</v>
      </c>
      <c r="K77" s="32" t="e">
        <f ca="1">VLOOKUP(C77,Default!$B$4:$E$114,4, FALSE())</f>
        <v>#N/A</v>
      </c>
      <c r="L77" s="30" t="str">
        <f t="array" aca="1" ref="L77" ca="1">IF(ISNA(VLOOKUP($D77,Grouped_Sources!$C:$C,1,FALSE())),"", INDIRECT(VLOOKUP($D77,Grouped_Sources!$C:$I,5,FALSE())))</f>
        <v/>
      </c>
      <c r="M77" s="30" t="str">
        <f ca="1">IF(ISNA(VLOOKUP($D77,Grouped_Sources!$C:$C,1,FALSE())),"", INDIRECT(VLOOKUP($D77,Grouped_Sources!$C:$I,6,FALSE())))</f>
        <v/>
      </c>
      <c r="N77" s="30" t="str">
        <f ca="1">IF(ISNA(VLOOKUP($D77,Grouped_Sources!$C:$C,1,FALSE())),"", INDIRECT(VLOOKUP($D77,Grouped_Sources!$C:$I,7,FALSE())))</f>
        <v/>
      </c>
    </row>
    <row r="78" spans="1:14" x14ac:dyDescent="0.25">
      <c r="A78" s="26">
        <v>3</v>
      </c>
      <c r="B78" s="26">
        <v>76</v>
      </c>
      <c r="C78" s="26" t="str">
        <f t="shared" ca="1" si="4"/>
        <v/>
      </c>
      <c r="D78" s="26" t="str">
        <f t="shared" ca="1" si="5"/>
        <v>_bogota</v>
      </c>
      <c r="E78" s="32" t="str">
        <f t="array" aca="1" ref="E78" ca="1">INDIRECT(ADDRESS(1,A78,1,1,"all_city_parameter_inputs"))</f>
        <v>bogota</v>
      </c>
      <c r="F78" s="32" t="str">
        <f t="array" aca="1" ref="F78" ca="1">IF(AND(ISBLANK(INDIRECT(ADDRESS(B78,2,1,1,"all_city_parameter_inputs"))), ISBLANK(INDIRECT(ADDRESS(B78,1,1,1,"all_city_parameter_inputs")))), "", IF(ISBLANK(INDIRECT(ADDRESS(B78,1,1,1,"all_city_parameter_inputs"))), All_city_list!F77,INDIRECT(ADDRESS(B78,1,1,1,"all_city_parameter_inputs"))))</f>
        <v/>
      </c>
      <c r="G78" s="32" t="str">
        <f t="array" aca="1" ref="G78" ca="1">IF(AND(ISBLANK(INDIRECT(ADDRESS(B78,3,1,1,"all_city_parameter_inputs"))),ISBLANK(INDIRECT(ADDRESS(B78,2,1,1,"all_city_parameter_inputs")))),"",IF(ISBLANK(INDIRECT(ADDRESS(B78,2,1,1,"all_city_parameter_inputs"))),"",INDIRECT(ADDRESS(B78,2,1,1,"all_city_parameter_inputs"))))</f>
        <v/>
      </c>
      <c r="H78" s="33" t="str">
        <f t="array" aca="1" ref="H78" ca="1">IF(ISBLANK(INDIRECT(ADDRESS(B78,A78,1,1,"all_city_parameter_inputs"))), "--",INDIRECT(ADDRESS(B78,A78,1,1,"all_city_parameter_inputs")))</f>
        <v>--</v>
      </c>
      <c r="I78" s="33" t="e">
        <f ca="1">IF(OR(G78="alpha",G78="beta",G78="sd",G78="mean"),"--",VLOOKUP(C78,Default!$B$5:$H$114,7,FALSE()))</f>
        <v>#N/A</v>
      </c>
      <c r="J78" s="32" t="e">
        <f ca="1">VLOOKUP(F78,Lookup!$C$5:$D$110,2, FALSE())</f>
        <v>#N/A</v>
      </c>
      <c r="K78" s="32" t="e">
        <f ca="1">VLOOKUP(C78,Default!$B$4:$E$114,4, FALSE())</f>
        <v>#N/A</v>
      </c>
      <c r="L78" s="36" t="s">
        <v>111</v>
      </c>
      <c r="M78" s="29" t="s">
        <v>112</v>
      </c>
      <c r="N78" s="30"/>
    </row>
    <row r="79" spans="1:14" x14ac:dyDescent="0.25">
      <c r="A79" s="26">
        <v>3</v>
      </c>
      <c r="B79" s="26">
        <v>77</v>
      </c>
      <c r="C79" s="26" t="str">
        <f t="shared" ca="1" si="4"/>
        <v/>
      </c>
      <c r="D79" s="26" t="str">
        <f t="shared" ca="1" si="5"/>
        <v>_bogota</v>
      </c>
      <c r="E79" s="32" t="str">
        <f t="array" aca="1" ref="E79" ca="1">INDIRECT(ADDRESS(1,A79,1,1,"all_city_parameter_inputs"))</f>
        <v>bogota</v>
      </c>
      <c r="F79" s="32" t="str">
        <f t="array" aca="1" ref="F79" ca="1">IF(AND(ISBLANK(INDIRECT(ADDRESS(B79,2,1,1,"all_city_parameter_inputs"))), ISBLANK(INDIRECT(ADDRESS(B79,1,1,1,"all_city_parameter_inputs")))), "", IF(ISBLANK(INDIRECT(ADDRESS(B79,1,1,1,"all_city_parameter_inputs"))), All_city_list!F78,INDIRECT(ADDRESS(B79,1,1,1,"all_city_parameter_inputs"))))</f>
        <v/>
      </c>
      <c r="G79" s="32" t="str">
        <f t="array" aca="1" ref="G79" ca="1">IF(AND(ISBLANK(INDIRECT(ADDRESS(B79,3,1,1,"all_city_parameter_inputs"))),ISBLANK(INDIRECT(ADDRESS(B79,2,1,1,"all_city_parameter_inputs")))),"",IF(ISBLANK(INDIRECT(ADDRESS(B79,2,1,1,"all_city_parameter_inputs"))),"",INDIRECT(ADDRESS(B79,2,1,1,"all_city_parameter_inputs"))))</f>
        <v/>
      </c>
      <c r="H79" s="33" t="str">
        <f t="array" aca="1" ref="H79" ca="1">IF(ISBLANK(INDIRECT(ADDRESS(B79,A79,1,1,"all_city_parameter_inputs"))), "--",INDIRECT(ADDRESS(B79,A79,1,1,"all_city_parameter_inputs")))</f>
        <v>--</v>
      </c>
      <c r="I79" s="33" t="e">
        <f ca="1">IF(OR(G79="alpha",G79="beta",G79="sd",G79="mean"),"--",VLOOKUP(C79,Default!$B$5:$H$114,7,FALSE()))</f>
        <v>#N/A</v>
      </c>
      <c r="J79" s="32" t="e">
        <f ca="1">VLOOKUP(F79,Lookup!$C$5:$D$110,2, FALSE())</f>
        <v>#N/A</v>
      </c>
      <c r="K79" s="32" t="e">
        <f ca="1">VLOOKUP(C79,Default!$B$4:$E$114,4, FALSE())</f>
        <v>#N/A</v>
      </c>
      <c r="L79" s="30" t="str">
        <f t="array" aca="1" ref="L79" ca="1">IF(ISNA(VLOOKUP($D79,Grouped_Sources!$C:$C,1,FALSE())),"", INDIRECT(VLOOKUP($D79,Grouped_Sources!$C:$I,5,FALSE())))</f>
        <v/>
      </c>
      <c r="M79" s="30" t="str">
        <f t="array" aca="1" ref="M79" ca="1">IF(ISNA(VLOOKUP($D79,Grouped_Sources!$C:$C,1,FALSE())),"", INDIRECT(VLOOKUP($D79,Grouped_Sources!$C:$I,6,FALSE())))</f>
        <v/>
      </c>
      <c r="N79" s="30" t="str">
        <f t="array" aca="1" ref="N79" ca="1">IF(ISNA(VLOOKUP($D79,Grouped_Sources!$C:$C,1,FALSE())),"", INDIRECT(VLOOKUP($D79,Grouped_Sources!$C:$I,7,FALSE())))</f>
        <v/>
      </c>
    </row>
    <row r="80" spans="1:14" x14ac:dyDescent="0.25">
      <c r="A80" s="26">
        <v>3</v>
      </c>
      <c r="B80" s="26">
        <v>78</v>
      </c>
      <c r="C80" s="26" t="str">
        <f t="shared" ca="1" si="4"/>
        <v/>
      </c>
      <c r="D80" s="26" t="str">
        <f t="shared" ca="1" si="5"/>
        <v>_bogota</v>
      </c>
      <c r="E80" s="32" t="str">
        <f t="array" aca="1" ref="E80" ca="1">INDIRECT(ADDRESS(1,A80,1,1,"all_city_parameter_inputs"))</f>
        <v>bogota</v>
      </c>
      <c r="F80" s="32" t="str">
        <f t="array" aca="1" ref="F80" ca="1">IF(AND(ISBLANK(INDIRECT(ADDRESS(B80,2,1,1,"all_city_parameter_inputs"))), ISBLANK(INDIRECT(ADDRESS(B80,1,1,1,"all_city_parameter_inputs")))), "", IF(ISBLANK(INDIRECT(ADDRESS(B80,1,1,1,"all_city_parameter_inputs"))), All_city_list!F79,INDIRECT(ADDRESS(B80,1,1,1,"all_city_parameter_inputs"))))</f>
        <v/>
      </c>
      <c r="G80" s="32" t="str">
        <f t="array" aca="1" ref="G80" ca="1">IF(AND(ISBLANK(INDIRECT(ADDRESS(B80,3,1,1,"all_city_parameter_inputs"))),ISBLANK(INDIRECT(ADDRESS(B80,2,1,1,"all_city_parameter_inputs")))),"",IF(ISBLANK(INDIRECT(ADDRESS(B80,2,1,1,"all_city_parameter_inputs"))),"",INDIRECT(ADDRESS(B80,2,1,1,"all_city_parameter_inputs"))))</f>
        <v/>
      </c>
      <c r="H80" s="33" t="str">
        <f t="array" aca="1" ref="H80" ca="1">IF(ISBLANK(INDIRECT(ADDRESS(B80,A80,1,1,"all_city_parameter_inputs"))), "--",INDIRECT(ADDRESS(B80,A80,1,1,"all_city_parameter_inputs")))</f>
        <v>--</v>
      </c>
      <c r="I80" s="33" t="e">
        <f ca="1">IF(OR(G80="alpha",G80="beta",G80="sd",G80="mean"),"--",VLOOKUP(C80,Default!$B$5:$H$114,7,FALSE()))</f>
        <v>#N/A</v>
      </c>
      <c r="J80" s="32" t="e">
        <f ca="1">VLOOKUP(F80,Lookup!$C$5:$D$110,2, FALSE())</f>
        <v>#N/A</v>
      </c>
      <c r="K80" s="32" t="e">
        <f ca="1">VLOOKUP(C80,Default!$B$4:$E$114,4, FALSE())</f>
        <v>#N/A</v>
      </c>
      <c r="L80" s="30" t="str">
        <f t="array" aca="1" ref="L80" ca="1">IF(ISNA(VLOOKUP($D80,Grouped_Sources!$C:$C,1,FALSE())),"", INDIRECT(VLOOKUP($D80,Grouped_Sources!$C:$I,5,FALSE())))</f>
        <v/>
      </c>
      <c r="M80" s="30" t="str">
        <f t="array" aca="1" ref="M80" ca="1">IF(ISNA(VLOOKUP($D80,Grouped_Sources!$C:$C,1,FALSE())),"", INDIRECT(VLOOKUP($D80,Grouped_Sources!$C:$I,6,FALSE())))</f>
        <v/>
      </c>
      <c r="N80" s="30" t="str">
        <f t="array" aca="1" ref="N80" ca="1">IF(ISNA(VLOOKUP($D80,Grouped_Sources!$C:$C,1,FALSE())),"", INDIRECT(VLOOKUP($D80,Grouped_Sources!$C:$I,7,FALSE())))</f>
        <v/>
      </c>
    </row>
    <row r="81" spans="1:14" x14ac:dyDescent="0.25">
      <c r="A81" s="26">
        <v>3</v>
      </c>
      <c r="B81" s="26">
        <v>79</v>
      </c>
      <c r="C81" s="26" t="str">
        <f t="shared" ca="1" si="4"/>
        <v/>
      </c>
      <c r="D81" s="26" t="str">
        <f t="shared" ca="1" si="5"/>
        <v>_bogota</v>
      </c>
      <c r="E81" s="32" t="str">
        <f t="array" aca="1" ref="E81" ca="1">INDIRECT(ADDRESS(1,A81,1,1,"all_city_parameter_inputs"))</f>
        <v>bogota</v>
      </c>
      <c r="F81" s="32" t="str">
        <f t="array" aca="1" ref="F81" ca="1">IF(AND(ISBLANK(INDIRECT(ADDRESS(B81,2,1,1,"all_city_parameter_inputs"))), ISBLANK(INDIRECT(ADDRESS(B81,1,1,1,"all_city_parameter_inputs")))), "", IF(ISBLANK(INDIRECT(ADDRESS(B81,1,1,1,"all_city_parameter_inputs"))), All_city_list!F80,INDIRECT(ADDRESS(B81,1,1,1,"all_city_parameter_inputs"))))</f>
        <v/>
      </c>
      <c r="G81" s="32" t="str">
        <f t="array" aca="1" ref="G81" ca="1">IF(AND(ISBLANK(INDIRECT(ADDRESS(B81,3,1,1,"all_city_parameter_inputs"))),ISBLANK(INDIRECT(ADDRESS(B81,2,1,1,"all_city_parameter_inputs")))),"",IF(ISBLANK(INDIRECT(ADDRESS(B81,2,1,1,"all_city_parameter_inputs"))),"",INDIRECT(ADDRESS(B81,2,1,1,"all_city_parameter_inputs"))))</f>
        <v/>
      </c>
      <c r="H81" s="33" t="str">
        <f t="array" aca="1" ref="H81" ca="1">IF(ISBLANK(INDIRECT(ADDRESS(B81,A81,1,1,"all_city_parameter_inputs"))), "--",INDIRECT(ADDRESS(B81,A81,1,1,"all_city_parameter_inputs")))</f>
        <v>--</v>
      </c>
      <c r="I81" s="33" t="e">
        <f ca="1">IF(OR(G81="alpha",G81="beta",G81="sd",G81="mean"),"--",VLOOKUP(C81,Default!$B$5:$H$114,7,FALSE()))</f>
        <v>#N/A</v>
      </c>
      <c r="J81" s="32" t="e">
        <f ca="1">VLOOKUP(F81,Lookup!$C$5:$D$110,2, FALSE())</f>
        <v>#N/A</v>
      </c>
      <c r="K81" s="32" t="e">
        <f ca="1">VLOOKUP(C81,Default!$B$4:$E$114,4, FALSE())</f>
        <v>#N/A</v>
      </c>
      <c r="L81" s="30" t="str">
        <f t="array" aca="1" ref="L81" ca="1">IF(ISNA(VLOOKUP($D81,Grouped_Sources!$C:$C,1,FALSE())),"", INDIRECT(VLOOKUP($D81,Grouped_Sources!$C:$I,5,FALSE())))</f>
        <v/>
      </c>
      <c r="M81" s="30" t="str">
        <f t="array" aca="1" ref="M81" ca="1">IF(ISNA(VLOOKUP($D81,Grouped_Sources!$C:$C,1,FALSE())),"", INDIRECT(VLOOKUP($D81,Grouped_Sources!$C:$I,6,FALSE())))</f>
        <v/>
      </c>
      <c r="N81" s="30" t="str">
        <f t="array" aca="1" ref="N81" ca="1">IF(ISNA(VLOOKUP($D81,Grouped_Sources!$C:$C,1,FALSE())),"", INDIRECT(VLOOKUP($D81,Grouped_Sources!$C:$I,7,FALSE())))</f>
        <v/>
      </c>
    </row>
    <row r="82" spans="1:14" x14ac:dyDescent="0.25">
      <c r="A82" s="26">
        <v>3</v>
      </c>
      <c r="B82" s="26">
        <v>80</v>
      </c>
      <c r="C82" s="26" t="str">
        <f t="shared" ca="1" si="4"/>
        <v/>
      </c>
      <c r="D82" s="26" t="str">
        <f t="shared" ca="1" si="5"/>
        <v>_bogota</v>
      </c>
      <c r="E82" s="32" t="str">
        <f t="array" aca="1" ref="E82" ca="1">INDIRECT(ADDRESS(1,A82,1,1,"all_city_parameter_inputs"))</f>
        <v>bogota</v>
      </c>
      <c r="F82" s="32" t="str">
        <f t="array" aca="1" ref="F82" ca="1">IF(AND(ISBLANK(INDIRECT(ADDRESS(B82,2,1,1,"all_city_parameter_inputs"))), ISBLANK(INDIRECT(ADDRESS(B82,1,1,1,"all_city_parameter_inputs")))), "", IF(ISBLANK(INDIRECT(ADDRESS(B82,1,1,1,"all_city_parameter_inputs"))), All_city_list!F81,INDIRECT(ADDRESS(B82,1,1,1,"all_city_parameter_inputs"))))</f>
        <v/>
      </c>
      <c r="G82" s="32" t="str">
        <f t="array" aca="1" ref="G82" ca="1">IF(AND(ISBLANK(INDIRECT(ADDRESS(B82,3,1,1,"all_city_parameter_inputs"))),ISBLANK(INDIRECT(ADDRESS(B82,2,1,1,"all_city_parameter_inputs")))),"",IF(ISBLANK(INDIRECT(ADDRESS(B82,2,1,1,"all_city_parameter_inputs"))),"",INDIRECT(ADDRESS(B82,2,1,1,"all_city_parameter_inputs"))))</f>
        <v/>
      </c>
      <c r="H82" s="33" t="str">
        <f t="array" aca="1" ref="H82" ca="1">IF(ISBLANK(INDIRECT(ADDRESS(B82,A82,1,1,"all_city_parameter_inputs"))), "--",INDIRECT(ADDRESS(B82,A82,1,1,"all_city_parameter_inputs")))</f>
        <v>--</v>
      </c>
      <c r="I82" s="33" t="e">
        <f ca="1">IF(OR(G82="alpha",G82="beta",G82="sd",G82="mean"),"--",VLOOKUP(C82,Default!$B$5:$H$114,7,FALSE()))</f>
        <v>#N/A</v>
      </c>
      <c r="J82" s="32" t="e">
        <f ca="1">VLOOKUP(F82,Lookup!$C$5:$D$110,2, FALSE())</f>
        <v>#N/A</v>
      </c>
      <c r="K82" s="32" t="e">
        <f ca="1">VLOOKUP(C82,Default!$B$4:$E$114,4, FALSE())</f>
        <v>#N/A</v>
      </c>
      <c r="L82" s="30" t="str">
        <f t="array" aca="1" ref="L82" ca="1">IF(ISNA(VLOOKUP($D82,Grouped_Sources!$C:$C,1,FALSE())),"", INDIRECT(VLOOKUP($D82,Grouped_Sources!$C:$I,5,FALSE())))</f>
        <v/>
      </c>
      <c r="M82" s="30" t="str">
        <f t="array" aca="1" ref="M82" ca="1">IF(ISNA(VLOOKUP($D82,Grouped_Sources!$C:$C,1,FALSE())),"", INDIRECT(VLOOKUP($D82,Grouped_Sources!$C:$I,6,FALSE())))</f>
        <v/>
      </c>
      <c r="N82" s="30" t="str">
        <f t="array" aca="1" ref="N82" ca="1">IF(ISNA(VLOOKUP($D82,Grouped_Sources!$C:$C,1,FALSE())),"", INDIRECT(VLOOKUP($D82,Grouped_Sources!$C:$I,7,FALSE())))</f>
        <v/>
      </c>
    </row>
    <row r="83" spans="1:14" x14ac:dyDescent="0.25">
      <c r="A83" s="26">
        <v>3</v>
      </c>
      <c r="B83" s="26">
        <v>81</v>
      </c>
      <c r="C83" s="26" t="str">
        <f t="shared" ca="1" si="4"/>
        <v/>
      </c>
      <c r="D83" s="26" t="str">
        <f t="shared" ca="1" si="5"/>
        <v>_bogota</v>
      </c>
      <c r="E83" s="32" t="str">
        <f t="array" aca="1" ref="E83" ca="1">INDIRECT(ADDRESS(1,A83,1,1,"all_city_parameter_inputs"))</f>
        <v>bogota</v>
      </c>
      <c r="F83" s="32" t="str">
        <f t="array" aca="1" ref="F83" ca="1">IF(AND(ISBLANK(INDIRECT(ADDRESS(B83,2,1,1,"all_city_parameter_inputs"))), ISBLANK(INDIRECT(ADDRESS(B83,1,1,1,"all_city_parameter_inputs")))), "", IF(ISBLANK(INDIRECT(ADDRESS(B83,1,1,1,"all_city_parameter_inputs"))), All_city_list!F82,INDIRECT(ADDRESS(B83,1,1,1,"all_city_parameter_inputs"))))</f>
        <v/>
      </c>
      <c r="G83" s="32" t="str">
        <f t="array" aca="1" ref="G83" ca="1">IF(AND(ISBLANK(INDIRECT(ADDRESS(B83,3,1,1,"all_city_parameter_inputs"))),ISBLANK(INDIRECT(ADDRESS(B83,2,1,1,"all_city_parameter_inputs")))),"",IF(ISBLANK(INDIRECT(ADDRESS(B83,2,1,1,"all_city_parameter_inputs"))),"",INDIRECT(ADDRESS(B83,2,1,1,"all_city_parameter_inputs"))))</f>
        <v/>
      </c>
      <c r="H83" s="33" t="str">
        <f t="array" aca="1" ref="H83" ca="1">IF(ISBLANK(INDIRECT(ADDRESS(B83,A83,1,1,"all_city_parameter_inputs"))), "--",INDIRECT(ADDRESS(B83,A83,1,1,"all_city_parameter_inputs")))</f>
        <v>--</v>
      </c>
      <c r="I83" s="33" t="e">
        <f ca="1">IF(OR(G83="alpha",G83="beta",G83="sd",G83="mean"),"--",VLOOKUP(C83,Default!$B$5:$H$114,7,FALSE()))</f>
        <v>#N/A</v>
      </c>
      <c r="J83" s="32" t="e">
        <f ca="1">VLOOKUP(F83,Lookup!$C$5:$D$110,2, FALSE())</f>
        <v>#N/A</v>
      </c>
      <c r="K83" s="32" t="e">
        <f ca="1">VLOOKUP(C83,Default!$B$4:$E$114,4, FALSE())</f>
        <v>#N/A</v>
      </c>
      <c r="L83" s="30" t="str">
        <f t="array" aca="1" ref="L83" ca="1">IF(ISNA(VLOOKUP($D83,Grouped_Sources!$C:$C,1,FALSE())),"", INDIRECT(VLOOKUP($D83,Grouped_Sources!$C:$I,5,FALSE())))</f>
        <v/>
      </c>
      <c r="M83" s="30" t="str">
        <f t="array" aca="1" ref="M83" ca="1">IF(ISNA(VLOOKUP($D83,Grouped_Sources!$C:$C,1,FALSE())),"", INDIRECT(VLOOKUP($D83,Grouped_Sources!$C:$I,6,FALSE())))</f>
        <v/>
      </c>
      <c r="N83" s="30" t="str">
        <f t="array" aca="1" ref="N83" ca="1">IF(ISNA(VLOOKUP($D83,Grouped_Sources!$C:$C,1,FALSE())),"", INDIRECT(VLOOKUP($D83,Grouped_Sources!$C:$I,7,FALSE())))</f>
        <v/>
      </c>
    </row>
    <row r="84" spans="1:14" x14ac:dyDescent="0.25">
      <c r="A84" s="26">
        <v>3</v>
      </c>
      <c r="B84" s="26">
        <v>82</v>
      </c>
      <c r="C84" s="26" t="str">
        <f t="shared" ca="1" si="4"/>
        <v/>
      </c>
      <c r="D84" s="26" t="str">
        <f t="shared" ca="1" si="5"/>
        <v>_bogota</v>
      </c>
      <c r="E84" s="32" t="str">
        <f t="array" aca="1" ref="E84" ca="1">INDIRECT(ADDRESS(1,A84,1,1,"all_city_parameter_inputs"))</f>
        <v>bogota</v>
      </c>
      <c r="F84" s="32" t="str">
        <f t="array" aca="1" ref="F84" ca="1">IF(AND(ISBLANK(INDIRECT(ADDRESS(B84,2,1,1,"all_city_parameter_inputs"))), ISBLANK(INDIRECT(ADDRESS(B84,1,1,1,"all_city_parameter_inputs")))), "", IF(ISBLANK(INDIRECT(ADDRESS(B84,1,1,1,"all_city_parameter_inputs"))), All_city_list!F83,INDIRECT(ADDRESS(B84,1,1,1,"all_city_parameter_inputs"))))</f>
        <v/>
      </c>
      <c r="G84" s="32" t="str">
        <f t="array" aca="1" ref="G84" ca="1">IF(AND(ISBLANK(INDIRECT(ADDRESS(B84,3,1,1,"all_city_parameter_inputs"))),ISBLANK(INDIRECT(ADDRESS(B84,2,1,1,"all_city_parameter_inputs")))),"",IF(ISBLANK(INDIRECT(ADDRESS(B84,2,1,1,"all_city_parameter_inputs"))),"",INDIRECT(ADDRESS(B84,2,1,1,"all_city_parameter_inputs"))))</f>
        <v/>
      </c>
      <c r="H84" s="33" t="str">
        <f t="array" aca="1" ref="H84" ca="1">IF(ISBLANK(INDIRECT(ADDRESS(B84,A84,1,1,"all_city_parameter_inputs"))), "--",INDIRECT(ADDRESS(B84,A84,1,1,"all_city_parameter_inputs")))</f>
        <v>--</v>
      </c>
      <c r="I84" s="33" t="e">
        <f ca="1">IF(OR(G84="alpha",G84="beta",G84="sd",G84="mean"),"--",VLOOKUP(C84,Default!$B$5:$H$114,7,FALSE()))</f>
        <v>#N/A</v>
      </c>
      <c r="J84" s="32" t="e">
        <f ca="1">VLOOKUP(F84,Lookup!$C$5:$D$110,2, FALSE())</f>
        <v>#N/A</v>
      </c>
      <c r="K84" s="32" t="e">
        <f ca="1">VLOOKUP(C84,Default!$B$4:$E$114,4, FALSE())</f>
        <v>#N/A</v>
      </c>
      <c r="L84" s="30" t="str">
        <f ca="1">IF(ISNA(VLOOKUP($D84,Grouped_Sources!$C:$C,1,FALSE())),"", INDIRECT(VLOOKUP($D84,Grouped_Sources!$C:$I,5,FALSE())))</f>
        <v/>
      </c>
      <c r="M84" s="30" t="str">
        <f ca="1">IF(ISNA(VLOOKUP($D84,Grouped_Sources!$C:$C,1,FALSE())),"", INDIRECT(VLOOKUP($D84,Grouped_Sources!$C:$I,6,FALSE())))</f>
        <v/>
      </c>
      <c r="N84" s="30" t="str">
        <f t="array" aca="1" ref="N84" ca="1">IF(ISNA(VLOOKUP($D84,Grouped_Sources!$C:$C,1,FALSE())),"", INDIRECT(VLOOKUP($D84,Grouped_Sources!$C:$I,7,FALSE())))</f>
        <v/>
      </c>
    </row>
    <row r="85" spans="1:14" x14ac:dyDescent="0.25">
      <c r="A85" s="26">
        <v>3</v>
      </c>
      <c r="B85" s="26">
        <v>83</v>
      </c>
      <c r="C85" s="26" t="str">
        <f t="shared" ca="1" si="4"/>
        <v/>
      </c>
      <c r="D85" s="26" t="str">
        <f t="shared" ca="1" si="5"/>
        <v>_bogota</v>
      </c>
      <c r="E85" s="32" t="str">
        <f t="array" aca="1" ref="E85" ca="1">INDIRECT(ADDRESS(1,A85,1,1,"all_city_parameter_inputs"))</f>
        <v>bogota</v>
      </c>
      <c r="F85" s="32" t="str">
        <f t="array" aca="1" ref="F85" ca="1">IF(AND(ISBLANK(INDIRECT(ADDRESS(B85,2,1,1,"all_city_parameter_inputs"))), ISBLANK(INDIRECT(ADDRESS(B85,1,1,1,"all_city_parameter_inputs")))), "", IF(ISBLANK(INDIRECT(ADDRESS(B85,1,1,1,"all_city_parameter_inputs"))), All_city_list!F84,INDIRECT(ADDRESS(B85,1,1,1,"all_city_parameter_inputs"))))</f>
        <v/>
      </c>
      <c r="G85" s="32" t="str">
        <f t="array" aca="1" ref="G85" ca="1">IF(AND(ISBLANK(INDIRECT(ADDRESS(B85,3,1,1,"all_city_parameter_inputs"))),ISBLANK(INDIRECT(ADDRESS(B85,2,1,1,"all_city_parameter_inputs")))),"",IF(ISBLANK(INDIRECT(ADDRESS(B85,2,1,1,"all_city_parameter_inputs"))),"",INDIRECT(ADDRESS(B85,2,1,1,"all_city_parameter_inputs"))))</f>
        <v/>
      </c>
      <c r="H85" s="33" t="str">
        <f t="array" aca="1" ref="H85" ca="1">IF(ISBLANK(INDIRECT(ADDRESS(B85,A85,1,1,"all_city_parameter_inputs"))), "--",INDIRECT(ADDRESS(B85,A85,1,1,"all_city_parameter_inputs")))</f>
        <v>--</v>
      </c>
      <c r="I85" s="33" t="e">
        <f ca="1">IF(OR(G85="alpha",G85="beta",G85="sd",G85="mean"),"--",VLOOKUP(C85,Default!$B$5:$H$114,7,FALSE()))</f>
        <v>#N/A</v>
      </c>
      <c r="J85" s="32" t="e">
        <f ca="1">VLOOKUP(F85,Lookup!$C$5:$D$110,2, FALSE())</f>
        <v>#N/A</v>
      </c>
      <c r="K85" s="32" t="e">
        <f ca="1">VLOOKUP(C85,Default!$B$4:$E$114,4, FALSE())</f>
        <v>#N/A</v>
      </c>
      <c r="L85" s="30" t="str">
        <f t="array" aca="1" ref="L85" ca="1">IF(ISNA(VLOOKUP($D85,Grouped_Sources!$C:$C,1,FALSE())),"", INDIRECT(VLOOKUP($D85,Grouped_Sources!$C:$I,5,FALSE())))</f>
        <v/>
      </c>
      <c r="M85" s="30" t="str">
        <f t="array" aca="1" ref="M85" ca="1">IF(ISNA(VLOOKUP($D85,Grouped_Sources!$C:$C,1,FALSE())),"", INDIRECT(VLOOKUP($D85,Grouped_Sources!$C:$I,6,FALSE())))</f>
        <v/>
      </c>
      <c r="N85" s="30" t="str">
        <f t="array" aca="1" ref="N85" ca="1">IF(ISNA(VLOOKUP($D85,Grouped_Sources!$C:$C,1,FALSE())),"", INDIRECT(VLOOKUP($D85,Grouped_Sources!$C:$I,7,FALSE())))</f>
        <v/>
      </c>
    </row>
    <row r="86" spans="1:14" x14ac:dyDescent="0.25">
      <c r="A86" s="26">
        <v>3</v>
      </c>
      <c r="B86" s="26">
        <v>84</v>
      </c>
      <c r="C86" s="26" t="str">
        <f t="shared" ca="1" si="4"/>
        <v/>
      </c>
      <c r="D86" s="26" t="str">
        <f t="shared" ca="1" si="5"/>
        <v>_bogota</v>
      </c>
      <c r="E86" s="32" t="str">
        <f t="array" aca="1" ref="E86" ca="1">INDIRECT(ADDRESS(1,A86,1,1,"all_city_parameter_inputs"))</f>
        <v>bogota</v>
      </c>
      <c r="F86" s="32" t="str">
        <f t="array" aca="1" ref="F86" ca="1">IF(AND(ISBLANK(INDIRECT(ADDRESS(B86,2,1,1,"all_city_parameter_inputs"))), ISBLANK(INDIRECT(ADDRESS(B86,1,1,1,"all_city_parameter_inputs")))), "", IF(ISBLANK(INDIRECT(ADDRESS(B86,1,1,1,"all_city_parameter_inputs"))), All_city_list!F85,INDIRECT(ADDRESS(B86,1,1,1,"all_city_parameter_inputs"))))</f>
        <v/>
      </c>
      <c r="G86" s="32" t="str">
        <f t="array" aca="1" ref="G86" ca="1">IF(AND(ISBLANK(INDIRECT(ADDRESS(B86,3,1,1,"all_city_parameter_inputs"))),ISBLANK(INDIRECT(ADDRESS(B86,2,1,1,"all_city_parameter_inputs")))),"",IF(ISBLANK(INDIRECT(ADDRESS(B86,2,1,1,"all_city_parameter_inputs"))),"",INDIRECT(ADDRESS(B86,2,1,1,"all_city_parameter_inputs"))))</f>
        <v/>
      </c>
      <c r="H86" s="33" t="str">
        <f t="array" aca="1" ref="H86" ca="1">IF(ISBLANK(INDIRECT(ADDRESS(B86,A86,1,1,"all_city_parameter_inputs"))), "--",INDIRECT(ADDRESS(B86,A86,1,1,"all_city_parameter_inputs")))</f>
        <v>--</v>
      </c>
      <c r="I86" s="33" t="e">
        <f ca="1">IF(OR(G86="alpha",G86="beta",G86="sd",G86="mean"),"--",VLOOKUP(C86,Default!$B$5:$H$114,7,FALSE()))</f>
        <v>#N/A</v>
      </c>
      <c r="J86" s="32" t="e">
        <f ca="1">VLOOKUP(F86,Lookup!$C$5:$D$110,2, FALSE())</f>
        <v>#N/A</v>
      </c>
      <c r="K86" s="32" t="e">
        <f ca="1">VLOOKUP(C86,Default!$B$4:$E$114,4, FALSE())</f>
        <v>#N/A</v>
      </c>
      <c r="L86" s="30" t="str">
        <f t="array" aca="1" ref="L86" ca="1">IF(ISNA(VLOOKUP($D86,Grouped_Sources!$C:$C,1,FALSE())),"", INDIRECT(VLOOKUP($D86,Grouped_Sources!$C:$I,5,FALSE())))</f>
        <v/>
      </c>
      <c r="M86" s="30" t="str">
        <f t="array" aca="1" ref="M86" ca="1">IF(ISNA(VLOOKUP($D86,Grouped_Sources!$C:$C,1,FALSE())),"", INDIRECT(VLOOKUP($D86,Grouped_Sources!$C:$I,6,FALSE())))</f>
        <v/>
      </c>
      <c r="N86" s="30" t="str">
        <f t="array" aca="1" ref="N86" ca="1">IF(ISNA(VLOOKUP($D86,Grouped_Sources!$C:$C,1,FALSE())),"", INDIRECT(VLOOKUP($D86,Grouped_Sources!$C:$I,7,FALSE())))</f>
        <v/>
      </c>
    </row>
    <row r="87" spans="1:14" x14ac:dyDescent="0.25">
      <c r="A87" s="26">
        <v>3</v>
      </c>
      <c r="B87" s="26">
        <v>85</v>
      </c>
      <c r="C87" s="26" t="str">
        <f t="shared" ca="1" si="4"/>
        <v/>
      </c>
      <c r="D87" s="26" t="str">
        <f t="shared" ca="1" si="5"/>
        <v>_bogota</v>
      </c>
      <c r="E87" s="32" t="str">
        <f t="array" aca="1" ref="E87" ca="1">INDIRECT(ADDRESS(1,A87,1,1,"all_city_parameter_inputs"))</f>
        <v>bogota</v>
      </c>
      <c r="F87" s="32" t="str">
        <f t="array" aca="1" ref="F87" ca="1">IF(AND(ISBLANK(INDIRECT(ADDRESS(B87,2,1,1,"all_city_parameter_inputs"))), ISBLANK(INDIRECT(ADDRESS(B87,1,1,1,"all_city_parameter_inputs")))), "", IF(ISBLANK(INDIRECT(ADDRESS(B87,1,1,1,"all_city_parameter_inputs"))), All_city_list!F86,INDIRECT(ADDRESS(B87,1,1,1,"all_city_parameter_inputs"))))</f>
        <v/>
      </c>
      <c r="G87" s="32" t="str">
        <f t="array" aca="1" ref="G87" ca="1">IF(AND(ISBLANK(INDIRECT(ADDRESS(B87,3,1,1,"all_city_parameter_inputs"))),ISBLANK(INDIRECT(ADDRESS(B87,2,1,1,"all_city_parameter_inputs")))),"",IF(ISBLANK(INDIRECT(ADDRESS(B87,2,1,1,"all_city_parameter_inputs"))),"",INDIRECT(ADDRESS(B87,2,1,1,"all_city_parameter_inputs"))))</f>
        <v/>
      </c>
      <c r="H87" s="33" t="str">
        <f t="array" aca="1" ref="H87" ca="1">IF(ISBLANK(INDIRECT(ADDRESS(B87,A87,1,1,"all_city_parameter_inputs"))), "--",INDIRECT(ADDRESS(B87,A87,1,1,"all_city_parameter_inputs")))</f>
        <v>--</v>
      </c>
      <c r="I87" s="33" t="e">
        <f ca="1">IF(OR(G87="alpha",G87="beta",G87="sd",G87="mean"),"--",VLOOKUP(C87,Default!$B$5:$H$114,7,FALSE()))</f>
        <v>#N/A</v>
      </c>
      <c r="J87" s="32" t="e">
        <f ca="1">VLOOKUP(F87,Lookup!$C$5:$D$110,2, FALSE())</f>
        <v>#N/A</v>
      </c>
      <c r="K87" s="32" t="e">
        <f ca="1">VLOOKUP(C87,Default!$B$4:$E$114,4, FALSE())</f>
        <v>#N/A</v>
      </c>
      <c r="L87" s="29" t="s">
        <v>130</v>
      </c>
      <c r="M87" s="30"/>
      <c r="N87" s="30"/>
    </row>
    <row r="88" spans="1:14" x14ac:dyDescent="0.25">
      <c r="A88" s="26">
        <v>3</v>
      </c>
      <c r="B88" s="26">
        <v>86</v>
      </c>
      <c r="C88" s="26" t="str">
        <f t="shared" ca="1" si="4"/>
        <v/>
      </c>
      <c r="D88" s="26" t="str">
        <f t="shared" ca="1" si="5"/>
        <v>_bogota</v>
      </c>
      <c r="E88" s="32" t="str">
        <f t="array" aca="1" ref="E88" ca="1">INDIRECT(ADDRESS(1,A88,1,1,"all_city_parameter_inputs"))</f>
        <v>bogota</v>
      </c>
      <c r="F88" s="32" t="str">
        <f t="array" aca="1" ref="F88" ca="1">IF(AND(ISBLANK(INDIRECT(ADDRESS(B88,2,1,1,"all_city_parameter_inputs"))), ISBLANK(INDIRECT(ADDRESS(B88,1,1,1,"all_city_parameter_inputs")))), "", IF(ISBLANK(INDIRECT(ADDRESS(B88,1,1,1,"all_city_parameter_inputs"))), All_city_list!F87,INDIRECT(ADDRESS(B88,1,1,1,"all_city_parameter_inputs"))))</f>
        <v/>
      </c>
      <c r="G88" s="32" t="str">
        <f t="array" aca="1" ref="G88" ca="1">IF(AND(ISBLANK(INDIRECT(ADDRESS(B88,3,1,1,"all_city_parameter_inputs"))),ISBLANK(INDIRECT(ADDRESS(B88,2,1,1,"all_city_parameter_inputs")))),"",IF(ISBLANK(INDIRECT(ADDRESS(B88,2,1,1,"all_city_parameter_inputs"))),"",INDIRECT(ADDRESS(B88,2,1,1,"all_city_parameter_inputs"))))</f>
        <v/>
      </c>
      <c r="H88" s="33" t="str">
        <f t="array" aca="1" ref="H88" ca="1">IF(ISBLANK(INDIRECT(ADDRESS(B88,A88,1,1,"all_city_parameter_inputs"))), "--",INDIRECT(ADDRESS(B88,A88,1,1,"all_city_parameter_inputs")))</f>
        <v>--</v>
      </c>
      <c r="I88" s="33" t="e">
        <f ca="1">IF(OR(G88="alpha",G88="beta",G88="sd",G88="mean"),"--",VLOOKUP(C88,Default!$B$5:$H$114,7,FALSE()))</f>
        <v>#N/A</v>
      </c>
      <c r="J88" s="32" t="e">
        <f ca="1">VLOOKUP(F88,Lookup!$C$5:$D$110,2, FALSE())</f>
        <v>#N/A</v>
      </c>
      <c r="K88" s="32" t="e">
        <f ca="1">VLOOKUP(C88,Default!$B$4:$E$114,4, FALSE())</f>
        <v>#N/A</v>
      </c>
      <c r="L88" s="29" t="s">
        <v>137</v>
      </c>
      <c r="M88" s="30" t="s">
        <v>138</v>
      </c>
      <c r="N88" s="30"/>
    </row>
    <row r="89" spans="1:14" x14ac:dyDescent="0.25">
      <c r="A89" s="26">
        <v>3</v>
      </c>
      <c r="B89" s="26">
        <v>87</v>
      </c>
      <c r="C89" s="26" t="str">
        <f t="shared" ca="1" si="4"/>
        <v/>
      </c>
      <c r="D89" s="26" t="str">
        <f t="shared" ca="1" si="5"/>
        <v>_bogota</v>
      </c>
      <c r="E89" s="32" t="str">
        <f t="array" aca="1" ref="E89" ca="1">INDIRECT(ADDRESS(1,A89,1,1,"all_city_parameter_inputs"))</f>
        <v>bogota</v>
      </c>
      <c r="F89" s="32" t="str">
        <f t="array" aca="1" ref="F89" ca="1">IF(AND(ISBLANK(INDIRECT(ADDRESS(B89,2,1,1,"all_city_parameter_inputs"))), ISBLANK(INDIRECT(ADDRESS(B89,1,1,1,"all_city_parameter_inputs")))), "", IF(ISBLANK(INDIRECT(ADDRESS(B89,1,1,1,"all_city_parameter_inputs"))), All_city_list!F88,INDIRECT(ADDRESS(B89,1,1,1,"all_city_parameter_inputs"))))</f>
        <v/>
      </c>
      <c r="G89" s="32" t="str">
        <f t="array" aca="1" ref="G89" ca="1">IF(AND(ISBLANK(INDIRECT(ADDRESS(B89,3,1,1,"all_city_parameter_inputs"))),ISBLANK(INDIRECT(ADDRESS(B89,2,1,1,"all_city_parameter_inputs")))),"",IF(ISBLANK(INDIRECT(ADDRESS(B89,2,1,1,"all_city_parameter_inputs"))),"",INDIRECT(ADDRESS(B89,2,1,1,"all_city_parameter_inputs"))))</f>
        <v/>
      </c>
      <c r="H89" s="33" t="str">
        <f t="array" aca="1" ref="H89" ca="1">IF(ISBLANK(INDIRECT(ADDRESS(B89,A89,1,1,"all_city_parameter_inputs"))), "--",INDIRECT(ADDRESS(B89,A89,1,1,"all_city_parameter_inputs")))</f>
        <v>--</v>
      </c>
      <c r="I89" s="33" t="e">
        <f ca="1">IF(OR(G89="alpha",G89="beta",G89="sd",G89="mean"),"--",VLOOKUP(C89,Default!$B$5:$H$114,7,FALSE()))</f>
        <v>#N/A</v>
      </c>
      <c r="J89" s="32" t="e">
        <f ca="1">VLOOKUP(F89,Lookup!$C$5:$D$110,2, FALSE())</f>
        <v>#N/A</v>
      </c>
      <c r="K89" s="32" t="e">
        <f ca="1">VLOOKUP(C89,Default!$B$4:$E$114,4, FALSE())</f>
        <v>#N/A</v>
      </c>
      <c r="L89" s="30" t="str">
        <f ca="1">IF(ISNA(VLOOKUP($D89,Grouped_Sources!$C:$C,1,FALSE())),"", INDIRECT(VLOOKUP($D89,Grouped_Sources!$C:$I,5,FALSE())))</f>
        <v/>
      </c>
      <c r="M89" s="30" t="str">
        <f ca="1">IF(ISNA(VLOOKUP($D89,Grouped_Sources!$C:$C,1,FALSE())),"", INDIRECT(VLOOKUP($D89,Grouped_Sources!$C:$I,6,FALSE())))</f>
        <v/>
      </c>
      <c r="N89" s="30" t="str">
        <f t="array" aca="1" ref="N89" ca="1">IF(ISNA(VLOOKUP($D89,Grouped_Sources!$C:$C,1,FALSE())),"", INDIRECT(VLOOKUP($D89,Grouped_Sources!$C:$I,7,FALSE())))</f>
        <v/>
      </c>
    </row>
    <row r="90" spans="1:14" x14ac:dyDescent="0.25">
      <c r="A90" s="26">
        <v>3</v>
      </c>
      <c r="B90" s="26">
        <v>88</v>
      </c>
      <c r="C90" s="26" t="str">
        <f t="shared" ca="1" si="4"/>
        <v/>
      </c>
      <c r="D90" s="26" t="str">
        <f t="shared" ca="1" si="5"/>
        <v>_bogota</v>
      </c>
      <c r="E90" s="32" t="str">
        <f t="array" aca="1" ref="E90" ca="1">INDIRECT(ADDRESS(1,A90,1,1,"all_city_parameter_inputs"))</f>
        <v>bogota</v>
      </c>
      <c r="F90" s="32" t="str">
        <f t="array" aca="1" ref="F90" ca="1">IF(AND(ISBLANK(INDIRECT(ADDRESS(B90,2,1,1,"all_city_parameter_inputs"))), ISBLANK(INDIRECT(ADDRESS(B90,1,1,1,"all_city_parameter_inputs")))), "", IF(ISBLANK(INDIRECT(ADDRESS(B90,1,1,1,"all_city_parameter_inputs"))), All_city_list!F89,INDIRECT(ADDRESS(B90,1,1,1,"all_city_parameter_inputs"))))</f>
        <v/>
      </c>
      <c r="G90" s="32" t="str">
        <f t="array" aca="1" ref="G90" ca="1">IF(AND(ISBLANK(INDIRECT(ADDRESS(B90,3,1,1,"all_city_parameter_inputs"))),ISBLANK(INDIRECT(ADDRESS(B90,2,1,1,"all_city_parameter_inputs")))),"",IF(ISBLANK(INDIRECT(ADDRESS(B90,2,1,1,"all_city_parameter_inputs"))),"",INDIRECT(ADDRESS(B90,2,1,1,"all_city_parameter_inputs"))))</f>
        <v/>
      </c>
      <c r="H90" s="33" t="str">
        <f t="array" aca="1" ref="H90" ca="1">IF(ISBLANK(INDIRECT(ADDRESS(B90,A90,1,1,"all_city_parameter_inputs"))), "--",INDIRECT(ADDRESS(B90,A90,1,1,"all_city_parameter_inputs")))</f>
        <v>--</v>
      </c>
      <c r="I90" s="33" t="e">
        <f ca="1">IF(OR(G90="alpha",G90="beta",G90="sd",G90="mean"),"--",VLOOKUP(C90,Default!$B$5:$H$114,7,FALSE()))</f>
        <v>#N/A</v>
      </c>
      <c r="J90" s="32" t="e">
        <f ca="1">VLOOKUP(F90,Lookup!$C$5:$D$110,2, FALSE())</f>
        <v>#N/A</v>
      </c>
      <c r="K90" s="32" t="e">
        <f ca="1">VLOOKUP(C90,Default!$B$4:$E$114,4, FALSE())</f>
        <v>#N/A</v>
      </c>
      <c r="L90" s="30" t="str">
        <f ca="1">IF(ISNA(VLOOKUP($D90,Grouped_Sources!$C:$C,1,FALSE())),"", INDIRECT(VLOOKUP($D90,Grouped_Sources!$C:$I,5,FALSE())))</f>
        <v/>
      </c>
      <c r="M90" s="30" t="str">
        <f ca="1">IF(ISNA(VLOOKUP($D90,Grouped_Sources!$C:$C,1,FALSE())),"", INDIRECT(VLOOKUP($D90,Grouped_Sources!$C:$I,6,FALSE())))</f>
        <v/>
      </c>
      <c r="N90" s="30" t="str">
        <f t="array" aca="1" ref="N90" ca="1">IF(ISNA(VLOOKUP($D90,Grouped_Sources!$C:$C,1,FALSE())),"", INDIRECT(VLOOKUP($D90,Grouped_Sources!$C:$I,7,FALSE())))</f>
        <v/>
      </c>
    </row>
    <row r="91" spans="1:14" x14ac:dyDescent="0.25">
      <c r="A91" s="26">
        <v>3</v>
      </c>
      <c r="B91" s="26">
        <v>89</v>
      </c>
      <c r="C91" s="26" t="str">
        <f t="shared" ca="1" si="4"/>
        <v/>
      </c>
      <c r="D91" s="26" t="str">
        <f t="shared" ca="1" si="5"/>
        <v>_bogota</v>
      </c>
      <c r="E91" s="32" t="str">
        <f t="array" aca="1" ref="E91" ca="1">INDIRECT(ADDRESS(1,A91,1,1,"all_city_parameter_inputs"))</f>
        <v>bogota</v>
      </c>
      <c r="F91" s="32" t="str">
        <f t="array" aca="1" ref="F91" ca="1">IF(AND(ISBLANK(INDIRECT(ADDRESS(B91,2,1,1,"all_city_parameter_inputs"))), ISBLANK(INDIRECT(ADDRESS(B91,1,1,1,"all_city_parameter_inputs")))), "", IF(ISBLANK(INDIRECT(ADDRESS(B91,1,1,1,"all_city_parameter_inputs"))), All_city_list!F90,INDIRECT(ADDRESS(B91,1,1,1,"all_city_parameter_inputs"))))</f>
        <v/>
      </c>
      <c r="G91" s="32" t="str">
        <f t="array" aca="1" ref="G91" ca="1">IF(AND(ISBLANK(INDIRECT(ADDRESS(B91,3,1,1,"all_city_parameter_inputs"))),ISBLANK(INDIRECT(ADDRESS(B91,2,1,1,"all_city_parameter_inputs")))),"",IF(ISBLANK(INDIRECT(ADDRESS(B91,2,1,1,"all_city_parameter_inputs"))),"",INDIRECT(ADDRESS(B91,2,1,1,"all_city_parameter_inputs"))))</f>
        <v/>
      </c>
      <c r="H91" s="33" t="str">
        <f t="array" aca="1" ref="H91" ca="1">IF(ISBLANK(INDIRECT(ADDRESS(B91,A91,1,1,"all_city_parameter_inputs"))), "--",INDIRECT(ADDRESS(B91,A91,1,1,"all_city_parameter_inputs")))</f>
        <v>--</v>
      </c>
      <c r="I91" s="33" t="e">
        <f ca="1">IF(OR(G91="alpha",G91="beta",G91="sd",G91="mean"),"--",VLOOKUP(C91,Default!$B$5:$H$114,7,FALSE()))</f>
        <v>#N/A</v>
      </c>
      <c r="J91" s="32" t="e">
        <f ca="1">VLOOKUP(F91,Lookup!$C$5:$D$110,2, FALSE())</f>
        <v>#N/A</v>
      </c>
      <c r="K91" s="32" t="e">
        <f ca="1">VLOOKUP(C91,Default!$B$4:$E$114,4, FALSE())</f>
        <v>#N/A</v>
      </c>
      <c r="L91" s="30" t="str">
        <f ca="1">IF(ISNA(VLOOKUP(D91,Grouped_Sources!$C:$C,1,FALSE())),"", INDIRECT(VLOOKUP(D91,Grouped_Sources!$C:$G,5,FALSE())))</f>
        <v/>
      </c>
      <c r="M91" s="30"/>
      <c r="N91" s="30"/>
    </row>
    <row r="92" spans="1:14" x14ac:dyDescent="0.25">
      <c r="A92" s="26">
        <v>3</v>
      </c>
      <c r="B92" s="26">
        <v>90</v>
      </c>
      <c r="C92" s="26" t="str">
        <f t="shared" ca="1" si="4"/>
        <v/>
      </c>
      <c r="D92" s="26" t="str">
        <f t="shared" ca="1" si="5"/>
        <v>_bogota</v>
      </c>
      <c r="E92" s="32" t="str">
        <f t="array" aca="1" ref="E92" ca="1">INDIRECT(ADDRESS(1,A92,1,1,"all_city_parameter_inputs"))</f>
        <v>bogota</v>
      </c>
      <c r="F92" s="32" t="str">
        <f t="array" aca="1" ref="F92" ca="1">IF(AND(ISBLANK(INDIRECT(ADDRESS(B92,2,1,1,"all_city_parameter_inputs"))), ISBLANK(INDIRECT(ADDRESS(B92,1,1,1,"all_city_parameter_inputs")))), "", IF(ISBLANK(INDIRECT(ADDRESS(B92,1,1,1,"all_city_parameter_inputs"))), All_city_list!F91,INDIRECT(ADDRESS(B92,1,1,1,"all_city_parameter_inputs"))))</f>
        <v/>
      </c>
      <c r="G92" s="32" t="str">
        <f t="array" aca="1" ref="G92" ca="1">IF(AND(ISBLANK(INDIRECT(ADDRESS(B92,3,1,1,"all_city_parameter_inputs"))),ISBLANK(INDIRECT(ADDRESS(B92,2,1,1,"all_city_parameter_inputs")))),"",IF(ISBLANK(INDIRECT(ADDRESS(B92,2,1,1,"all_city_parameter_inputs"))),"",INDIRECT(ADDRESS(B92,2,1,1,"all_city_parameter_inputs"))))</f>
        <v/>
      </c>
      <c r="H92" s="33" t="str">
        <f t="array" aca="1" ref="H92" ca="1">IF(ISBLANK(INDIRECT(ADDRESS(B92,A92,1,1,"all_city_parameter_inputs"))), "--",INDIRECT(ADDRESS(B92,A92,1,1,"all_city_parameter_inputs")))</f>
        <v>--</v>
      </c>
      <c r="I92" s="33" t="e">
        <f ca="1">IF(OR(G92="alpha",G92="beta",G92="sd",G92="mean"),"--",VLOOKUP(C92,Default!$B$5:$H$114,7,FALSE()))</f>
        <v>#N/A</v>
      </c>
      <c r="J92" s="32" t="e">
        <f ca="1">VLOOKUP(F92,Lookup!$C$5:$D$110,2, FALSE())</f>
        <v>#N/A</v>
      </c>
      <c r="K92" s="32" t="e">
        <f ca="1">VLOOKUP(C92,Default!$B$4:$E$114,4, FALSE())</f>
        <v>#N/A</v>
      </c>
      <c r="L92" s="30" t="str">
        <f ca="1">IF(ISNA(VLOOKUP(D92,Grouped_Sources!$C:$C,1,FALSE())),"", INDIRECT(VLOOKUP(D92,Grouped_Sources!$C:$G,5,FALSE())))</f>
        <v/>
      </c>
      <c r="M92" s="30"/>
      <c r="N92" s="30"/>
    </row>
    <row r="93" spans="1:14" x14ac:dyDescent="0.25">
      <c r="A93" s="26">
        <v>3</v>
      </c>
      <c r="B93" s="26">
        <v>91</v>
      </c>
      <c r="C93" s="26" t="str">
        <f t="shared" ca="1" si="4"/>
        <v/>
      </c>
      <c r="D93" s="26" t="str">
        <f t="shared" ca="1" si="5"/>
        <v>_bogota</v>
      </c>
      <c r="E93" s="32" t="str">
        <f t="array" aca="1" ref="E93" ca="1">INDIRECT(ADDRESS(1,A93,1,1,"all_city_parameter_inputs"))</f>
        <v>bogota</v>
      </c>
      <c r="F93" s="32" t="str">
        <f t="array" aca="1" ref="F93" ca="1">IF(AND(ISBLANK(INDIRECT(ADDRESS(B93,2,1,1,"all_city_parameter_inputs"))), ISBLANK(INDIRECT(ADDRESS(B93,1,1,1,"all_city_parameter_inputs")))), "", IF(ISBLANK(INDIRECT(ADDRESS(B93,1,1,1,"all_city_parameter_inputs"))), All_city_list!F92,INDIRECT(ADDRESS(B93,1,1,1,"all_city_parameter_inputs"))))</f>
        <v/>
      </c>
      <c r="G93" s="32" t="str">
        <f t="array" aca="1" ref="G93" ca="1">IF(AND(ISBLANK(INDIRECT(ADDRESS(B93,3,1,1,"all_city_parameter_inputs"))),ISBLANK(INDIRECT(ADDRESS(B93,2,1,1,"all_city_parameter_inputs")))),"",IF(ISBLANK(INDIRECT(ADDRESS(B93,2,1,1,"all_city_parameter_inputs"))),"",INDIRECT(ADDRESS(B93,2,1,1,"all_city_parameter_inputs"))))</f>
        <v/>
      </c>
      <c r="H93" s="33" t="str">
        <f t="array" aca="1" ref="H93" ca="1">IF(ISBLANK(INDIRECT(ADDRESS(B93,A93,1,1,"all_city_parameter_inputs"))), "--",INDIRECT(ADDRESS(B93,A93,1,1,"all_city_parameter_inputs")))</f>
        <v>--</v>
      </c>
      <c r="I93" s="33" t="e">
        <f ca="1">IF(OR(G93="alpha",G93="beta",G93="sd",G93="mean"),"--",VLOOKUP(C93,Default!$B$5:$H$114,7,FALSE()))</f>
        <v>#N/A</v>
      </c>
      <c r="J93" s="32" t="e">
        <f ca="1">VLOOKUP(F93,Lookup!$C$5:$D$110,2, FALSE())</f>
        <v>#N/A</v>
      </c>
      <c r="K93" s="32" t="e">
        <f ca="1">VLOOKUP(C93,Default!$B$4:$E$114,4, FALSE())</f>
        <v>#N/A</v>
      </c>
      <c r="L93" s="39" t="s">
        <v>139</v>
      </c>
      <c r="M93" s="30" t="s">
        <v>140</v>
      </c>
      <c r="N93" s="30"/>
    </row>
    <row r="94" spans="1:14" x14ac:dyDescent="0.25">
      <c r="A94" s="26">
        <v>3</v>
      </c>
      <c r="B94" s="26">
        <v>92</v>
      </c>
      <c r="C94" s="26" t="str">
        <f t="shared" ca="1" si="4"/>
        <v/>
      </c>
      <c r="D94" s="26" t="str">
        <f t="shared" ca="1" si="5"/>
        <v>_bogota</v>
      </c>
      <c r="E94" s="32" t="str">
        <f t="array" aca="1" ref="E94" ca="1">INDIRECT(ADDRESS(1,A94,1,1,"all_city_parameter_inputs"))</f>
        <v>bogota</v>
      </c>
      <c r="F94" s="32" t="str">
        <f t="array" aca="1" ref="F94" ca="1">IF(AND(ISBLANK(INDIRECT(ADDRESS(B94,2,1,1,"all_city_parameter_inputs"))), ISBLANK(INDIRECT(ADDRESS(B94,1,1,1,"all_city_parameter_inputs")))), "", IF(ISBLANK(INDIRECT(ADDRESS(B94,1,1,1,"all_city_parameter_inputs"))), All_city_list!F93,INDIRECT(ADDRESS(B94,1,1,1,"all_city_parameter_inputs"))))</f>
        <v/>
      </c>
      <c r="G94" s="32" t="str">
        <f t="array" aca="1" ref="G94" ca="1">IF(AND(ISBLANK(INDIRECT(ADDRESS(B94,3,1,1,"all_city_parameter_inputs"))),ISBLANK(INDIRECT(ADDRESS(B94,2,1,1,"all_city_parameter_inputs")))),"",IF(ISBLANK(INDIRECT(ADDRESS(B94,2,1,1,"all_city_parameter_inputs"))),"",INDIRECT(ADDRESS(B94,2,1,1,"all_city_parameter_inputs"))))</f>
        <v/>
      </c>
      <c r="H94" s="33" t="str">
        <f t="array" aca="1" ref="H94" ca="1">IF(ISBLANK(INDIRECT(ADDRESS(B94,A94,1,1,"all_city_parameter_inputs"))), "--",INDIRECT(ADDRESS(B94,A94,1,1,"all_city_parameter_inputs")))</f>
        <v>--</v>
      </c>
      <c r="I94" s="33" t="e">
        <f ca="1">IF(OR(G94="alpha",G94="beta",G94="sd",G94="mean"),"--",VLOOKUP(C94,Default!$B$5:$H$114,7,FALSE()))</f>
        <v>#N/A</v>
      </c>
      <c r="J94" s="32" t="e">
        <f ca="1">VLOOKUP(F94,Lookup!$C$5:$D$110,2, FALSE())</f>
        <v>#N/A</v>
      </c>
      <c r="K94" s="32" t="e">
        <f ca="1">VLOOKUP(C94,Default!$B$4:$E$114,4, FALSE())</f>
        <v>#N/A</v>
      </c>
      <c r="L94" s="39" t="s">
        <v>141</v>
      </c>
      <c r="M94" s="30" t="s">
        <v>142</v>
      </c>
      <c r="N94" s="30"/>
    </row>
    <row r="95" spans="1:14" x14ac:dyDescent="0.25">
      <c r="A95" s="26">
        <v>3</v>
      </c>
      <c r="B95" s="26">
        <v>93</v>
      </c>
      <c r="C95" s="26" t="str">
        <f t="shared" ca="1" si="4"/>
        <v/>
      </c>
      <c r="D95" s="26" t="str">
        <f t="shared" ca="1" si="5"/>
        <v>_bogota</v>
      </c>
      <c r="E95" s="32" t="str">
        <f t="array" aca="1" ref="E95" ca="1">INDIRECT(ADDRESS(1,A95,1,1,"all_city_parameter_inputs"))</f>
        <v>bogota</v>
      </c>
      <c r="F95" s="32" t="str">
        <f t="array" aca="1" ref="F95" ca="1">IF(AND(ISBLANK(INDIRECT(ADDRESS(B95,2,1,1,"all_city_parameter_inputs"))), ISBLANK(INDIRECT(ADDRESS(B95,1,1,1,"all_city_parameter_inputs")))), "", IF(ISBLANK(INDIRECT(ADDRESS(B95,1,1,1,"all_city_parameter_inputs"))), All_city_list!F94,INDIRECT(ADDRESS(B95,1,1,1,"all_city_parameter_inputs"))))</f>
        <v/>
      </c>
      <c r="G95" s="32" t="str">
        <f t="array" aca="1" ref="G95" ca="1">IF(AND(ISBLANK(INDIRECT(ADDRESS(B95,3,1,1,"all_city_parameter_inputs"))),ISBLANK(INDIRECT(ADDRESS(B95,2,1,1,"all_city_parameter_inputs")))),"",IF(ISBLANK(INDIRECT(ADDRESS(B95,2,1,1,"all_city_parameter_inputs"))),"",INDIRECT(ADDRESS(B95,2,1,1,"all_city_parameter_inputs"))))</f>
        <v/>
      </c>
      <c r="H95" s="33" t="str">
        <f t="array" aca="1" ref="H95" ca="1">IF(ISBLANK(INDIRECT(ADDRESS(B95,A95,1,1,"all_city_parameter_inputs"))), "--",INDIRECT(ADDRESS(B95,A95,1,1,"all_city_parameter_inputs")))</f>
        <v>--</v>
      </c>
      <c r="I95" s="33" t="e">
        <f ca="1">IF(OR(G95="alpha",G95="beta",G95="sd",G95="mean"),"--",VLOOKUP(C95,Default!$B$5:$H$114,7,FALSE()))</f>
        <v>#N/A</v>
      </c>
      <c r="J95" s="32" t="e">
        <f ca="1">VLOOKUP(F95,Lookup!$C$5:$D$110,2, FALSE())</f>
        <v>#N/A</v>
      </c>
      <c r="K95" s="32" t="e">
        <f ca="1">VLOOKUP(C95,Default!$B$4:$E$114,4, FALSE())</f>
        <v>#N/A</v>
      </c>
      <c r="L95" s="39" t="s">
        <v>143</v>
      </c>
      <c r="M95" s="30" t="s">
        <v>142</v>
      </c>
      <c r="N95" s="30"/>
    </row>
    <row r="96" spans="1:14" x14ac:dyDescent="0.25">
      <c r="A96" s="26">
        <v>3</v>
      </c>
      <c r="B96" s="26">
        <v>94</v>
      </c>
      <c r="C96" s="26" t="str">
        <f t="shared" ca="1" si="4"/>
        <v/>
      </c>
      <c r="D96" s="26" t="str">
        <f t="shared" ca="1" si="5"/>
        <v>_bogota</v>
      </c>
      <c r="E96" s="32" t="str">
        <f t="array" aca="1" ref="E96" ca="1">INDIRECT(ADDRESS(1,A96,1,1,"all_city_parameter_inputs"))</f>
        <v>bogota</v>
      </c>
      <c r="F96" s="32" t="str">
        <f t="array" aca="1" ref="F96" ca="1">IF(AND(ISBLANK(INDIRECT(ADDRESS(B96,2,1,1,"all_city_parameter_inputs"))), ISBLANK(INDIRECT(ADDRESS(B96,1,1,1,"all_city_parameter_inputs")))), "", IF(ISBLANK(INDIRECT(ADDRESS(B96,1,1,1,"all_city_parameter_inputs"))), All_city_list!F95,INDIRECT(ADDRESS(B96,1,1,1,"all_city_parameter_inputs"))))</f>
        <v/>
      </c>
      <c r="G96" s="32" t="str">
        <f t="array" aca="1" ref="G96" ca="1">IF(AND(ISBLANK(INDIRECT(ADDRESS(B96,3,1,1,"all_city_parameter_inputs"))),ISBLANK(INDIRECT(ADDRESS(B96,2,1,1,"all_city_parameter_inputs")))),"",IF(ISBLANK(INDIRECT(ADDRESS(B96,2,1,1,"all_city_parameter_inputs"))),"",INDIRECT(ADDRESS(B96,2,1,1,"all_city_parameter_inputs"))))</f>
        <v/>
      </c>
      <c r="H96" s="33" t="str">
        <f t="array" aca="1" ref="H96" ca="1">IF(ISBLANK(INDIRECT(ADDRESS(B96,A96,1,1,"all_city_parameter_inputs"))), "--",INDIRECT(ADDRESS(B96,A96,1,1,"all_city_parameter_inputs")))</f>
        <v>--</v>
      </c>
      <c r="I96" s="33" t="e">
        <f ca="1">IF(OR(G96="alpha",G96="beta",G96="sd",G96="mean"),"--",VLOOKUP(C96,Default!$B$5:$H$114,7,FALSE()))</f>
        <v>#N/A</v>
      </c>
      <c r="J96" s="32" t="e">
        <f ca="1">VLOOKUP(F96,Lookup!$C$5:$D$110,2, FALSE())</f>
        <v>#N/A</v>
      </c>
      <c r="K96" s="32" t="e">
        <f ca="1">VLOOKUP(C96,Default!$B$4:$E$114,4, FALSE())</f>
        <v>#N/A</v>
      </c>
      <c r="L96" s="29" t="s">
        <v>144</v>
      </c>
      <c r="M96" s="30"/>
      <c r="N96" s="30"/>
    </row>
    <row r="97" spans="1:14" x14ac:dyDescent="0.25">
      <c r="A97" s="26">
        <v>3</v>
      </c>
      <c r="B97" s="26">
        <v>95</v>
      </c>
      <c r="C97" s="26" t="str">
        <f t="shared" ca="1" si="4"/>
        <v/>
      </c>
      <c r="D97" s="26" t="str">
        <f t="shared" ca="1" si="5"/>
        <v>_bogota</v>
      </c>
      <c r="E97" s="32" t="str">
        <f t="array" aca="1" ref="E97" ca="1">INDIRECT(ADDRESS(1,A97,1,1,"all_city_parameter_inputs"))</f>
        <v>bogota</v>
      </c>
      <c r="F97" s="32" t="str">
        <f t="array" aca="1" ref="F97" ca="1">IF(AND(ISBLANK(INDIRECT(ADDRESS(B97,2,1,1,"all_city_parameter_inputs"))), ISBLANK(INDIRECT(ADDRESS(B97,1,1,1,"all_city_parameter_inputs")))), "", IF(ISBLANK(INDIRECT(ADDRESS(B97,1,1,1,"all_city_parameter_inputs"))), All_city_list!F96,INDIRECT(ADDRESS(B97,1,1,1,"all_city_parameter_inputs"))))</f>
        <v/>
      </c>
      <c r="G97" s="32" t="str">
        <f t="array" aca="1" ref="G97" ca="1">IF(AND(ISBLANK(INDIRECT(ADDRESS(B97,3,1,1,"all_city_parameter_inputs"))),ISBLANK(INDIRECT(ADDRESS(B97,2,1,1,"all_city_parameter_inputs")))),"",IF(ISBLANK(INDIRECT(ADDRESS(B97,2,1,1,"all_city_parameter_inputs"))),"",INDIRECT(ADDRESS(B97,2,1,1,"all_city_parameter_inputs"))))</f>
        <v/>
      </c>
      <c r="H97" s="33" t="str">
        <f t="array" aca="1" ref="H97" ca="1">IF(ISBLANK(INDIRECT(ADDRESS(B97,A97,1,1,"all_city_parameter_inputs"))), "--",INDIRECT(ADDRESS(B97,A97,1,1,"all_city_parameter_inputs")))</f>
        <v>--</v>
      </c>
      <c r="I97" s="33" t="e">
        <f ca="1">IF(OR(G97="alpha",G97="beta",G97="sd",G97="mean"),"--",VLOOKUP(C97,Default!$B$5:$H$114,7,FALSE()))</f>
        <v>#N/A</v>
      </c>
      <c r="J97" s="32" t="e">
        <f ca="1">VLOOKUP(F97,Lookup!$C$5:$D$110,2, FALSE())</f>
        <v>#N/A</v>
      </c>
      <c r="K97" s="32" t="e">
        <f ca="1">VLOOKUP(C97,Default!$B$4:$E$114,4, FALSE())</f>
        <v>#N/A</v>
      </c>
      <c r="L97" s="39" t="s">
        <v>145</v>
      </c>
      <c r="M97" s="30" t="s">
        <v>146</v>
      </c>
      <c r="N97" s="30"/>
    </row>
    <row r="98" spans="1:14" x14ac:dyDescent="0.25">
      <c r="A98" s="26">
        <v>3</v>
      </c>
      <c r="B98" s="26">
        <v>96</v>
      </c>
      <c r="C98" s="26" t="str">
        <f t="shared" ca="1" si="4"/>
        <v/>
      </c>
      <c r="D98" s="26" t="str">
        <f t="shared" ca="1" si="5"/>
        <v>_bogota</v>
      </c>
      <c r="E98" s="32" t="str">
        <f t="array" aca="1" ref="E98" ca="1">INDIRECT(ADDRESS(1,A98,1,1,"all_city_parameter_inputs"))</f>
        <v>bogota</v>
      </c>
      <c r="F98" s="32" t="str">
        <f t="array" aca="1" ref="F98" ca="1">IF(AND(ISBLANK(INDIRECT(ADDRESS(B98,2,1,1,"all_city_parameter_inputs"))), ISBLANK(INDIRECT(ADDRESS(B98,1,1,1,"all_city_parameter_inputs")))), "", IF(ISBLANK(INDIRECT(ADDRESS(B98,1,1,1,"all_city_parameter_inputs"))), All_city_list!F97,INDIRECT(ADDRESS(B98,1,1,1,"all_city_parameter_inputs"))))</f>
        <v/>
      </c>
      <c r="G98" s="32" t="str">
        <f t="array" aca="1" ref="G98" ca="1">IF(AND(ISBLANK(INDIRECT(ADDRESS(B98,3,1,1,"all_city_parameter_inputs"))),ISBLANK(INDIRECT(ADDRESS(B98,2,1,1,"all_city_parameter_inputs")))),"",IF(ISBLANK(INDIRECT(ADDRESS(B98,2,1,1,"all_city_parameter_inputs"))),"",INDIRECT(ADDRESS(B98,2,1,1,"all_city_parameter_inputs"))))</f>
        <v/>
      </c>
      <c r="H98" s="33" t="str">
        <f t="array" aca="1" ref="H98" ca="1">IF(ISBLANK(INDIRECT(ADDRESS(B98,A98,1,1,"all_city_parameter_inputs"))), "--",INDIRECT(ADDRESS(B98,A98,1,1,"all_city_parameter_inputs")))</f>
        <v>--</v>
      </c>
      <c r="I98" s="33" t="e">
        <f ca="1">IF(OR(G98="alpha",G98="beta",G98="sd",G98="mean"),"--",VLOOKUP(C98,Default!$B$5:$H$114,7,FALSE()))</f>
        <v>#N/A</v>
      </c>
      <c r="J98" s="32" t="e">
        <f ca="1">VLOOKUP(F98,Lookup!$C$5:$D$110,2, FALSE())</f>
        <v>#N/A</v>
      </c>
      <c r="K98" s="32" t="e">
        <f ca="1">VLOOKUP(C98,Default!$B$4:$E$114,4, FALSE())</f>
        <v>#N/A</v>
      </c>
      <c r="L98" s="39" t="s">
        <v>147</v>
      </c>
      <c r="M98" s="30" t="s">
        <v>146</v>
      </c>
      <c r="N98" s="30"/>
    </row>
    <row r="99" spans="1:14" x14ac:dyDescent="0.25">
      <c r="A99" s="26">
        <v>3</v>
      </c>
      <c r="B99" s="26">
        <v>97</v>
      </c>
      <c r="C99" s="26" t="str">
        <f t="shared" ca="1" si="4"/>
        <v/>
      </c>
      <c r="D99" s="26" t="str">
        <f t="shared" ca="1" si="5"/>
        <v>_bogota</v>
      </c>
      <c r="E99" s="32" t="str">
        <f t="array" aca="1" ref="E99" ca="1">INDIRECT(ADDRESS(1,A99,1,1,"all_city_parameter_inputs"))</f>
        <v>bogota</v>
      </c>
      <c r="F99" s="32" t="str">
        <f t="array" aca="1" ref="F99" ca="1">IF(AND(ISBLANK(INDIRECT(ADDRESS(B99,2,1,1,"all_city_parameter_inputs"))), ISBLANK(INDIRECT(ADDRESS(B99,1,1,1,"all_city_parameter_inputs")))), "", IF(ISBLANK(INDIRECT(ADDRESS(B99,1,1,1,"all_city_parameter_inputs"))), All_city_list!F98,INDIRECT(ADDRESS(B99,1,1,1,"all_city_parameter_inputs"))))</f>
        <v/>
      </c>
      <c r="G99" s="32" t="str">
        <f t="array" aca="1" ref="G99" ca="1">IF(AND(ISBLANK(INDIRECT(ADDRESS(B99,3,1,1,"all_city_parameter_inputs"))),ISBLANK(INDIRECT(ADDRESS(B99,2,1,1,"all_city_parameter_inputs")))),"",IF(ISBLANK(INDIRECT(ADDRESS(B99,2,1,1,"all_city_parameter_inputs"))),"",INDIRECT(ADDRESS(B99,2,1,1,"all_city_parameter_inputs"))))</f>
        <v/>
      </c>
      <c r="H99" s="33" t="str">
        <f t="array" aca="1" ref="H99" ca="1">IF(ISBLANK(INDIRECT(ADDRESS(B99,A99,1,1,"all_city_parameter_inputs"))), "--",INDIRECT(ADDRESS(B99,A99,1,1,"all_city_parameter_inputs")))</f>
        <v>--</v>
      </c>
      <c r="I99" s="33" t="e">
        <f ca="1">IF(OR(G99="alpha",G99="beta",G99="sd",G99="mean"),"--",VLOOKUP(C99,Default!$B$5:$H$114,7,FALSE()))</f>
        <v>#N/A</v>
      </c>
      <c r="J99" s="32" t="e">
        <f ca="1">VLOOKUP(F99,Lookup!$C$5:$D$110,2, FALSE())</f>
        <v>#N/A</v>
      </c>
      <c r="K99" s="32" t="e">
        <f ca="1">VLOOKUP(C99,Default!$B$4:$E$114,4, FALSE())</f>
        <v>#N/A</v>
      </c>
      <c r="L99" s="44" t="s">
        <v>148</v>
      </c>
      <c r="M99" s="30" t="s">
        <v>129</v>
      </c>
      <c r="N99" s="30"/>
    </row>
    <row r="100" spans="1:14" x14ac:dyDescent="0.25">
      <c r="A100" s="26">
        <v>3</v>
      </c>
      <c r="B100" s="26">
        <v>98</v>
      </c>
      <c r="C100" s="26" t="str">
        <f t="shared" ca="1" si="4"/>
        <v/>
      </c>
      <c r="D100" s="26" t="str">
        <f t="shared" ref="D100:D131" ca="1" si="6">F100&amp;"_"&amp;E100</f>
        <v>_bogota</v>
      </c>
      <c r="E100" s="32" t="str">
        <f t="array" aca="1" ref="E100" ca="1">INDIRECT(ADDRESS(1,A100,1,1,"all_city_parameter_inputs"))</f>
        <v>bogota</v>
      </c>
      <c r="F100" s="32" t="str">
        <f t="array" aca="1" ref="F100" ca="1">IF(AND(ISBLANK(INDIRECT(ADDRESS(B100,2,1,1,"all_city_parameter_inputs"))), ISBLANK(INDIRECT(ADDRESS(B100,1,1,1,"all_city_parameter_inputs")))), "", IF(ISBLANK(INDIRECT(ADDRESS(B100,1,1,1,"all_city_parameter_inputs"))), All_city_list!F99,INDIRECT(ADDRESS(B100,1,1,1,"all_city_parameter_inputs"))))</f>
        <v/>
      </c>
      <c r="G100" s="32" t="str">
        <f t="array" aca="1" ref="G100" ca="1">IF(AND(ISBLANK(INDIRECT(ADDRESS(B100,3,1,1,"all_city_parameter_inputs"))),ISBLANK(INDIRECT(ADDRESS(B100,2,1,1,"all_city_parameter_inputs")))),"",IF(ISBLANK(INDIRECT(ADDRESS(B100,2,1,1,"all_city_parameter_inputs"))),"",INDIRECT(ADDRESS(B100,2,1,1,"all_city_parameter_inputs"))))</f>
        <v/>
      </c>
      <c r="H100" s="33" t="str">
        <f t="array" aca="1" ref="H100" ca="1">IF(ISBLANK(INDIRECT(ADDRESS(B100,A100,1,1,"all_city_parameter_inputs"))), "--",INDIRECT(ADDRESS(B100,A100,1,1,"all_city_parameter_inputs")))</f>
        <v>--</v>
      </c>
      <c r="I100" s="33" t="e">
        <f ca="1">IF(OR(G100="alpha",G100="beta",G100="sd",G100="mean"),"--",VLOOKUP(C100,Default!$B$5:$H$114,7,FALSE()))</f>
        <v>#N/A</v>
      </c>
      <c r="J100" s="32" t="e">
        <f ca="1">VLOOKUP(F100,Lookup!$C$5:$D$110,2, FALSE())</f>
        <v>#N/A</v>
      </c>
      <c r="K100" s="32" t="e">
        <f ca="1">VLOOKUP(C100,Default!$B$4:$E$114,4, FALSE())</f>
        <v>#N/A</v>
      </c>
      <c r="L100" s="44" t="s">
        <v>149</v>
      </c>
      <c r="M100" s="30" t="s">
        <v>150</v>
      </c>
      <c r="N100" s="30"/>
    </row>
    <row r="101" spans="1:14" x14ac:dyDescent="0.25">
      <c r="A101" s="26">
        <v>3</v>
      </c>
      <c r="B101" s="26">
        <v>99</v>
      </c>
      <c r="C101" s="26" t="str">
        <f t="shared" ca="1" si="4"/>
        <v/>
      </c>
      <c r="D101" s="26" t="str">
        <f t="shared" ca="1" si="6"/>
        <v>_bogota</v>
      </c>
      <c r="E101" s="32" t="str">
        <f t="array" aca="1" ref="E101" ca="1">INDIRECT(ADDRESS(1,A101,1,1,"all_city_parameter_inputs"))</f>
        <v>bogota</v>
      </c>
      <c r="F101" s="32" t="str">
        <f t="array" aca="1" ref="F101" ca="1">IF(AND(ISBLANK(INDIRECT(ADDRESS(B101,2,1,1,"all_city_parameter_inputs"))), ISBLANK(INDIRECT(ADDRESS(B101,1,1,1,"all_city_parameter_inputs")))), "", IF(ISBLANK(INDIRECT(ADDRESS(B101,1,1,1,"all_city_parameter_inputs"))), All_city_list!F100,INDIRECT(ADDRESS(B101,1,1,1,"all_city_parameter_inputs"))))</f>
        <v/>
      </c>
      <c r="G101" s="32" t="str">
        <f t="array" aca="1" ref="G101" ca="1">IF(AND(ISBLANK(INDIRECT(ADDRESS(B101,3,1,1,"all_city_parameter_inputs"))),ISBLANK(INDIRECT(ADDRESS(B101,2,1,1,"all_city_parameter_inputs")))),"",IF(ISBLANK(INDIRECT(ADDRESS(B101,2,1,1,"all_city_parameter_inputs"))),"",INDIRECT(ADDRESS(B101,2,1,1,"all_city_parameter_inputs"))))</f>
        <v/>
      </c>
      <c r="H101" s="33" t="str">
        <f t="array" aca="1" ref="H101" ca="1">IF(ISBLANK(INDIRECT(ADDRESS(B101,A101,1,1,"all_city_parameter_inputs"))), "--",INDIRECT(ADDRESS(B101,A101,1,1,"all_city_parameter_inputs")))</f>
        <v>--</v>
      </c>
      <c r="I101" s="33" t="e">
        <f ca="1">IF(OR(G101="alpha",G101="beta",G101="sd",G101="mean"),"--",VLOOKUP(C101,Default!$B$5:$H$114,7,FALSE()))</f>
        <v>#N/A</v>
      </c>
      <c r="J101" s="32" t="e">
        <f ca="1">VLOOKUP(F101,Lookup!$C$5:$D$110,2, FALSE())</f>
        <v>#N/A</v>
      </c>
      <c r="K101" s="32" t="e">
        <f ca="1">VLOOKUP(C101,Default!$B$4:$E$114,4, FALSE())</f>
        <v>#N/A</v>
      </c>
      <c r="L101" s="44" t="s">
        <v>151</v>
      </c>
      <c r="M101" s="30" t="s">
        <v>150</v>
      </c>
      <c r="N101" s="30"/>
    </row>
    <row r="102" spans="1:14" x14ac:dyDescent="0.25">
      <c r="A102" s="26">
        <v>3</v>
      </c>
      <c r="B102" s="26">
        <v>100</v>
      </c>
      <c r="C102" s="26" t="str">
        <f t="shared" ca="1" si="4"/>
        <v/>
      </c>
      <c r="D102" s="26" t="str">
        <f t="shared" ca="1" si="6"/>
        <v>_bogota</v>
      </c>
      <c r="E102" s="32" t="str">
        <f t="array" aca="1" ref="E102" ca="1">INDIRECT(ADDRESS(1,A102,1,1,"all_city_parameter_inputs"))</f>
        <v>bogota</v>
      </c>
      <c r="F102" s="32" t="str">
        <f t="array" aca="1" ref="F102" ca="1">IF(AND(ISBLANK(INDIRECT(ADDRESS(B102,2,1,1,"all_city_parameter_inputs"))), ISBLANK(INDIRECT(ADDRESS(B102,1,1,1,"all_city_parameter_inputs")))), "", IF(ISBLANK(INDIRECT(ADDRESS(B102,1,1,1,"all_city_parameter_inputs"))), All_city_list!F101,INDIRECT(ADDRESS(B102,1,1,1,"all_city_parameter_inputs"))))</f>
        <v/>
      </c>
      <c r="G102" s="32" t="str">
        <f t="array" aca="1" ref="G102" ca="1">IF(AND(ISBLANK(INDIRECT(ADDRESS(B102,3,1,1,"all_city_parameter_inputs"))),ISBLANK(INDIRECT(ADDRESS(B102,2,1,1,"all_city_parameter_inputs")))),"",IF(ISBLANK(INDIRECT(ADDRESS(B102,2,1,1,"all_city_parameter_inputs"))),"",INDIRECT(ADDRESS(B102,2,1,1,"all_city_parameter_inputs"))))</f>
        <v/>
      </c>
      <c r="H102" s="33" t="str">
        <f t="array" aca="1" ref="H102" ca="1">IF(ISBLANK(INDIRECT(ADDRESS(B102,A102,1,1,"all_city_parameter_inputs"))), "--",INDIRECT(ADDRESS(B102,A102,1,1,"all_city_parameter_inputs")))</f>
        <v>--</v>
      </c>
      <c r="I102" s="33" t="e">
        <f ca="1">IF(OR(G102="alpha",G102="beta",G102="sd",G102="mean"),"--",VLOOKUP(C102,Default!$B$5:$H$114,7,FALSE()))</f>
        <v>#N/A</v>
      </c>
      <c r="J102" s="32" t="e">
        <f ca="1">VLOOKUP(F102,Lookup!$C$5:$D$110,2, FALSE())</f>
        <v>#N/A</v>
      </c>
      <c r="K102" s="32" t="e">
        <f ca="1">VLOOKUP(C102,Default!$B$4:$E$114,4, FALSE())</f>
        <v>#N/A</v>
      </c>
      <c r="L102" s="29" t="s">
        <v>152</v>
      </c>
      <c r="M102" s="30"/>
      <c r="N102" s="30"/>
    </row>
    <row r="103" spans="1:14" x14ac:dyDescent="0.25">
      <c r="A103" s="26">
        <v>3</v>
      </c>
      <c r="B103" s="26">
        <v>101</v>
      </c>
      <c r="C103" s="26" t="str">
        <f t="shared" ca="1" si="4"/>
        <v/>
      </c>
      <c r="D103" s="26" t="str">
        <f t="shared" ca="1" si="6"/>
        <v>_bogota</v>
      </c>
      <c r="E103" s="32" t="str">
        <f t="array" aca="1" ref="E103" ca="1">INDIRECT(ADDRESS(1,A103,1,1,"all_city_parameter_inputs"))</f>
        <v>bogota</v>
      </c>
      <c r="F103" s="32" t="str">
        <f t="array" aca="1" ref="F103" ca="1">IF(AND(ISBLANK(INDIRECT(ADDRESS(B103,2,1,1,"all_city_parameter_inputs"))), ISBLANK(INDIRECT(ADDRESS(B103,1,1,1,"all_city_parameter_inputs")))), "", IF(ISBLANK(INDIRECT(ADDRESS(B103,1,1,1,"all_city_parameter_inputs"))), All_city_list!F102,INDIRECT(ADDRESS(B103,1,1,1,"all_city_parameter_inputs"))))</f>
        <v/>
      </c>
      <c r="G103" s="32" t="str">
        <f t="array" aca="1" ref="G103" ca="1">IF(AND(ISBLANK(INDIRECT(ADDRESS(B103,3,1,1,"all_city_parameter_inputs"))),ISBLANK(INDIRECT(ADDRESS(B103,2,1,1,"all_city_parameter_inputs")))),"",IF(ISBLANK(INDIRECT(ADDRESS(B103,2,1,1,"all_city_parameter_inputs"))),"",INDIRECT(ADDRESS(B103,2,1,1,"all_city_parameter_inputs"))))</f>
        <v/>
      </c>
      <c r="H103" s="33" t="str">
        <f t="array" aca="1" ref="H103" ca="1">IF(ISBLANK(INDIRECT(ADDRESS(B103,A103,1,1,"all_city_parameter_inputs"))), "--",INDIRECT(ADDRESS(B103,A103,1,1,"all_city_parameter_inputs")))</f>
        <v>--</v>
      </c>
      <c r="I103" s="33" t="e">
        <f ca="1">IF(OR(G103="alpha",G103="beta",G103="sd",G103="mean"),"--",VLOOKUP(C103,Default!$B$5:$H$114,7,FALSE()))</f>
        <v>#N/A</v>
      </c>
      <c r="J103" s="32" t="e">
        <f ca="1">VLOOKUP(F103,Lookup!$C$5:$D$110,2, FALSE())</f>
        <v>#N/A</v>
      </c>
      <c r="K103" s="32" t="e">
        <f ca="1">VLOOKUP(C103,Default!$B$4:$E$114,4, FALSE())</f>
        <v>#N/A</v>
      </c>
      <c r="L103" s="29" t="s">
        <v>153</v>
      </c>
      <c r="M103" s="30"/>
      <c r="N103" s="30"/>
    </row>
  </sheetData>
  <autoFilter ref="A3:R2775" xr:uid="{00000000-0009-0000-0000-000002000000}"/>
  <hyperlinks>
    <hyperlink ref="L16" r:id="rId1" xr:uid="{00000000-0004-0000-0200-000000000000}"/>
    <hyperlink ref="L25" r:id="rId2" xr:uid="{00000000-0004-0000-0200-000001000000}"/>
    <hyperlink ref="L78" r:id="rId3" xr:uid="{00000000-0004-0000-0200-000002000000}"/>
    <hyperlink ref="L93" r:id="rId4" xr:uid="{00000000-0004-0000-0200-000003000000}"/>
    <hyperlink ref="L94" r:id="rId5" xr:uid="{00000000-0004-0000-0200-000004000000}"/>
    <hyperlink ref="L95" r:id="rId6" xr:uid="{00000000-0004-0000-0200-000005000000}"/>
    <hyperlink ref="L97" r:id="rId7" display="https://www.autofact.com.co/blog/mi-carro/licencias/licencia-c3#:~:text=La%20licencia%20C3%20pertenece%20a,identifican%20por%20llevar%20placa%20blanca., https://data-explorer.oecd.org/vis?df[ds]=DisseminateFinalDMZ&amp;df[id]=DSD_PAG%40DF_PAG&amp;df[ag]=OECD.ELS.SPD&amp;dq=.A.CRPLF22%2BFRPLF22%2BGPRR100%2BATRW%2BATRAEP%2BATRPPAE%2BNPRR100%2BGPW100%2BNPW100%2BFR%2BLE%2BER%2BOAWAR%2BELMEA%2BEYLME%2BEDIOP%2BPTOP%2BOCOP%2BCIOP%2BEIOP%2BAWGW%2BOAIP%2BPEP%2BPPEP....&amp;pd=2019%2C2022&amp;to[TIME_PERIOD]=true&amp;ly[cl]=COMBINED_MEASURE%2CCOMBINED_UNIT_MEASURE%2CTIME_PERIOD&amp;ly[rw]=REF_AREA&amp;vw=tb, You can get your licence with 18, retirement age for men is 62" xr:uid="{00000000-0004-0000-0200-000006000000}"/>
    <hyperlink ref="L98" r:id="rId8" display="https://www.autofact.com.co/blog/mi-carro/licencias/licencia-c3#:~:text=La%20licencia%20C3%20pertenece%20a,identifican%20por%20llevar%20placa%20blanca., https://data-explorer.oecd.org/vis?df[ds]=DisseminateFinalDMZ&amp;df[id]=DSD_PAG%40DF_PAG&amp;df[ag]=OECD.ELS.SPD&amp;dq=.A.CRPLF22%2BFRPLF22%2BGPRR100%2BATRW%2BATRAEP%2BATRPPAE%2BNPRR100%2BGPW100%2BNPW100%2BFR%2BLE%2BER%2BOAWAR%2BELMEA%2BEYLME%2BEDIOP%2BPTOP%2BOCOP%2BCIOP%2BEIOP%2BAWGW%2BOAIP%2BPEP%2BPPEP....&amp;pd=2019%2C2022&amp;to[TIME_PERIOD]=true&amp;ly[cl]=COMBINED_MEASURE%2CCOMBINED_UNIT_MEASURE%2CTIME_PERIOD&amp;ly[rw]=REF_AREA&amp;vw=tb, you can get your licence with 18, retirement age for women is 57" xr:uid="{00000000-0004-0000-0200-000007000000}"/>
  </hyperlinks>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5"/>
  <sheetViews>
    <sheetView zoomScaleNormal="100" workbookViewId="0">
      <selection activeCell="A29" sqref="A29"/>
    </sheetView>
  </sheetViews>
  <sheetFormatPr defaultColWidth="10.140625" defaultRowHeight="15" x14ac:dyDescent="0.25"/>
  <cols>
    <col min="1" max="1" width="29.42578125" style="19" customWidth="1"/>
    <col min="2" max="2" width="8.5703125" customWidth="1"/>
    <col min="3" max="3" width="19" customWidth="1"/>
    <col min="4" max="10" width="8.5703125" customWidth="1"/>
  </cols>
  <sheetData>
    <row r="1" spans="1:10" x14ac:dyDescent="0.25">
      <c r="A1" s="19" t="s">
        <v>63</v>
      </c>
      <c r="B1" s="19" t="s">
        <v>64</v>
      </c>
      <c r="C1" s="19" t="s">
        <v>154</v>
      </c>
    </row>
    <row r="2" spans="1:10" x14ac:dyDescent="0.25">
      <c r="A2" s="19" t="s">
        <v>155</v>
      </c>
      <c r="B2" t="s">
        <v>83</v>
      </c>
      <c r="C2">
        <v>5.8</v>
      </c>
    </row>
    <row r="3" spans="1:10" x14ac:dyDescent="0.25">
      <c r="B3" t="s">
        <v>84</v>
      </c>
    </row>
    <row r="4" spans="1:10" x14ac:dyDescent="0.25">
      <c r="B4" t="s">
        <v>85</v>
      </c>
    </row>
    <row r="5" spans="1:10" x14ac:dyDescent="0.25">
      <c r="A5" s="19" t="s">
        <v>156</v>
      </c>
      <c r="B5" t="s">
        <v>83</v>
      </c>
      <c r="C5">
        <v>2.5</v>
      </c>
    </row>
    <row r="6" spans="1:10" x14ac:dyDescent="0.25">
      <c r="B6" t="s">
        <v>84</v>
      </c>
      <c r="C6" s="45"/>
      <c r="J6" s="45"/>
    </row>
    <row r="7" spans="1:10" x14ac:dyDescent="0.25">
      <c r="B7" t="s">
        <v>85</v>
      </c>
      <c r="C7" s="45"/>
      <c r="J7" s="45"/>
    </row>
    <row r="8" spans="1:10" x14ac:dyDescent="0.25">
      <c r="A8" s="19" t="s">
        <v>157</v>
      </c>
      <c r="B8" t="s">
        <v>83</v>
      </c>
      <c r="C8" s="45">
        <v>0.3</v>
      </c>
      <c r="J8" s="45"/>
    </row>
    <row r="9" spans="1:10" x14ac:dyDescent="0.25">
      <c r="B9" t="s">
        <v>84</v>
      </c>
      <c r="C9" s="45"/>
      <c r="J9" s="45"/>
    </row>
    <row r="10" spans="1:10" x14ac:dyDescent="0.25">
      <c r="B10" t="s">
        <v>85</v>
      </c>
      <c r="C10" s="45"/>
      <c r="J10" s="45"/>
    </row>
    <row r="11" spans="1:10" x14ac:dyDescent="0.25">
      <c r="A11" s="19" t="s">
        <v>158</v>
      </c>
      <c r="B11" t="s">
        <v>83</v>
      </c>
      <c r="C11" s="45">
        <v>1.5</v>
      </c>
      <c r="J11" s="45"/>
    </row>
    <row r="12" spans="1:10" x14ac:dyDescent="0.25">
      <c r="B12" t="s">
        <v>84</v>
      </c>
      <c r="C12" s="45"/>
    </row>
    <row r="13" spans="1:10" x14ac:dyDescent="0.25">
      <c r="B13" t="s">
        <v>85</v>
      </c>
      <c r="C13" s="45"/>
    </row>
    <row r="14" spans="1:10" x14ac:dyDescent="0.25">
      <c r="A14" s="19" t="s">
        <v>159</v>
      </c>
      <c r="B14" t="s">
        <v>83</v>
      </c>
      <c r="C14" s="45">
        <v>1.8</v>
      </c>
    </row>
    <row r="15" spans="1:10" x14ac:dyDescent="0.25">
      <c r="B15" t="s">
        <v>84</v>
      </c>
      <c r="C15" s="45"/>
    </row>
    <row r="16" spans="1:10" x14ac:dyDescent="0.25">
      <c r="B16" t="s">
        <v>85</v>
      </c>
      <c r="C16" s="45"/>
    </row>
    <row r="17" spans="1:3" x14ac:dyDescent="0.25">
      <c r="A17" s="19" t="s">
        <v>160</v>
      </c>
      <c r="B17" t="s">
        <v>83</v>
      </c>
      <c r="C17" s="45">
        <v>0.3</v>
      </c>
    </row>
    <row r="18" spans="1:3" x14ac:dyDescent="0.25">
      <c r="B18" t="s">
        <v>84</v>
      </c>
      <c r="C18" s="45"/>
    </row>
    <row r="19" spans="1:3" x14ac:dyDescent="0.25">
      <c r="B19" t="s">
        <v>85</v>
      </c>
      <c r="C19" s="45"/>
    </row>
    <row r="20" spans="1:3" x14ac:dyDescent="0.25">
      <c r="A20" s="19" t="s">
        <v>161</v>
      </c>
      <c r="B20" t="s">
        <v>83</v>
      </c>
      <c r="C20" s="45">
        <v>1</v>
      </c>
    </row>
    <row r="21" spans="1:3" x14ac:dyDescent="0.25">
      <c r="B21" t="s">
        <v>84</v>
      </c>
      <c r="C21" s="45"/>
    </row>
    <row r="22" spans="1:3" x14ac:dyDescent="0.25">
      <c r="B22" t="s">
        <v>85</v>
      </c>
      <c r="C22" s="45"/>
    </row>
    <row r="23" spans="1:3" x14ac:dyDescent="0.25">
      <c r="A23" s="19" t="s">
        <v>162</v>
      </c>
      <c r="B23" t="s">
        <v>83</v>
      </c>
      <c r="C23" s="45">
        <v>3</v>
      </c>
    </row>
    <row r="24" spans="1:3" x14ac:dyDescent="0.25">
      <c r="B24" t="s">
        <v>84</v>
      </c>
      <c r="C24" s="45"/>
    </row>
    <row r="25" spans="1:3" x14ac:dyDescent="0.25">
      <c r="B25" t="s">
        <v>85</v>
      </c>
      <c r="C25" s="45"/>
    </row>
    <row r="26" spans="1:3" x14ac:dyDescent="0.25">
      <c r="A26" s="19" t="s">
        <v>163</v>
      </c>
      <c r="B26" t="s">
        <v>83</v>
      </c>
      <c r="C26" s="45">
        <v>7</v>
      </c>
    </row>
    <row r="27" spans="1:3" x14ac:dyDescent="0.25">
      <c r="B27" t="s">
        <v>84</v>
      </c>
      <c r="C27" s="45"/>
    </row>
    <row r="28" spans="1:3" x14ac:dyDescent="0.25">
      <c r="B28" t="s">
        <v>85</v>
      </c>
      <c r="C28" s="45"/>
    </row>
    <row r="29" spans="1:3" x14ac:dyDescent="0.25">
      <c r="A29" s="8" t="s">
        <v>164</v>
      </c>
      <c r="C29" t="s">
        <v>165</v>
      </c>
    </row>
    <row r="30" spans="1:3" x14ac:dyDescent="0.25">
      <c r="A30" s="8" t="s">
        <v>166</v>
      </c>
      <c r="C30" t="s">
        <v>165</v>
      </c>
    </row>
    <row r="31" spans="1:3" x14ac:dyDescent="0.25">
      <c r="A31" s="46" t="s">
        <v>167</v>
      </c>
      <c r="B31" s="34"/>
      <c r="C31" s="34">
        <v>15</v>
      </c>
    </row>
    <row r="32" spans="1:3" x14ac:dyDescent="0.25">
      <c r="A32" s="46" t="s">
        <v>168</v>
      </c>
      <c r="B32" s="34"/>
      <c r="C32" s="34">
        <v>69</v>
      </c>
    </row>
    <row r="33" spans="1:3" x14ac:dyDescent="0.25">
      <c r="A33" s="46" t="s">
        <v>169</v>
      </c>
      <c r="B33" s="34"/>
      <c r="C33" s="34" t="s">
        <v>170</v>
      </c>
    </row>
    <row r="34" spans="1:3" x14ac:dyDescent="0.25">
      <c r="A34" s="19" t="s">
        <v>171</v>
      </c>
      <c r="C34">
        <v>5</v>
      </c>
    </row>
    <row r="35" spans="1:3" x14ac:dyDescent="0.25">
      <c r="A35" s="19" t="s">
        <v>172</v>
      </c>
      <c r="C35">
        <v>0.5</v>
      </c>
    </row>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4:K72"/>
  <sheetViews>
    <sheetView topLeftCell="B1" zoomScaleNormal="100" workbookViewId="0">
      <selection activeCell="C5" sqref="C5"/>
    </sheetView>
  </sheetViews>
  <sheetFormatPr defaultColWidth="8.5703125" defaultRowHeight="15" x14ac:dyDescent="0.25"/>
  <cols>
    <col min="1" max="1" width="3.85546875" customWidth="1"/>
    <col min="2" max="2" width="29.42578125" customWidth="1"/>
    <col min="3" max="3" width="35" style="47" customWidth="1"/>
    <col min="4" max="4" width="8.85546875" style="47" customWidth="1"/>
    <col min="5" max="5" width="19" style="47" customWidth="1"/>
    <col min="6" max="6" width="26.85546875" style="47" customWidth="1"/>
    <col min="7" max="7" width="12.5703125" style="47" customWidth="1"/>
    <col min="8" max="8" width="34.5703125" style="47" customWidth="1"/>
    <col min="9" max="9" width="36.5703125" customWidth="1"/>
    <col min="10" max="10" width="13.42578125" customWidth="1"/>
    <col min="11" max="11" width="10.140625" customWidth="1"/>
  </cols>
  <sheetData>
    <row r="4" spans="2:11" x14ac:dyDescent="0.25">
      <c r="B4" s="48" t="s">
        <v>99</v>
      </c>
      <c r="C4" s="49" t="s">
        <v>102</v>
      </c>
      <c r="D4" s="49" t="s">
        <v>103</v>
      </c>
      <c r="E4" s="49" t="s">
        <v>104</v>
      </c>
      <c r="F4" s="49" t="s">
        <v>105</v>
      </c>
      <c r="G4" s="49" t="s">
        <v>106</v>
      </c>
      <c r="H4" s="49" t="s">
        <v>6</v>
      </c>
      <c r="I4" s="19" t="s">
        <v>107</v>
      </c>
      <c r="J4" s="19" t="s">
        <v>108</v>
      </c>
      <c r="K4" s="19" t="s">
        <v>109</v>
      </c>
    </row>
    <row r="5" spans="2:11" x14ac:dyDescent="0.25">
      <c r="B5" s="50" t="s">
        <v>155</v>
      </c>
      <c r="C5" s="51" t="e">
        <f>IF(#REF!="",All_global_list!C4,#REF!)</f>
        <v>#REF!</v>
      </c>
      <c r="D5" s="51" t="e">
        <f>IF(#REF!="","",#REF!)</f>
        <v>#REF!</v>
      </c>
      <c r="E5" s="51" t="e">
        <f>#REF!</f>
        <v>#REF!</v>
      </c>
      <c r="F5" s="51" t="e">
        <f>IF(OR(D5="alpha",D5="beta",D5="sd",D5="mean"),"--",VLOOKUP(B5,Default!$B:$H,7,FALSE()))</f>
        <v>#REF!</v>
      </c>
      <c r="G5" s="51" t="str">
        <f>VLOOKUP(B5,Lookup!$C:$D,2, FALSE())</f>
        <v>PA values</v>
      </c>
      <c r="H5" s="51" t="str">
        <f>VLOOKUP(B5,Default!$B:$E,4, FALSE())</f>
        <v>marginal MET value associated with cycling</v>
      </c>
      <c r="I5" t="s">
        <v>173</v>
      </c>
    </row>
    <row r="6" spans="2:11" x14ac:dyDescent="0.25">
      <c r="B6" s="50" t="s">
        <v>155</v>
      </c>
      <c r="C6" s="51" t="e">
        <f>IF(#REF!="",All_global_list!C5,#REF!)</f>
        <v>#REF!</v>
      </c>
      <c r="D6" s="51" t="e">
        <f>IF(#REF!="","",#REF!)</f>
        <v>#REF!</v>
      </c>
      <c r="E6" s="51" t="e">
        <f>#REF!</f>
        <v>#REF!</v>
      </c>
      <c r="F6" s="51" t="e">
        <f>IF(OR(D6="alpha",D6="beta",D6="sd",D6="mean"),"--",VLOOKUP(B6,Default!$B:$H,7,FALSE()))</f>
        <v>#REF!</v>
      </c>
      <c r="G6" s="51" t="str">
        <f>VLOOKUP(B6,Lookup!$C:$D,2, FALSE())</f>
        <v>PA values</v>
      </c>
      <c r="H6" s="51" t="str">
        <f>VLOOKUP(B6,Default!$B:$E,4, FALSE())</f>
        <v>marginal MET value associated with cycling</v>
      </c>
      <c r="I6" s="52"/>
    </row>
    <row r="7" spans="2:11" x14ac:dyDescent="0.25">
      <c r="B7" s="50" t="s">
        <v>155</v>
      </c>
      <c r="C7" s="51" t="e">
        <f>IF(#REF!="",All_global_list!C6,#REF!)</f>
        <v>#REF!</v>
      </c>
      <c r="D7" s="51" t="e">
        <f>IF(#REF!="","",#REF!)</f>
        <v>#REF!</v>
      </c>
      <c r="E7" s="51" t="e">
        <f>#REF!</f>
        <v>#REF!</v>
      </c>
      <c r="F7" s="51" t="e">
        <f>IF(OR(D7="alpha",D7="beta",D7="sd",D7="mean"),"--",VLOOKUP(B7,Default!$B:$H,7,FALSE()))</f>
        <v>#REF!</v>
      </c>
      <c r="G7" s="51" t="str">
        <f>VLOOKUP(B7,Lookup!$C:$D,2, FALSE())</f>
        <v>PA values</v>
      </c>
      <c r="H7" s="51" t="str">
        <f>VLOOKUP(B7,Default!$B:$E,4, FALSE())</f>
        <v>marginal MET value associated with cycling</v>
      </c>
      <c r="I7" s="52"/>
    </row>
    <row r="8" spans="2:11" x14ac:dyDescent="0.25">
      <c r="B8" s="50" t="s">
        <v>156</v>
      </c>
      <c r="C8" s="51" t="e">
        <f>IF(#REF!="",All_global_list!C7,#REF!)</f>
        <v>#REF!</v>
      </c>
      <c r="D8" s="51" t="e">
        <f>IF(#REF!="","",#REF!)</f>
        <v>#REF!</v>
      </c>
      <c r="E8" s="51" t="e">
        <f>#REF!</f>
        <v>#REF!</v>
      </c>
      <c r="F8" s="51" t="e">
        <f>IF(OR(D8="alpha",D8="beta",D8="sd",D8="mean"),"--",VLOOKUP(B8,Default!$B:$H,7,FALSE()))</f>
        <v>#REF!</v>
      </c>
      <c r="G8" s="51" t="str">
        <f>VLOOKUP(B8,Lookup!$C:$D,2, FALSE())</f>
        <v>PA values</v>
      </c>
      <c r="H8" s="51" t="str">
        <f>VLOOKUP(B8,Default!$B:$E,4, FALSE())</f>
        <v>marginal MET value associated with walking</v>
      </c>
      <c r="I8" t="s">
        <v>174</v>
      </c>
    </row>
    <row r="9" spans="2:11" x14ac:dyDescent="0.25">
      <c r="B9" s="50" t="s">
        <v>156</v>
      </c>
      <c r="C9" s="51" t="e">
        <f>IF(#REF!="",All_global_list!C8,#REF!)</f>
        <v>#REF!</v>
      </c>
      <c r="D9" s="51" t="e">
        <f>IF(#REF!="","",#REF!)</f>
        <v>#REF!</v>
      </c>
      <c r="E9" s="51" t="e">
        <f>#REF!</f>
        <v>#REF!</v>
      </c>
      <c r="F9" s="51" t="e">
        <f>IF(OR(D9="alpha",D9="beta",D9="sd",D9="mean"),"--",VLOOKUP(B9,Default!$B:$H,7,FALSE()))</f>
        <v>#REF!</v>
      </c>
      <c r="G9" s="51" t="str">
        <f>VLOOKUP(B9,Lookup!$C:$D,2, FALSE())</f>
        <v>PA values</v>
      </c>
      <c r="H9" s="51" t="str">
        <f>VLOOKUP(B9,Default!$B:$E,4, FALSE())</f>
        <v>marginal MET value associated with walking</v>
      </c>
      <c r="I9" s="52"/>
    </row>
    <row r="10" spans="2:11" x14ac:dyDescent="0.25">
      <c r="B10" s="50" t="s">
        <v>156</v>
      </c>
      <c r="C10" s="51" t="e">
        <f>IF(#REF!="",All_global_list!C9,#REF!)</f>
        <v>#REF!</v>
      </c>
      <c r="D10" s="51" t="e">
        <f>IF(#REF!="","",#REF!)</f>
        <v>#REF!</v>
      </c>
      <c r="E10" s="51" t="e">
        <f>#REF!</f>
        <v>#REF!</v>
      </c>
      <c r="F10" s="51" t="e">
        <f>IF(OR(D10="alpha",D10="beta",D10="sd",D10="mean"),"--",VLOOKUP(B10,Default!$B:$H,7,FALSE()))</f>
        <v>#REF!</v>
      </c>
      <c r="G10" s="51" t="str">
        <f>VLOOKUP(B10,Lookup!$C:$D,2, FALSE())</f>
        <v>PA values</v>
      </c>
      <c r="H10" s="51" t="str">
        <f>VLOOKUP(B10,Default!$B:$E,4, FALSE())</f>
        <v>marginal MET value associated with walking</v>
      </c>
      <c r="I10" s="52"/>
    </row>
    <row r="11" spans="2:11" x14ac:dyDescent="0.25">
      <c r="B11" s="50" t="s">
        <v>157</v>
      </c>
      <c r="C11" s="51" t="e">
        <f>IF(#REF!="",All_global_list!C10,#REF!)</f>
        <v>#REF!</v>
      </c>
      <c r="D11" s="51" t="e">
        <f>IF(#REF!="","",#REF!)</f>
        <v>#REF!</v>
      </c>
      <c r="E11" s="51" t="e">
        <f>#REF!</f>
        <v>#REF!</v>
      </c>
      <c r="F11" s="51" t="e">
        <f>IF(OR(D11="alpha",D11="beta",D11="sd",D11="mean"),"--",VLOOKUP(B11,Default!$B:$H,7,FALSE()))</f>
        <v>#REF!</v>
      </c>
      <c r="G11" s="51" t="str">
        <f>VLOOKUP(B11,Lookup!$C:$D,2, FALSE())</f>
        <v>PA values</v>
      </c>
      <c r="H11" s="51" t="str">
        <f>VLOOKUP(B11,Default!$B:$E,4, FALSE())</f>
        <v>marginal MET value associated with being a passenger on public transport</v>
      </c>
      <c r="I11" t="s">
        <v>175</v>
      </c>
    </row>
    <row r="12" spans="2:11" x14ac:dyDescent="0.25">
      <c r="B12" s="50" t="s">
        <v>157</v>
      </c>
      <c r="C12" s="51" t="e">
        <f>IF(#REF!="",All_global_list!C11,#REF!)</f>
        <v>#REF!</v>
      </c>
      <c r="D12" s="51" t="e">
        <f>IF(#REF!="","",#REF!)</f>
        <v>#REF!</v>
      </c>
      <c r="E12" s="51" t="e">
        <f>#REF!</f>
        <v>#REF!</v>
      </c>
      <c r="F12" s="51" t="e">
        <f>IF(OR(D12="alpha",D12="beta",D12="sd",D12="mean"),"--",VLOOKUP(B12,Default!$B:$H,7,FALSE()))</f>
        <v>#REF!</v>
      </c>
      <c r="G12" s="51" t="str">
        <f>VLOOKUP(B12,Lookup!$C:$D,2, FALSE())</f>
        <v>PA values</v>
      </c>
      <c r="H12" s="51" t="str">
        <f>VLOOKUP(B12,Default!$B:$E,4, FALSE())</f>
        <v>marginal MET value associated with being a passenger on public transport</v>
      </c>
    </row>
    <row r="13" spans="2:11" x14ac:dyDescent="0.25">
      <c r="B13" s="50" t="s">
        <v>157</v>
      </c>
      <c r="C13" s="51" t="e">
        <f>IF(#REF!="",All_global_list!C12,#REF!)</f>
        <v>#REF!</v>
      </c>
      <c r="D13" s="51" t="e">
        <f>IF(#REF!="","",#REF!)</f>
        <v>#REF!</v>
      </c>
      <c r="E13" s="51" t="e">
        <f>#REF!</f>
        <v>#REF!</v>
      </c>
      <c r="F13" s="51" t="e">
        <f>IF(OR(D13="alpha",D13="beta",D13="sd",D13="mean"),"--",VLOOKUP(B13,Default!$B:$H,7,FALSE()))</f>
        <v>#REF!</v>
      </c>
      <c r="G13" s="51" t="str">
        <f>VLOOKUP(B13,Lookup!$C:$D,2, FALSE())</f>
        <v>PA values</v>
      </c>
      <c r="H13" s="51" t="str">
        <f>VLOOKUP(B13,Default!$B:$E,4, FALSE())</f>
        <v>marginal MET value associated with being a passenger on public transport</v>
      </c>
    </row>
    <row r="14" spans="2:11" x14ac:dyDescent="0.25">
      <c r="B14" s="50" t="s">
        <v>158</v>
      </c>
      <c r="C14" s="51" t="e">
        <f>IF(#REF!="",All_global_list!C13,#REF!)</f>
        <v>#REF!</v>
      </c>
      <c r="D14" s="51" t="e">
        <f>IF(#REF!="","",#REF!)</f>
        <v>#REF!</v>
      </c>
      <c r="E14" s="51" t="e">
        <f>#REF!</f>
        <v>#REF!</v>
      </c>
      <c r="F14" s="51" t="e">
        <f>IF(OR(D14="alpha",D14="beta",D14="sd",D14="mean"),"--",VLOOKUP(B14,Default!$B:$H,7,FALSE()))</f>
        <v>#REF!</v>
      </c>
      <c r="G14" s="51" t="str">
        <f>VLOOKUP(B14,Lookup!$C:$D,2, FALSE())</f>
        <v>PA values</v>
      </c>
      <c r="H14" s="51" t="str">
        <f>VLOOKUP(B14,Default!$B:$E,4, FALSE())</f>
        <v>marginal MET value associated with being a car driver or passenger</v>
      </c>
      <c r="I14" t="s">
        <v>176</v>
      </c>
    </row>
    <row r="15" spans="2:11" x14ac:dyDescent="0.25">
      <c r="B15" s="50" t="s">
        <v>158</v>
      </c>
      <c r="C15" s="51" t="e">
        <f>IF(#REF!="",All_global_list!C14,#REF!)</f>
        <v>#REF!</v>
      </c>
      <c r="D15" s="51" t="e">
        <f>IF(#REF!="","",#REF!)</f>
        <v>#REF!</v>
      </c>
      <c r="E15" s="51" t="e">
        <f>#REF!</f>
        <v>#REF!</v>
      </c>
      <c r="F15" s="51" t="e">
        <f>IF(OR(D15="alpha",D15="beta",D15="sd",D15="mean"),"--",VLOOKUP(B15,Default!$B:$H,7,FALSE()))</f>
        <v>#REF!</v>
      </c>
      <c r="G15" s="51" t="str">
        <f>VLOOKUP(B15,Lookup!$C:$D,2, FALSE())</f>
        <v>PA values</v>
      </c>
      <c r="H15" s="51" t="str">
        <f>VLOOKUP(B15,Default!$B:$E,4, FALSE())</f>
        <v>marginal MET value associated with being a car driver or passenger</v>
      </c>
    </row>
    <row r="16" spans="2:11" x14ac:dyDescent="0.25">
      <c r="B16" s="50" t="s">
        <v>158</v>
      </c>
      <c r="C16" s="51" t="e">
        <f>IF(#REF!="",All_global_list!C15,#REF!)</f>
        <v>#REF!</v>
      </c>
      <c r="D16" s="51" t="e">
        <f>IF(#REF!="","",#REF!)</f>
        <v>#REF!</v>
      </c>
      <c r="E16" s="51" t="e">
        <f>#REF!</f>
        <v>#REF!</v>
      </c>
      <c r="F16" s="51" t="e">
        <f>IF(OR(D16="alpha",D16="beta",D16="sd",D16="mean"),"--",VLOOKUP(B16,Default!$B:$H,7,FALSE()))</f>
        <v>#REF!</v>
      </c>
      <c r="G16" s="51" t="str">
        <f>VLOOKUP(B16,Lookup!$C:$D,2, FALSE())</f>
        <v>PA values</v>
      </c>
      <c r="H16" s="51" t="str">
        <f>VLOOKUP(B16,Default!$B:$E,4, FALSE())</f>
        <v>marginal MET value associated with being a car driver or passenger</v>
      </c>
    </row>
    <row r="17" spans="2:9" x14ac:dyDescent="0.25">
      <c r="B17" s="50" t="s">
        <v>159</v>
      </c>
      <c r="C17" s="51" t="e">
        <f>IF(#REF!="",All_global_list!C16,#REF!)</f>
        <v>#REF!</v>
      </c>
      <c r="D17" s="51" t="e">
        <f>IF(#REF!="","",#REF!)</f>
        <v>#REF!</v>
      </c>
      <c r="E17" s="51" t="e">
        <f>#REF!</f>
        <v>#REF!</v>
      </c>
      <c r="F17" s="51" t="e">
        <f>IF(OR(D17="alpha",D17="beta",D17="sd",D17="mean"),"--",VLOOKUP(B17,Default!$B:$H,7,FALSE()))</f>
        <v>#REF!</v>
      </c>
      <c r="G17" s="51" t="str">
        <f>VLOOKUP(B17,Lookup!$C:$D,2, FALSE())</f>
        <v>PA values</v>
      </c>
      <c r="H17" s="51" t="str">
        <f>VLOOKUP(B17,Default!$B:$E,4, FALSE())</f>
        <v>marginal MET value associated with being a motorcyclist</v>
      </c>
      <c r="I17" t="s">
        <v>177</v>
      </c>
    </row>
    <row r="18" spans="2:9" x14ac:dyDescent="0.25">
      <c r="B18" s="50" t="s">
        <v>159</v>
      </c>
      <c r="C18" s="51" t="e">
        <f>IF(#REF!="",All_global_list!C17,#REF!)</f>
        <v>#REF!</v>
      </c>
      <c r="D18" s="51" t="e">
        <f>IF(#REF!="","",#REF!)</f>
        <v>#REF!</v>
      </c>
      <c r="E18" s="51" t="e">
        <f>#REF!</f>
        <v>#REF!</v>
      </c>
      <c r="F18" s="51" t="e">
        <f>IF(OR(D18="alpha",D18="beta",D18="sd",D18="mean"),"--",VLOOKUP(B18,Default!$B:$H,7,FALSE()))</f>
        <v>#REF!</v>
      </c>
      <c r="G18" s="51" t="str">
        <f>VLOOKUP(B18,Lookup!$C:$D,2, FALSE())</f>
        <v>PA values</v>
      </c>
      <c r="H18" s="51" t="str">
        <f>VLOOKUP(B18,Default!$B:$E,4, FALSE())</f>
        <v>marginal MET value associated with being a motorcyclist</v>
      </c>
    </row>
    <row r="19" spans="2:9" x14ac:dyDescent="0.25">
      <c r="B19" s="50" t="s">
        <v>159</v>
      </c>
      <c r="C19" s="51" t="e">
        <f>IF(#REF!="",All_global_list!C18,#REF!)</f>
        <v>#REF!</v>
      </c>
      <c r="D19" s="51" t="e">
        <f>IF(#REF!="","",#REF!)</f>
        <v>#REF!</v>
      </c>
      <c r="E19" s="51" t="e">
        <f>#REF!</f>
        <v>#REF!</v>
      </c>
      <c r="F19" s="51" t="e">
        <f>IF(OR(D19="alpha",D19="beta",D19="sd",D19="mean"),"--",VLOOKUP(B19,Default!$B:$H,7,FALSE()))</f>
        <v>#REF!</v>
      </c>
      <c r="G19" s="51" t="str">
        <f>VLOOKUP(B19,Lookup!$C:$D,2, FALSE())</f>
        <v>PA values</v>
      </c>
      <c r="H19" s="51" t="str">
        <f>VLOOKUP(B19,Default!$B:$E,4, FALSE())</f>
        <v>marginal MET value associated with being a motorcyclist</v>
      </c>
    </row>
    <row r="20" spans="2:9" x14ac:dyDescent="0.25">
      <c r="B20" s="50" t="s">
        <v>160</v>
      </c>
      <c r="C20" s="51" t="e">
        <f>IF(#REF!="",All_global_list!C19,#REF!)</f>
        <v>#REF!</v>
      </c>
      <c r="D20" s="51" t="e">
        <f>IF(#REF!="","",#REF!)</f>
        <v>#REF!</v>
      </c>
      <c r="E20" s="51" t="e">
        <f>#REF!</f>
        <v>#REF!</v>
      </c>
      <c r="F20" s="51" t="e">
        <f>IF(OR(D20="alpha",D20="beta",D20="sd",D20="mean"),"--",VLOOKUP(B20,Default!$B:$H,7,FALSE()))</f>
        <v>#REF!</v>
      </c>
      <c r="G20" s="51" t="str">
        <f>VLOOKUP(B20,Lookup!$C:$D,2, FALSE())</f>
        <v>PA values</v>
      </c>
      <c r="H20" s="51" t="str">
        <f>VLOOKUP(B20,Default!$B:$E,4, FALSE())</f>
        <v>marginal MET value associated with sedentary activity</v>
      </c>
      <c r="I20" t="s">
        <v>178</v>
      </c>
    </row>
    <row r="21" spans="2:9" x14ac:dyDescent="0.25">
      <c r="B21" s="50" t="s">
        <v>160</v>
      </c>
      <c r="C21" s="51" t="e">
        <f>IF(#REF!="",All_global_list!C20,#REF!)</f>
        <v>#REF!</v>
      </c>
      <c r="D21" s="51" t="e">
        <f>IF(#REF!="","",#REF!)</f>
        <v>#REF!</v>
      </c>
      <c r="E21" s="51" t="e">
        <f>#REF!</f>
        <v>#REF!</v>
      </c>
      <c r="F21" s="51" t="e">
        <f>IF(OR(D21="alpha",D21="beta",D21="sd",D21="mean"),"--",VLOOKUP(B21,Default!$B:$H,7,FALSE()))</f>
        <v>#REF!</v>
      </c>
      <c r="G21" s="51" t="str">
        <f>VLOOKUP(B21,Lookup!$C:$D,2, FALSE())</f>
        <v>PA values</v>
      </c>
      <c r="H21" s="51" t="str">
        <f>VLOOKUP(B21,Default!$B:$E,4, FALSE())</f>
        <v>marginal MET value associated with sedentary activity</v>
      </c>
      <c r="I21" s="52"/>
    </row>
    <row r="22" spans="2:9" x14ac:dyDescent="0.25">
      <c r="B22" s="50" t="s">
        <v>160</v>
      </c>
      <c r="C22" s="51" t="e">
        <f>IF(#REF!="",All_global_list!C21,#REF!)</f>
        <v>#REF!</v>
      </c>
      <c r="D22" s="51" t="e">
        <f>IF(#REF!="","",#REF!)</f>
        <v>#REF!</v>
      </c>
      <c r="E22" s="51" t="e">
        <f>#REF!</f>
        <v>#REF!</v>
      </c>
      <c r="F22" s="51" t="e">
        <f>IF(OR(D22="alpha",D22="beta",D22="sd",D22="mean"),"--",VLOOKUP(B22,Default!$B:$H,7,FALSE()))</f>
        <v>#REF!</v>
      </c>
      <c r="G22" s="51" t="str">
        <f>VLOOKUP(B22,Lookup!$C:$D,2, FALSE())</f>
        <v>PA values</v>
      </c>
      <c r="H22" s="51" t="str">
        <f>VLOOKUP(B22,Default!$B:$E,4, FALSE())</f>
        <v>marginal MET value associated with sedentary activity</v>
      </c>
      <c r="I22" s="52"/>
    </row>
    <row r="23" spans="2:9" x14ac:dyDescent="0.25">
      <c r="B23" s="50" t="s">
        <v>161</v>
      </c>
      <c r="C23" s="51" t="e">
        <f>IF(#REF!="",All_global_list!C22,#REF!)</f>
        <v>#REF!</v>
      </c>
      <c r="D23" s="51" t="e">
        <f>IF(#REF!="","",#REF!)</f>
        <v>#REF!</v>
      </c>
      <c r="E23" s="51" t="e">
        <f>#REF!</f>
        <v>#REF!</v>
      </c>
      <c r="F23" s="51" t="e">
        <f>IF(OR(D23="alpha",D23="beta",D23="sd",D23="mean"),"--",VLOOKUP(B23,Default!$B:$H,7,FALSE()))</f>
        <v>#REF!</v>
      </c>
      <c r="G23" s="51" t="str">
        <f>VLOOKUP(B23,Lookup!$C:$D,2, FALSE())</f>
        <v>PA values</v>
      </c>
      <c r="H23" s="51" t="str">
        <f>VLOOKUP(B23,Default!$B:$E,4, FALSE())</f>
        <v>marginal MET value associated with light activity</v>
      </c>
      <c r="I23" t="s">
        <v>179</v>
      </c>
    </row>
    <row r="24" spans="2:9" x14ac:dyDescent="0.25">
      <c r="B24" s="50" t="s">
        <v>161</v>
      </c>
      <c r="C24" s="51" t="e">
        <f>IF(#REF!="",All_global_list!C23,#REF!)</f>
        <v>#REF!</v>
      </c>
      <c r="D24" s="51" t="e">
        <f>IF(#REF!="","",#REF!)</f>
        <v>#REF!</v>
      </c>
      <c r="E24" s="51" t="e">
        <f>#REF!</f>
        <v>#REF!</v>
      </c>
      <c r="F24" s="51" t="e">
        <f>IF(OR(D24="alpha",D24="beta",D24="sd",D24="mean"),"--",VLOOKUP(B24,Default!$B:$H,7,FALSE()))</f>
        <v>#REF!</v>
      </c>
      <c r="G24" s="51" t="str">
        <f>VLOOKUP(B24,Lookup!$C:$D,2, FALSE())</f>
        <v>PA values</v>
      </c>
      <c r="H24" s="51" t="str">
        <f>VLOOKUP(B24,Default!$B:$E,4, FALSE())</f>
        <v>marginal MET value associated with light activity</v>
      </c>
      <c r="I24" s="52"/>
    </row>
    <row r="25" spans="2:9" x14ac:dyDescent="0.25">
      <c r="B25" s="50" t="s">
        <v>161</v>
      </c>
      <c r="C25" s="51" t="e">
        <f>IF(#REF!="",All_global_list!C24,#REF!)</f>
        <v>#REF!</v>
      </c>
      <c r="D25" s="51" t="e">
        <f>IF(#REF!="","",#REF!)</f>
        <v>#REF!</v>
      </c>
      <c r="E25" s="51" t="e">
        <f>#REF!</f>
        <v>#REF!</v>
      </c>
      <c r="F25" s="51" t="s">
        <v>180</v>
      </c>
      <c r="G25" s="51" t="str">
        <f>VLOOKUP(B25,Lookup!$C:$D,2, FALSE())</f>
        <v>PA values</v>
      </c>
      <c r="H25" s="51" t="str">
        <f>VLOOKUP(B25,Default!$B:$E,4, FALSE())</f>
        <v>marginal MET value associated with light activity</v>
      </c>
      <c r="I25" s="52"/>
    </row>
    <row r="26" spans="2:9" x14ac:dyDescent="0.25">
      <c r="B26" s="50" t="s">
        <v>162</v>
      </c>
      <c r="C26" s="51" t="e">
        <f>IF(#REF!="",All_global_list!C25,#REF!)</f>
        <v>#REF!</v>
      </c>
      <c r="D26" s="51" t="e">
        <f>IF(#REF!="","",#REF!)</f>
        <v>#REF!</v>
      </c>
      <c r="E26" s="51" t="e">
        <f>#REF!</f>
        <v>#REF!</v>
      </c>
      <c r="F26" s="51" t="e">
        <f>IF(OR(D26="alpha",D26="beta",D26="sd",D26="mean"),"--",VLOOKUP(B26,Default!$B:$H,7,FALSE()))</f>
        <v>#REF!</v>
      </c>
      <c r="G26" s="51" t="str">
        <f>VLOOKUP(B26,Lookup!$C:$D,2, FALSE())</f>
        <v>PA values</v>
      </c>
      <c r="H26" s="51" t="str">
        <f>VLOOKUP(B26,Default!$B:$E,4, FALSE())</f>
        <v>marginal MET value associated with moderate activity</v>
      </c>
      <c r="I26" t="s">
        <v>181</v>
      </c>
    </row>
    <row r="27" spans="2:9" x14ac:dyDescent="0.25">
      <c r="B27" s="50" t="s">
        <v>162</v>
      </c>
      <c r="C27" s="51" t="e">
        <f>IF(#REF!="",All_global_list!C26,#REF!)</f>
        <v>#REF!</v>
      </c>
      <c r="D27" s="51" t="e">
        <f>IF(#REF!="","",#REF!)</f>
        <v>#REF!</v>
      </c>
      <c r="E27" s="51" t="e">
        <f>#REF!</f>
        <v>#REF!</v>
      </c>
      <c r="F27" s="51" t="e">
        <f>IF(OR(D27="alpha",D27="beta",D27="sd",D27="mean"),"--",VLOOKUP(B27,Default!$B:$H,7,FALSE()))</f>
        <v>#REF!</v>
      </c>
      <c r="G27" s="51" t="str">
        <f>VLOOKUP(B27,Lookup!$C:$D,2, FALSE())</f>
        <v>PA values</v>
      </c>
      <c r="H27" s="51" t="str">
        <f>VLOOKUP(B27,Default!$B:$E,4, FALSE())</f>
        <v>marginal MET value associated with moderate activity</v>
      </c>
      <c r="I27" s="52"/>
    </row>
    <row r="28" spans="2:9" x14ac:dyDescent="0.25">
      <c r="B28" s="50" t="s">
        <v>162</v>
      </c>
      <c r="C28" s="51" t="e">
        <f>IF(#REF!="",All_global_list!C27,#REF!)</f>
        <v>#REF!</v>
      </c>
      <c r="D28" s="51" t="e">
        <f>IF(#REF!="","",#REF!)</f>
        <v>#REF!</v>
      </c>
      <c r="E28" s="51" t="e">
        <f>#REF!</f>
        <v>#REF!</v>
      </c>
      <c r="F28" s="51" t="e">
        <f>IF(OR(D28="alpha",D28="beta",D28="sd",D28="mean"),"--",VLOOKUP(B28,Default!$B:$H,7,FALSE()))</f>
        <v>#REF!</v>
      </c>
      <c r="G28" s="51" t="str">
        <f>VLOOKUP(B28,Lookup!$C:$D,2, FALSE())</f>
        <v>PA values</v>
      </c>
      <c r="H28" s="51" t="str">
        <f>VLOOKUP(B28,Default!$B:$E,4, FALSE())</f>
        <v>marginal MET value associated with moderate activity</v>
      </c>
      <c r="I28" s="52"/>
    </row>
    <row r="29" spans="2:9" x14ac:dyDescent="0.25">
      <c r="B29" s="50" t="s">
        <v>163</v>
      </c>
      <c r="C29" s="51" t="e">
        <f>IF(#REF!="",All_global_list!C28,#REF!)</f>
        <v>#REF!</v>
      </c>
      <c r="D29" s="51" t="e">
        <f>IF(#REF!="","",#REF!)</f>
        <v>#REF!</v>
      </c>
      <c r="E29" s="51" t="e">
        <f>#REF!</f>
        <v>#REF!</v>
      </c>
      <c r="F29" s="51" t="e">
        <f>IF(OR(D29="alpha",D29="beta",D29="sd",D29="mean"),"--",VLOOKUP(B29,Default!$B:$H,7,FALSE()))</f>
        <v>#REF!</v>
      </c>
      <c r="G29" s="51" t="str">
        <f>VLOOKUP(B29,Lookup!$C:$D,2, FALSE())</f>
        <v>PA values</v>
      </c>
      <c r="H29" s="51" t="str">
        <f>VLOOKUP(B29,Default!$B:$E,4, FALSE())</f>
        <v>marginal MET value associated with vigorous activity</v>
      </c>
      <c r="I29" t="s">
        <v>181</v>
      </c>
    </row>
    <row r="30" spans="2:9" x14ac:dyDescent="0.25">
      <c r="B30" s="50" t="s">
        <v>163</v>
      </c>
      <c r="C30" s="51" t="e">
        <f>IF(#REF!="",All_global_list!C29,#REF!)</f>
        <v>#REF!</v>
      </c>
      <c r="D30" s="51" t="e">
        <f>IF(#REF!="","",#REF!)</f>
        <v>#REF!</v>
      </c>
      <c r="E30" s="51" t="e">
        <f>#REF!</f>
        <v>#REF!</v>
      </c>
      <c r="F30" s="51" t="e">
        <f>IF(OR(D30="alpha",D30="beta",D30="sd",D30="mean"),"--",VLOOKUP(B30,Default!$B:$H,7,FALSE()))</f>
        <v>#REF!</v>
      </c>
      <c r="G30" s="51" t="str">
        <f>VLOOKUP(B30,Lookup!$C:$D,2, FALSE())</f>
        <v>PA values</v>
      </c>
      <c r="H30" s="51" t="str">
        <f>VLOOKUP(B30,Default!$B:$E,4, FALSE())</f>
        <v>marginal MET value associated with vigorous activity</v>
      </c>
      <c r="I30" s="52"/>
    </row>
    <row r="31" spans="2:9" x14ac:dyDescent="0.25">
      <c r="B31" s="50" t="s">
        <v>163</v>
      </c>
      <c r="C31" s="51" t="e">
        <f>IF(#REF!="",All_global_list!C30,#REF!)</f>
        <v>#REF!</v>
      </c>
      <c r="D31" s="51" t="e">
        <f>IF(#REF!="","",#REF!)</f>
        <v>#REF!</v>
      </c>
      <c r="E31" s="51" t="e">
        <f>#REF!</f>
        <v>#REF!</v>
      </c>
      <c r="F31" s="51" t="e">
        <f>IF(OR(D31="alpha",D31="beta",D31="sd",D31="mean"),"--",VLOOKUP(B31,Default!$B:$H,7,FALSE()))</f>
        <v>#REF!</v>
      </c>
      <c r="G31" s="51" t="str">
        <f>VLOOKUP(B31,Lookup!$C:$D,2, FALSE())</f>
        <v>PA values</v>
      </c>
      <c r="H31" s="51" t="str">
        <f>VLOOKUP(B31,Default!$B:$E,4, FALSE())</f>
        <v>marginal MET value associated with vigorous activity</v>
      </c>
      <c r="I31" s="52"/>
    </row>
    <row r="32" spans="2:9" x14ac:dyDescent="0.25">
      <c r="B32" s="50" t="s">
        <v>182</v>
      </c>
      <c r="C32" s="51" t="e">
        <f>IF(#REF!="",All_global_list!C10,#REF!)</f>
        <v>#REF!</v>
      </c>
      <c r="D32" s="51" t="e">
        <f>IF(#REF!="","",#REF!)</f>
        <v>#REF!</v>
      </c>
      <c r="E32" s="51" t="e">
        <f>#REF!</f>
        <v>#REF!</v>
      </c>
      <c r="F32" s="51" t="e">
        <f>IF(OR(D32="alpha",D32="beta",D32="sd",D32="mean"),"--",VLOOKUP(B32,Default!$B:$H,7,FALSE()))</f>
        <v>#REF!</v>
      </c>
      <c r="G32" s="51" t="str">
        <f>VLOOKUP(B32,Lookup!$C:$D,2, FALSE())</f>
        <v>Injury values</v>
      </c>
      <c r="H32" s="51" t="str">
        <f>VLOOKUP(B32,Default!$B:$E,4, FALSE())</f>
        <v>linearity of injuries with respect to two modes. SIN_EXPONENT_SUM=2 means no safety in numbers</v>
      </c>
      <c r="I32" t="s">
        <v>183</v>
      </c>
    </row>
    <row r="33" spans="2:9" x14ac:dyDescent="0.25">
      <c r="B33" s="50" t="s">
        <v>182</v>
      </c>
      <c r="C33" s="51" t="e">
        <f>IF(#REF!="",All_global_list!C32,#REF!)</f>
        <v>#REF!</v>
      </c>
      <c r="D33" s="51" t="e">
        <f>IF(#REF!="","",#REF!)</f>
        <v>#REF!</v>
      </c>
      <c r="E33" s="51" t="e">
        <f>#REF!</f>
        <v>#REF!</v>
      </c>
      <c r="F33" s="51" t="e">
        <f>IF(OR(D33="alpha",D33="beta",D33="sd",D33="mean"),"--",VLOOKUP(B33,Default!$B:$H,7,FALSE()))</f>
        <v>#REF!</v>
      </c>
      <c r="G33" s="51" t="str">
        <f>VLOOKUP(B33,Lookup!$C:$D,2, FALSE())</f>
        <v>Injury values</v>
      </c>
      <c r="H33" s="51"/>
    </row>
    <row r="34" spans="2:9" x14ac:dyDescent="0.25">
      <c r="B34" s="50" t="s">
        <v>182</v>
      </c>
      <c r="C34" s="51" t="e">
        <f>IF(#REF!="",All_global_list!C33,#REF!)</f>
        <v>#REF!</v>
      </c>
      <c r="D34" s="51" t="e">
        <f>IF(#REF!="","",#REF!)</f>
        <v>#REF!</v>
      </c>
      <c r="E34" s="51" t="e">
        <f>#REF!</f>
        <v>#REF!</v>
      </c>
      <c r="F34" s="51" t="e">
        <f>IF(OR(D34="alpha",D34="beta",D34="sd",D34="mean"),"--",VLOOKUP(B34,Default!$B:$H,7,FALSE()))</f>
        <v>#REF!</v>
      </c>
      <c r="G34" s="51" t="str">
        <f>VLOOKUP(B34,Lookup!$C:$D,2, FALSE())</f>
        <v>Injury values</v>
      </c>
      <c r="H34" s="51"/>
    </row>
    <row r="35" spans="2:9" x14ac:dyDescent="0.25">
      <c r="B35" s="50" t="s">
        <v>184</v>
      </c>
      <c r="C35" s="51" t="e">
        <f>IF(#REF!="",All_global_list!C34,#REF!)</f>
        <v>#REF!</v>
      </c>
      <c r="D35" s="51" t="e">
        <f>IF(#REF!="","",#REF!)</f>
        <v>#REF!</v>
      </c>
      <c r="E35" s="51" t="e">
        <f>#REF!</f>
        <v>#REF!</v>
      </c>
      <c r="F35" s="51" t="e">
        <f>IF(OR(D35="alpha",D35="beta",D35="sd",D35="mean"),"--",VLOOKUP(B35,Default!$B:$H,7,FALSE()))</f>
        <v>#REF!</v>
      </c>
      <c r="G35" s="51" t="str">
        <f>VLOOKUP(B35,Lookup!$C:$D,2, FALSE())</f>
        <v>Injury values</v>
      </c>
      <c r="H35" s="51" t="str">
        <f>VLOOKUP(B35,Default!$B:$E,4, FALSE())</f>
        <v>fraction of SIN_EXPONENT_SUM attributed to casualy mode</v>
      </c>
      <c r="I35" t="s">
        <v>183</v>
      </c>
    </row>
    <row r="36" spans="2:9" x14ac:dyDescent="0.25">
      <c r="B36" s="50" t="s">
        <v>184</v>
      </c>
      <c r="C36" s="51" t="e">
        <f>IF(#REF!="",All_global_list!C35,#REF!)</f>
        <v>#REF!</v>
      </c>
      <c r="D36" s="51" t="e">
        <f>IF(#REF!="","",#REF!)</f>
        <v>#REF!</v>
      </c>
      <c r="E36" s="51" t="e">
        <f>#REF!</f>
        <v>#REF!</v>
      </c>
      <c r="F36" s="51" t="e">
        <f>IF(OR(D36="alpha",D36="beta",D36="sd",D36="mean"),"--",VLOOKUP(B36,Default!$B:$H,7,FALSE()))</f>
        <v>#REF!</v>
      </c>
      <c r="G36" s="51" t="str">
        <f>VLOOKUP(B36,Lookup!$C:$D,2, FALSE())</f>
        <v>Injury values</v>
      </c>
      <c r="H36" s="51"/>
    </row>
    <row r="37" spans="2:9" x14ac:dyDescent="0.25">
      <c r="B37" s="50" t="s">
        <v>184</v>
      </c>
      <c r="C37" s="51" t="e">
        <f>IF(#REF!="",All_global_list!C36,#REF!)</f>
        <v>#REF!</v>
      </c>
      <c r="D37" s="51" t="e">
        <f>IF(#REF!="","",#REF!)</f>
        <v>#REF!</v>
      </c>
      <c r="E37" s="51" t="e">
        <f>#REF!</f>
        <v>#REF!</v>
      </c>
      <c r="F37" s="51" t="e">
        <f>IF(OR(D37="alpha",D37="beta",D37="sd",D37="mean"),"--",VLOOKUP(B37,Default!$B:$H,7,FALSE()))</f>
        <v>#REF!</v>
      </c>
      <c r="G37" s="51" t="str">
        <f>VLOOKUP(B37,Lookup!$C:$D,2, FALSE())</f>
        <v>Injury values</v>
      </c>
      <c r="H37" s="51"/>
    </row>
    <row r="38" spans="2:9" x14ac:dyDescent="0.25">
      <c r="B38" s="50" t="s">
        <v>185</v>
      </c>
      <c r="C38" s="51" t="e">
        <f>IF(#REF!="",All_global_list!C37,#REF!)</f>
        <v>#REF!</v>
      </c>
      <c r="D38" s="51" t="e">
        <f>IF(#REF!="","",#REF!)</f>
        <v>#REF!</v>
      </c>
      <c r="E38" s="51" t="e">
        <f>#REF!</f>
        <v>#REF!</v>
      </c>
      <c r="F38" s="51" t="e">
        <f>IF(OR(D38="alpha",D38="beta",D38="sd",D38="mean"),"--",VLOOKUP(B38,Default!$B:$H,7,FALSE()))</f>
        <v>#REF!</v>
      </c>
      <c r="G38" s="51" t="str">
        <f>VLOOKUP(B38,Lookup!$C:$D,2, FALSE())</f>
        <v>Injury values</v>
      </c>
      <c r="H38" s="51" t="str">
        <f>VLOOKUP(B38,Default!$B:$E,4, FALSE())</f>
        <v>same as global SIN_EXPONENT_SUM but only applies to NOV fatalities which means that this coefficient is only relevant for casualty mode and does not get split between cas and str modes.</v>
      </c>
      <c r="I38" t="s">
        <v>183</v>
      </c>
    </row>
    <row r="39" spans="2:9" x14ac:dyDescent="0.25">
      <c r="B39" s="50" t="s">
        <v>185</v>
      </c>
      <c r="C39" s="51" t="e">
        <f>IF(#REF!="",All_global_list!C38,#REF!)</f>
        <v>#REF!</v>
      </c>
      <c r="D39" s="51" t="e">
        <f>IF(#REF!="","",#REF!)</f>
        <v>#REF!</v>
      </c>
      <c r="E39" s="51" t="e">
        <f>#REF!</f>
        <v>#REF!</v>
      </c>
      <c r="F39" s="51" t="e">
        <f>IF(OR(D39="alpha",D39="beta",D39="sd",D39="mean"),"--",VLOOKUP(B39,Default!$B:$H,7,FALSE()))</f>
        <v>#REF!</v>
      </c>
      <c r="G39" s="51" t="str">
        <f>VLOOKUP(B39,Lookup!$C:$D,2, FALSE())</f>
        <v>Injury values</v>
      </c>
      <c r="H39" s="51"/>
    </row>
    <row r="40" spans="2:9" x14ac:dyDescent="0.25">
      <c r="B40" s="50" t="s">
        <v>185</v>
      </c>
      <c r="C40" s="51" t="e">
        <f>IF(#REF!="",All_global_list!C39,#REF!)</f>
        <v>#REF!</v>
      </c>
      <c r="D40" s="51" t="e">
        <f>IF(#REF!="","",#REF!)</f>
        <v>#REF!</v>
      </c>
      <c r="E40" s="51" t="e">
        <f>#REF!</f>
        <v>#REF!</v>
      </c>
      <c r="F40" s="51" t="e">
        <f>IF(OR(D40="alpha",D40="beta",D40="sd",D40="mean"),"--",VLOOKUP(B40,Default!$B:$H,7,FALSE()))</f>
        <v>#REF!</v>
      </c>
      <c r="G40" s="51" t="str">
        <f>VLOOKUP(B40,Lookup!$C:$D,2, FALSE())</f>
        <v>Injury values</v>
      </c>
      <c r="H40" s="51"/>
    </row>
    <row r="41" spans="2:9" x14ac:dyDescent="0.25">
      <c r="B41" s="50" t="s">
        <v>186</v>
      </c>
      <c r="C41" s="51" t="e">
        <f>IF(#REF!="",All_global_list!#REF!,#REF!)</f>
        <v>#REF!</v>
      </c>
      <c r="D41" s="51" t="e">
        <f>IF(#REF!="","",#REF!)</f>
        <v>#REF!</v>
      </c>
      <c r="E41" s="51" t="e">
        <f>#REF!</f>
        <v>#REF!</v>
      </c>
      <c r="F41" s="51" t="e">
        <f>IF(OR(D41="alpha",D41="beta",D41="sd",D41="mean"),"--",VLOOKUP(B41,Default!$B:$H,7,FALSE()))</f>
        <v>#REF!</v>
      </c>
      <c r="G41" s="51" t="str">
        <f>VLOOKUP(B41,Lookup!$C:$D,2, FALSE())</f>
        <v>Injury values</v>
      </c>
      <c r="H41" s="51" t="str">
        <f>VLOOKUP(B41,Default!$B:$E,4, FALSE())</f>
        <v>same as global SIN_EXPONENT_SUM but only applies to cycle fatalities</v>
      </c>
      <c r="I41" t="s">
        <v>183</v>
      </c>
    </row>
    <row r="42" spans="2:9" x14ac:dyDescent="0.25">
      <c r="B42" s="50" t="s">
        <v>186</v>
      </c>
      <c r="C42" s="51" t="e">
        <f>IF(#REF!="",All_global_list!C41,#REF!)</f>
        <v>#REF!</v>
      </c>
      <c r="D42" s="51" t="e">
        <f>IF(#REF!="","",#REF!)</f>
        <v>#REF!</v>
      </c>
      <c r="E42" s="51" t="e">
        <f>#REF!</f>
        <v>#REF!</v>
      </c>
      <c r="F42" s="51" t="e">
        <f>IF(OR(D42="alpha",D42="beta",D42="sd",D42="mean"),"--",VLOOKUP(B42,Default!$B:$H,7,FALSE()))</f>
        <v>#REF!</v>
      </c>
      <c r="G42" s="51" t="str">
        <f>VLOOKUP(B42,Lookup!$C:$D,2, FALSE())</f>
        <v>Injury values</v>
      </c>
      <c r="H42" s="51"/>
    </row>
    <row r="43" spans="2:9" x14ac:dyDescent="0.25">
      <c r="B43" s="50" t="s">
        <v>186</v>
      </c>
      <c r="C43" s="51" t="e">
        <f>IF(#REF!="",All_global_list!C42,#REF!)</f>
        <v>#REF!</v>
      </c>
      <c r="D43" s="51" t="e">
        <f>IF(#REF!="","",#REF!)</f>
        <v>#REF!</v>
      </c>
      <c r="E43" s="51" t="e">
        <f>#REF!</f>
        <v>#REF!</v>
      </c>
      <c r="F43" s="51" t="e">
        <f>IF(OR(D43="alpha",D43="beta",D43="sd",D43="mean"),"--",VLOOKUP(B43,Default!$B:$H,7,FALSE()))</f>
        <v>#REF!</v>
      </c>
      <c r="G43" s="51" t="str">
        <f>VLOOKUP(B43,Lookup!$C:$D,2, FALSE())</f>
        <v>Injury values</v>
      </c>
      <c r="H43" s="51"/>
    </row>
    <row r="44" spans="2:9" x14ac:dyDescent="0.25">
      <c r="B44" s="50" t="s">
        <v>187</v>
      </c>
      <c r="C44" s="51" t="e">
        <f>IF(#REF!="",All_global_list!C43,#REF!)</f>
        <v>#REF!</v>
      </c>
      <c r="D44" s="51" t="e">
        <f>IF(#REF!="","",#REF!)</f>
        <v>#REF!</v>
      </c>
      <c r="E44" s="51" t="e">
        <f>#REF!</f>
        <v>#REF!</v>
      </c>
      <c r="F44" s="51" t="e">
        <f>IF(OR(D44="alpha",D44="beta",D44="sd",D44="mean"),"--",VLOOKUP(B44,Default!$B:$H,7,FALSE()))</f>
        <v>#REF!</v>
      </c>
      <c r="G44" s="51" t="str">
        <f>VLOOKUP(B44,Lookup!$C:$D,2, FALSE())</f>
        <v>Injury values</v>
      </c>
      <c r="H44" s="51" t="str">
        <f>VLOOKUP(B44,Default!$B:$E,4, FALSE())</f>
        <v>same as global CASUALTY_EXPONENT_FRACTION but only applies to cycle fatalities</v>
      </c>
      <c r="I44" t="s">
        <v>183</v>
      </c>
    </row>
    <row r="45" spans="2:9" x14ac:dyDescent="0.25">
      <c r="B45" s="50" t="s">
        <v>187</v>
      </c>
      <c r="C45" s="51" t="e">
        <f>IF(#REF!="",All_global_list!C44,#REF!)</f>
        <v>#REF!</v>
      </c>
      <c r="D45" s="51" t="e">
        <f>IF(#REF!="","",#REF!)</f>
        <v>#REF!</v>
      </c>
      <c r="E45" s="51" t="e">
        <f>#REF!</f>
        <v>#REF!</v>
      </c>
      <c r="F45" s="51" t="e">
        <f>IF(OR(D45="alpha",D45="beta",D45="sd",D45="mean"),"--",VLOOKUP(B45,Default!$B:$H,7,FALSE()))</f>
        <v>#REF!</v>
      </c>
      <c r="G45" s="51" t="str">
        <f>VLOOKUP(B45,Lookup!$C:$D,2, FALSE())</f>
        <v>Injury values</v>
      </c>
      <c r="H45" s="51"/>
    </row>
    <row r="46" spans="2:9" x14ac:dyDescent="0.25">
      <c r="B46" s="50" t="s">
        <v>187</v>
      </c>
      <c r="C46" s="51" t="e">
        <f>IF(#REF!="",All_global_list!C45,#REF!)</f>
        <v>#REF!</v>
      </c>
      <c r="D46" s="51" t="e">
        <f>IF(#REF!="","",#REF!)</f>
        <v>#REF!</v>
      </c>
      <c r="E46" s="51" t="e">
        <f>#REF!</f>
        <v>#REF!</v>
      </c>
      <c r="F46" s="51" t="e">
        <f>IF(OR(D46="alpha",D46="beta",D46="sd",D46="mean"),"--",VLOOKUP(B46,Default!$B:$H,7,FALSE()))</f>
        <v>#REF!</v>
      </c>
      <c r="G46" s="51" t="str">
        <f>VLOOKUP(B46,Lookup!$C:$D,2, FALSE())</f>
        <v>Injury values</v>
      </c>
      <c r="H46" s="51"/>
    </row>
    <row r="47" spans="2:9" x14ac:dyDescent="0.25">
      <c r="B47" s="50" t="s">
        <v>188</v>
      </c>
      <c r="C47" s="51" t="e">
        <f>IF(#REF!="",All_global_list!C46,#REF!)</f>
        <v>#REF!</v>
      </c>
      <c r="D47" s="51" t="e">
        <f>IF(#REF!="","",#REF!)</f>
        <v>#REF!</v>
      </c>
      <c r="E47" s="51" t="e">
        <f>#REF!</f>
        <v>#REF!</v>
      </c>
      <c r="F47" s="51" t="e">
        <f>IF(OR(D47="alpha",D47="beta",D47="sd",D47="mean"),"--",VLOOKUP(B47,Default!$B:$H,7,FALSE()))</f>
        <v>#REF!</v>
      </c>
      <c r="G47" s="51" t="str">
        <f>VLOOKUP(B47,Lookup!$C:$D,2, FALSE())</f>
        <v>Injury values</v>
      </c>
      <c r="H47" s="51" t="str">
        <f>VLOOKUP(B47,Default!$B:$E,4, FALSE())</f>
        <v>same as global SIN_EXPONENT_SUM but only applies to pedestrian fatalities</v>
      </c>
      <c r="I47" t="s">
        <v>183</v>
      </c>
    </row>
    <row r="48" spans="2:9" x14ac:dyDescent="0.25">
      <c r="B48" s="50" t="s">
        <v>188</v>
      </c>
      <c r="C48" s="51" t="e">
        <f>IF(#REF!="",All_global_list!C47,#REF!)</f>
        <v>#REF!</v>
      </c>
      <c r="D48" s="51" t="e">
        <f>IF(#REF!="","",#REF!)</f>
        <v>#REF!</v>
      </c>
      <c r="E48" s="51" t="e">
        <f>#REF!</f>
        <v>#REF!</v>
      </c>
      <c r="F48" s="51" t="e">
        <f>IF(OR(D48="alpha",D48="beta",D48="sd",D48="mean"),"--",VLOOKUP(B48,Default!$B:$H,7,FALSE()))</f>
        <v>#REF!</v>
      </c>
      <c r="G48" s="51" t="str">
        <f>VLOOKUP(B48,Lookup!$C:$D,2, FALSE())</f>
        <v>Injury values</v>
      </c>
      <c r="H48" s="51"/>
    </row>
    <row r="49" spans="2:9" x14ac:dyDescent="0.25">
      <c r="B49" s="50" t="s">
        <v>188</v>
      </c>
      <c r="C49" s="51" t="e">
        <f>IF(#REF!="",All_global_list!C48,#REF!)</f>
        <v>#REF!</v>
      </c>
      <c r="D49" s="51" t="e">
        <f>IF(#REF!="","",#REF!)</f>
        <v>#REF!</v>
      </c>
      <c r="E49" s="51" t="e">
        <f>#REF!</f>
        <v>#REF!</v>
      </c>
      <c r="F49" s="51" t="e">
        <f>IF(OR(D49="alpha",D49="beta",D49="sd",D49="mean"),"--",VLOOKUP(B49,Default!$B:$H,7,FALSE()))</f>
        <v>#REF!</v>
      </c>
      <c r="G49" s="51" t="str">
        <f>VLOOKUP(B49,Lookup!$C:$D,2, FALSE())</f>
        <v>Injury values</v>
      </c>
      <c r="H49" s="51"/>
    </row>
    <row r="50" spans="2:9" x14ac:dyDescent="0.25">
      <c r="B50" s="50" t="s">
        <v>189</v>
      </c>
      <c r="C50" s="51" t="e">
        <f>IF(#REF!="",All_global_list!C49,#REF!)</f>
        <v>#REF!</v>
      </c>
      <c r="D50" s="51" t="e">
        <f>IF(#REF!="","",#REF!)</f>
        <v>#REF!</v>
      </c>
      <c r="E50" s="51" t="e">
        <f>#REF!</f>
        <v>#REF!</v>
      </c>
      <c r="F50" s="51" t="e">
        <f>IF(OR(D50="alpha",D50="beta",D50="sd",D50="mean"),"--",VLOOKUP(B50,Default!$B:$H,7,FALSE()))</f>
        <v>#REF!</v>
      </c>
      <c r="G50" s="51" t="str">
        <f>VLOOKUP(B50,Lookup!$C:$D,2, FALSE())</f>
        <v>Injury values</v>
      </c>
      <c r="H50" s="51" t="str">
        <f>VLOOKUP(B50,Default!$B:$E,4, FALSE())</f>
        <v>same as global CASUALTY_EXPONENT_FRACTION but only applies to pedestrian fatalities</v>
      </c>
      <c r="I50" t="s">
        <v>183</v>
      </c>
    </row>
    <row r="51" spans="2:9" x14ac:dyDescent="0.25">
      <c r="B51" s="50" t="s">
        <v>189</v>
      </c>
      <c r="C51" s="51" t="e">
        <f>IF(#REF!="",All_global_list!C50,#REF!)</f>
        <v>#REF!</v>
      </c>
      <c r="D51" s="51" t="e">
        <f>IF(#REF!="","",#REF!)</f>
        <v>#REF!</v>
      </c>
      <c r="E51" s="51" t="e">
        <f>#REF!</f>
        <v>#REF!</v>
      </c>
      <c r="F51" s="51" t="e">
        <f>IF(OR(D51="alpha",D51="beta",D51="sd",D51="mean"),"--",VLOOKUP(B51,Default!$B:$H,7,FALSE()))</f>
        <v>#REF!</v>
      </c>
      <c r="G51" s="51" t="str">
        <f>VLOOKUP(B51,Lookup!$C:$D,2, FALSE())</f>
        <v>Injury values</v>
      </c>
      <c r="H51" s="51"/>
    </row>
    <row r="52" spans="2:9" x14ac:dyDescent="0.25">
      <c r="B52" s="50" t="s">
        <v>189</v>
      </c>
      <c r="C52" s="51" t="e">
        <f>IF(#REF!="",All_global_list!C51,#REF!)</f>
        <v>#REF!</v>
      </c>
      <c r="D52" s="51" t="e">
        <f>IF(#REF!="","",#REF!)</f>
        <v>#REF!</v>
      </c>
      <c r="E52" s="51" t="e">
        <f>#REF!</f>
        <v>#REF!</v>
      </c>
      <c r="F52" s="51" t="e">
        <f>IF(OR(D52="alpha",D52="beta",D52="sd",D52="mean"),"--",VLOOKUP(B52,Default!$B:$H,7,FALSE()))</f>
        <v>#REF!</v>
      </c>
      <c r="G52" s="51" t="str">
        <f>VLOOKUP(B52,Lookup!$C:$D,2, FALSE())</f>
        <v>Injury values</v>
      </c>
      <c r="H52" s="51"/>
    </row>
    <row r="53" spans="2:9" x14ac:dyDescent="0.25">
      <c r="B53" s="50" t="s">
        <v>190</v>
      </c>
      <c r="C53" s="51" t="e">
        <f>IF(#REF!="",All_global_list!C52,#REF!)</f>
        <v>#REF!</v>
      </c>
      <c r="D53" s="51" t="e">
        <f>IF(#REF!="","",#REF!)</f>
        <v>#REF!</v>
      </c>
      <c r="E53" s="51" t="e">
        <f>#REF!</f>
        <v>#REF!</v>
      </c>
      <c r="F53" s="51" t="e">
        <f>IF(OR(D53="alpha",D53="beta",D53="sd",D53="mean"),"--",VLOOKUP(B53,Default!$B:$H,7,FALSE()))</f>
        <v>#REF!</v>
      </c>
      <c r="G53" s="51" t="str">
        <f>VLOOKUP(B53,Lookup!$C:$D,2, FALSE())</f>
        <v>Injury values</v>
      </c>
      <c r="H53" s="51" t="str">
        <f>VLOOKUP(B53,Default!$B:$E,4, FALSE())</f>
        <v>same as global SIN_EXPONENT_SUM but only applies to vehicle fatalities</v>
      </c>
      <c r="I53" t="s">
        <v>183</v>
      </c>
    </row>
    <row r="54" spans="2:9" x14ac:dyDescent="0.25">
      <c r="B54" s="50" t="s">
        <v>190</v>
      </c>
      <c r="C54" s="51" t="e">
        <f>IF(#REF!="",All_global_list!C53,#REF!)</f>
        <v>#REF!</v>
      </c>
      <c r="D54" s="51" t="e">
        <f>IF(#REF!="","",#REF!)</f>
        <v>#REF!</v>
      </c>
      <c r="E54" s="51" t="e">
        <f>#REF!</f>
        <v>#REF!</v>
      </c>
      <c r="F54" s="51" t="e">
        <f>IF(OR(D54="alpha",D54="beta",D54="sd",D54="mean"),"--",VLOOKUP(B54,Default!$B:$H,7,FALSE()))</f>
        <v>#REF!</v>
      </c>
      <c r="G54" s="51" t="str">
        <f>VLOOKUP(B54,Lookup!$C:$D,2, FALSE())</f>
        <v>Injury values</v>
      </c>
      <c r="H54" s="51"/>
    </row>
    <row r="55" spans="2:9" x14ac:dyDescent="0.25">
      <c r="B55" s="50" t="s">
        <v>190</v>
      </c>
      <c r="C55" s="51" t="e">
        <f>IF(#REF!="",All_global_list!C54,#REF!)</f>
        <v>#REF!</v>
      </c>
      <c r="D55" s="51" t="e">
        <f>IF(#REF!="","",#REF!)</f>
        <v>#REF!</v>
      </c>
      <c r="E55" s="51" t="e">
        <f>#REF!</f>
        <v>#REF!</v>
      </c>
      <c r="F55" s="51" t="e">
        <f>IF(OR(D55="alpha",D55="beta",D55="sd",D55="mean"),"--",VLOOKUP(B55,Default!$B:$H,7,FALSE()))</f>
        <v>#REF!</v>
      </c>
      <c r="G55" s="51" t="str">
        <f>VLOOKUP(B55,Lookup!$C:$D,2, FALSE())</f>
        <v>Injury values</v>
      </c>
      <c r="H55" s="51"/>
    </row>
    <row r="56" spans="2:9" x14ac:dyDescent="0.25">
      <c r="B56" s="50" t="s">
        <v>191</v>
      </c>
      <c r="C56" s="51" t="e">
        <f>IF(#REF!="",All_global_list!C55,#REF!)</f>
        <v>#REF!</v>
      </c>
      <c r="D56" s="51" t="e">
        <f>IF(#REF!="","",#REF!)</f>
        <v>#REF!</v>
      </c>
      <c r="E56" s="51" t="e">
        <f>#REF!</f>
        <v>#REF!</v>
      </c>
      <c r="F56" s="51" t="e">
        <f>IF(OR(D56="alpha",D56="beta",D56="sd",D56="mean"),"--",VLOOKUP(B56,Default!$B:$H,7,FALSE()))</f>
        <v>#REF!</v>
      </c>
      <c r="G56" s="51" t="str">
        <f>VLOOKUP(B56,Lookup!$C:$D,2, FALSE())</f>
        <v>Injury values</v>
      </c>
      <c r="H56" s="51" t="str">
        <f>VLOOKUP(B56,Default!$B:$E,4, FALSE())</f>
        <v>same as global CASUALTY_EXPONENT_FRACTION but only applies vehicle fatalities</v>
      </c>
      <c r="I56" t="s">
        <v>183</v>
      </c>
    </row>
    <row r="57" spans="2:9" x14ac:dyDescent="0.25">
      <c r="B57" s="50" t="s">
        <v>191</v>
      </c>
      <c r="C57" s="51" t="e">
        <f>IF(#REF!="",All_global_list!C56,#REF!)</f>
        <v>#REF!</v>
      </c>
      <c r="D57" s="51" t="e">
        <f>IF(#REF!="","",#REF!)</f>
        <v>#REF!</v>
      </c>
      <c r="E57" s="51" t="e">
        <f>#REF!</f>
        <v>#REF!</v>
      </c>
      <c r="F57" s="51" t="e">
        <f>IF(OR(D57="alpha",D57="beta",D57="sd",D57="mean"),"--",VLOOKUP(B57,Default!$B:$H,7,FALSE()))</f>
        <v>#REF!</v>
      </c>
      <c r="G57" s="51" t="str">
        <f>VLOOKUP(B57,Lookup!$C:$D,2, FALSE())</f>
        <v>Injury values</v>
      </c>
      <c r="H57" s="51"/>
    </row>
    <row r="58" spans="2:9" x14ac:dyDescent="0.25">
      <c r="B58" s="50" t="s">
        <v>191</v>
      </c>
      <c r="C58" s="51" t="e">
        <f>IF(#REF!="",All_global_list!C57,#REF!)</f>
        <v>#REF!</v>
      </c>
      <c r="D58" s="51" t="e">
        <f>IF(#REF!="","",#REF!)</f>
        <v>#REF!</v>
      </c>
      <c r="E58" s="51" t="e">
        <f>#REF!</f>
        <v>#REF!</v>
      </c>
      <c r="F58" s="51" t="e">
        <f>IF(OR(D58="alpha",D58="beta",D58="sd",D58="mean"),"--",VLOOKUP(B58,Default!$B:$H,7,FALSE()))</f>
        <v>#REF!</v>
      </c>
      <c r="G58" s="51" t="str">
        <f>VLOOKUP(B58,Lookup!$C:$D,2, FALSE())</f>
        <v>Injury values</v>
      </c>
      <c r="H58" s="51"/>
    </row>
    <row r="59" spans="2:9" x14ac:dyDescent="0.25">
      <c r="B59" s="50" t="s">
        <v>192</v>
      </c>
      <c r="C59" s="51" t="e">
        <f>IF(#REF!="",All_global_list!C58,#REF!)</f>
        <v>#REF!</v>
      </c>
      <c r="D59" s="51" t="e">
        <f>IF(#REF!="","",#REF!)</f>
        <v>#REF!</v>
      </c>
      <c r="E59" s="51" t="e">
        <f>#REF!</f>
        <v>#REF!</v>
      </c>
      <c r="F59" s="51" t="e">
        <f>IF(OR(D59="alpha",D59="beta",D59="sd",D59="mean"),"--",VLOOKUP(B59,Default!$B:$H,7,FALSE()))</f>
        <v>#REF!</v>
      </c>
      <c r="G59" s="51" t="str">
        <f>VLOOKUP(B59,Lookup!$C:$D,2, FALSE())</f>
        <v>Injury values</v>
      </c>
      <c r="H59" s="51" t="str">
        <f>VLOOKUP(B59,Default!$B:$E,4, FALSE())</f>
        <v>flag as to whether to use the overall safety in number parameters or, if if set to TRUE, call the safety in number exponents for different victim modes</v>
      </c>
      <c r="I59" t="s">
        <v>193</v>
      </c>
    </row>
    <row r="60" spans="2:9" x14ac:dyDescent="0.25">
      <c r="B60" s="50" t="s">
        <v>194</v>
      </c>
      <c r="C60" s="51" t="e">
        <f>IF(#REF!="",All_global_list!#REF!,#REF!)</f>
        <v>#REF!</v>
      </c>
      <c r="D60" s="51" t="e">
        <f>IF(#REF!="","",#REF!)</f>
        <v>#REF!</v>
      </c>
      <c r="E60" s="51" t="e">
        <f>#REF!</f>
        <v>#REF!</v>
      </c>
      <c r="F60" s="51" t="e">
        <f>IF(OR(D60="alpha",D60="beta",D60="sd",D60="mean"),"--",VLOOKUP(B60,Default!$B:$H,7,FALSE()))</f>
        <v>#REF!</v>
      </c>
      <c r="G60" s="51" t="str">
        <f>VLOOKUP(B60,Lookup!$C:$D,2, FALSE())</f>
        <v>Travel values</v>
      </c>
      <c r="H60" s="51" t="str">
        <f>VLOOKUP(B60,Default!$B:$E,4, FALSE())</f>
        <v>whether to add truck drivers as ghost trips based on the TRUCK_TO_CAR_RATIO</v>
      </c>
      <c r="I60" t="s">
        <v>195</v>
      </c>
    </row>
    <row r="61" spans="2:9" x14ac:dyDescent="0.25">
      <c r="B61" s="50" t="s">
        <v>196</v>
      </c>
      <c r="C61" s="51" t="e">
        <f>IF(#REF!="",All_global_list!C60,#REF!)</f>
        <v>#REF!</v>
      </c>
      <c r="D61" s="51" t="e">
        <f>IF(#REF!="","",#REF!)</f>
        <v>#REF!</v>
      </c>
      <c r="E61" s="51" t="e">
        <f>#REF!</f>
        <v>#REF!</v>
      </c>
      <c r="F61" s="51" t="e">
        <f>IF(OR(D61="alpha",D61="beta",D61="sd",D61="mean"),"--",VLOOKUP(B61,Default!$B:$H,7,FALSE()))</f>
        <v>#REF!</v>
      </c>
      <c r="G61" s="51" t="str">
        <f>VLOOKUP(B61,Lookup!$C:$D,2, FALSE())</f>
        <v>Travel values</v>
      </c>
      <c r="H61" s="51" t="str">
        <f>VLOOKUP(B61,Default!$B:$E,4, FALSE())</f>
        <v>whether to add bus drivers, if set to T adds ghost trips, i.e. trips not taken by any participant, using the bus_to_passenger_ratio</v>
      </c>
      <c r="I61" t="s">
        <v>195</v>
      </c>
    </row>
    <row r="62" spans="2:9" x14ac:dyDescent="0.25">
      <c r="B62" s="50" t="s">
        <v>197</v>
      </c>
      <c r="C62" s="51" t="e">
        <f>IF(#REF!="",All_global_list!C61,#REF!)</f>
        <v>#REF!</v>
      </c>
      <c r="D62" s="51" t="e">
        <f>IF(#REF!="","",#REF!)</f>
        <v>#REF!</v>
      </c>
      <c r="E62" s="51" t="e">
        <f>#REF!</f>
        <v>#REF!</v>
      </c>
      <c r="F62" s="51" t="e">
        <f>IF(OR(D62="alpha",D62="beta",D62="sd",D62="mean"),"--",VLOOKUP(B62,Default!$B:$H,7,FALSE()))</f>
        <v>#REF!</v>
      </c>
      <c r="G62" s="51" t="str">
        <f>VLOOKUP(B62,Lookup!$C:$D,2, FALSE())</f>
        <v>Travel values</v>
      </c>
      <c r="H62" s="51" t="str">
        <f>VLOOKUP(B62,Default!$B:$E,4, FALSE())</f>
        <v>whether or not to add car drivers (or rather look at car numbers). Individual cars are calculated by multiplying total passenger car km by the car_occupancy_ratio</v>
      </c>
      <c r="I62" t="s">
        <v>195</v>
      </c>
    </row>
    <row r="63" spans="2:9" x14ac:dyDescent="0.25">
      <c r="B63" s="50" t="s">
        <v>198</v>
      </c>
      <c r="C63" s="51" t="e">
        <f>IF(#REF!="",All_global_list!C61,#REF!)</f>
        <v>#REF!</v>
      </c>
      <c r="D63" s="51" t="e">
        <f>IF(#REF!="","",#REF!)</f>
        <v>#REF!</v>
      </c>
      <c r="E63" s="51" t="e">
        <f>#REF!</f>
        <v>#REF!</v>
      </c>
      <c r="F63" s="51" t="e">
        <f>IF(OR(D63="alpha",D63="beta",D63="sd",D63="mean"),"--",VLOOKUP(B63,Default!$B:$H,7,FALSE()))</f>
        <v>#REF!</v>
      </c>
      <c r="G63" s="51" t="str">
        <f>VLOOKUP(B63,Lookup!$C:$D,2, FALSE())</f>
        <v>Health values</v>
      </c>
      <c r="H63" s="53" t="s">
        <v>199</v>
      </c>
      <c r="I63" t="s">
        <v>200</v>
      </c>
    </row>
    <row r="64" spans="2:9" x14ac:dyDescent="0.25">
      <c r="B64" s="50" t="s">
        <v>201</v>
      </c>
      <c r="C64" s="51" t="e">
        <f>IF(#REF!="",All_global_list!C63,#REF!)</f>
        <v>#REF!</v>
      </c>
      <c r="D64" s="51" t="e">
        <f>IF(#REF!="","",#REF!)</f>
        <v>#REF!</v>
      </c>
      <c r="E64" s="51" t="e">
        <f>#REF!</f>
        <v>#REF!</v>
      </c>
      <c r="F64" s="51" t="e">
        <f>IF(OR(D64="alpha",D64="beta",D64="sd",D64="mean"),"--",VLOOKUP(B64,Default!$B:$H,7,FALSE()))</f>
        <v>#REF!</v>
      </c>
      <c r="G64" s="51" t="str">
        <f>VLOOKUP(B64,Lookup!$C:$D,2, FALSE())</f>
        <v>Health values</v>
      </c>
      <c r="H64" s="51" t="str">
        <f>VLOOKUP(B64,Default!$B:$E,4, FALSE())</f>
        <v>whether or not to sample from dose response curves</v>
      </c>
      <c r="I64" t="s">
        <v>200</v>
      </c>
    </row>
    <row r="65" spans="2:9" ht="14.25" customHeight="1" x14ac:dyDescent="0.25">
      <c r="B65" s="50" t="s">
        <v>202</v>
      </c>
      <c r="C65" s="51" t="e">
        <f>IF(#REF!="",All_global_list!C64,#REF!)</f>
        <v>#REF!</v>
      </c>
      <c r="D65" s="51" t="e">
        <f>IF(#REF!="","",#REF!)</f>
        <v>#REF!</v>
      </c>
      <c r="E65" s="51" t="e">
        <f>#REF!</f>
        <v>#REF!</v>
      </c>
      <c r="F65" s="51" t="e">
        <f>IF(OR(D65="alpha",D65="beta",D65="sd",D65="mean"),"--",VLOOKUP(B65,Default!$B:$H,7,FALSE()))</f>
        <v>#REF!</v>
      </c>
      <c r="G65" s="51" t="str">
        <f>VLOOKUP(B65,Lookup!$C:$D,2, FALSE())</f>
        <v>Miscellaneous</v>
      </c>
      <c r="H65" s="51" t="str">
        <f>VLOOKUP(B65,Default!$B:$E,4, FALSE())</f>
        <v>age range considered</v>
      </c>
      <c r="I65" t="s">
        <v>203</v>
      </c>
    </row>
    <row r="66" spans="2:9" x14ac:dyDescent="0.25">
      <c r="B66" s="50" t="s">
        <v>202</v>
      </c>
      <c r="C66" s="51" t="e">
        <f>IF(#REF!="",All_global_list!C65,#REF!)</f>
        <v>#REF!</v>
      </c>
      <c r="D66" s="51" t="e">
        <f>IF(#REF!="","",#REF!)</f>
        <v>#REF!</v>
      </c>
      <c r="E66" s="51" t="e">
        <f>#REF!</f>
        <v>#REF!</v>
      </c>
      <c r="F66" s="51" t="e">
        <f>IF(OR(D66="alpha",D66="beta",D66="sd",D66="mean"),"--",VLOOKUP(B66,Default!$B:$H,7,FALSE()))</f>
        <v>#REF!</v>
      </c>
      <c r="G66" s="51" t="str">
        <f>VLOOKUP(B66,Lookup!$C:$D,2, FALSE())</f>
        <v>Miscellaneous</v>
      </c>
      <c r="H66" s="51" t="str">
        <f>VLOOKUP(B66,Default!$B:$E,4, FALSE())</f>
        <v>age range considered</v>
      </c>
      <c r="I66" t="s">
        <v>203</v>
      </c>
    </row>
    <row r="67" spans="2:9" x14ac:dyDescent="0.25">
      <c r="B67" s="50" t="s">
        <v>169</v>
      </c>
      <c r="C67" s="51" t="e">
        <f>IF(#REF!="",All_global_list!C66,#REF!)</f>
        <v>#REF!</v>
      </c>
      <c r="D67" s="51" t="e">
        <f>IF(#REF!="","",#REF!)</f>
        <v>#REF!</v>
      </c>
      <c r="E67" s="51" t="e">
        <f>#REF!</f>
        <v>#REF!</v>
      </c>
      <c r="F67" s="51" t="e">
        <f>IF(OR(D67="alpha",D67="beta",D67="sd",D67="mean"),"--",VLOOKUP(B67,Default!$B:$H,7,FALSE()))</f>
        <v>#REF!</v>
      </c>
      <c r="G67" s="51" t="str">
        <f>VLOOKUP(B67,Lookup!$C:$D,2, FALSE())</f>
        <v>Miscellaneous</v>
      </c>
      <c r="H67" s="51" t="str">
        <f>VLOOKUP(B67,Default!$B:$E,4, FALSE())</f>
        <v>distance categories for trip lengths</v>
      </c>
      <c r="I67" t="s">
        <v>204</v>
      </c>
    </row>
    <row r="68" spans="2:9" x14ac:dyDescent="0.25">
      <c r="C68" s="51" t="e">
        <f>IF(#REF!="",All_global_list!C67,#REF!)</f>
        <v>#REF!</v>
      </c>
      <c r="D68" s="51" t="e">
        <f>IF(#REF!="","",#REF!)</f>
        <v>#REF!</v>
      </c>
      <c r="E68" s="51" t="e">
        <f>#REF!</f>
        <v>#REF!</v>
      </c>
      <c r="F68" s="53" t="s">
        <v>205</v>
      </c>
      <c r="G68" s="53" t="s">
        <v>206</v>
      </c>
      <c r="H68" s="53" t="s">
        <v>207</v>
      </c>
      <c r="I68" t="s">
        <v>204</v>
      </c>
    </row>
    <row r="69" spans="2:9" x14ac:dyDescent="0.25">
      <c r="C69" s="51" t="e">
        <f>IF(#REF!="",All_global_list!C68,#REF!)</f>
        <v>#REF!</v>
      </c>
      <c r="D69" s="51" t="e">
        <f>IF(#REF!="","",#REF!)</f>
        <v>#REF!</v>
      </c>
      <c r="E69" s="51" t="e">
        <f>#REF!</f>
        <v>#REF!</v>
      </c>
      <c r="F69" s="53" t="s">
        <v>205</v>
      </c>
      <c r="G69" s="53" t="s">
        <v>206</v>
      </c>
      <c r="H69" s="53" t="s">
        <v>207</v>
      </c>
      <c r="I69" t="s">
        <v>204</v>
      </c>
    </row>
    <row r="70" spans="2:9" x14ac:dyDescent="0.25">
      <c r="C70" s="51" t="e">
        <f>IF(#REF!="",All_global_list!C69,#REF!)</f>
        <v>#REF!</v>
      </c>
      <c r="D70" s="51" t="e">
        <f>IF(#REF!="","",#REF!)</f>
        <v>#REF!</v>
      </c>
      <c r="E70" s="51" t="e">
        <f>#REF!</f>
        <v>#REF!</v>
      </c>
      <c r="F70" s="53" t="s">
        <v>205</v>
      </c>
      <c r="G70" s="53" t="s">
        <v>206</v>
      </c>
      <c r="H70" s="53" t="s">
        <v>207</v>
      </c>
      <c r="I70" t="s">
        <v>204</v>
      </c>
    </row>
    <row r="71" spans="2:9" x14ac:dyDescent="0.25">
      <c r="B71" s="50" t="s">
        <v>171</v>
      </c>
      <c r="C71" s="51" t="e">
        <f>IF(#REF!="",All_global_list!C70,#REF!)</f>
        <v>#REF!</v>
      </c>
      <c r="D71" s="51" t="e">
        <f>IF(#REF!="","",#REF!)</f>
        <v>#REF!</v>
      </c>
      <c r="E71" s="51" t="e">
        <f>#REF!</f>
        <v>#REF!</v>
      </c>
      <c r="F71" s="51" t="e">
        <f>IF(OR(D71="alpha",D71="beta",D71="sd",D71="mean"),"--",VLOOKUP(B71,Default!$B:$H,7,FALSE()))</f>
        <v>#REF!</v>
      </c>
      <c r="G71" s="51" t="str">
        <f>VLOOKUP(B71,Lookup!$C:$D,2, FALSE())</f>
        <v>Travel values</v>
      </c>
      <c r="H71" s="51" t="str">
        <f>VLOOKUP(B71,Default!$B:$E,4, FALSE())</f>
        <v>minimum time spent on public transport when adding walking component to public transport trip</v>
      </c>
      <c r="I71" t="s">
        <v>204</v>
      </c>
    </row>
    <row r="72" spans="2:9" x14ac:dyDescent="0.25">
      <c r="B72" s="50" t="s">
        <v>172</v>
      </c>
      <c r="C72" s="51" t="e">
        <f>IF(#REF!="",All_global_list!C71,#REF!)</f>
        <v>#REF!</v>
      </c>
      <c r="D72" s="51" t="e">
        <f>IF(#REF!="","",#REF!)</f>
        <v>#REF!</v>
      </c>
      <c r="E72" s="51" t="e">
        <f>#REF!</f>
        <v>#REF!</v>
      </c>
      <c r="F72" s="51" t="e">
        <f>IF(OR(D72="alpha",D72="beta",D72="sd",D72="mean"),"--",VLOOKUP(B72,Default!$B:$H,7,FALSE()))</f>
        <v>#REF!</v>
      </c>
      <c r="G72" s="51" t="str">
        <f>VLOOKUP(B72,Lookup!$C:$D,2, FALSE())</f>
        <v>Health values</v>
      </c>
      <c r="H72" s="51" t="str">
        <f>VLOOKUP(B72,Default!$B:$E,4, FALSE())</f>
        <v>To reverse  time spent in moderate and vigorous activities from mmet values</v>
      </c>
      <c r="I72" t="s">
        <v>204</v>
      </c>
    </row>
  </sheetData>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P116"/>
  <sheetViews>
    <sheetView topLeftCell="A17" zoomScale="80" zoomScaleNormal="80" workbookViewId="0">
      <selection activeCell="J39" sqref="J39"/>
    </sheetView>
  </sheetViews>
  <sheetFormatPr defaultColWidth="8.5703125" defaultRowHeight="15" x14ac:dyDescent="0.25"/>
  <cols>
    <col min="1" max="1" width="4.42578125" customWidth="1"/>
    <col min="2" max="2" width="13.5703125" style="50" customWidth="1"/>
    <col min="4" max="4" width="36.42578125" customWidth="1"/>
    <col min="5" max="5" width="12.42578125" style="13" customWidth="1"/>
    <col min="6" max="6" width="16.42578125" customWidth="1"/>
    <col min="7" max="7" width="11.42578125" customWidth="1"/>
    <col min="8" max="8" width="7.42578125" customWidth="1"/>
    <col min="9" max="9" width="18" customWidth="1"/>
  </cols>
  <sheetData>
    <row r="2" spans="2:16" x14ac:dyDescent="0.25">
      <c r="F2" s="54" t="s">
        <v>208</v>
      </c>
      <c r="G2" s="34"/>
      <c r="H2" s="34"/>
      <c r="I2" s="34"/>
      <c r="J2" s="34"/>
      <c r="K2" s="34"/>
      <c r="L2" s="34"/>
      <c r="M2" s="34"/>
      <c r="N2" s="34"/>
      <c r="O2" s="34"/>
      <c r="P2" s="34"/>
    </row>
    <row r="3" spans="2:16" x14ac:dyDescent="0.25">
      <c r="B3" s="50" t="s">
        <v>209</v>
      </c>
    </row>
    <row r="4" spans="2:16" x14ac:dyDescent="0.25">
      <c r="B4" s="19" t="s">
        <v>210</v>
      </c>
      <c r="C4" s="8" t="s">
        <v>106</v>
      </c>
      <c r="D4" s="19" t="s">
        <v>102</v>
      </c>
      <c r="E4" s="15" t="s">
        <v>6</v>
      </c>
      <c r="F4" s="19" t="s">
        <v>211</v>
      </c>
      <c r="G4" s="19" t="s">
        <v>212</v>
      </c>
      <c r="H4" s="19" t="s">
        <v>213</v>
      </c>
      <c r="I4" s="19" t="s">
        <v>214</v>
      </c>
      <c r="J4" s="19" t="s">
        <v>107</v>
      </c>
      <c r="K4" s="19" t="s">
        <v>108</v>
      </c>
      <c r="L4" s="19" t="s">
        <v>109</v>
      </c>
    </row>
    <row r="5" spans="2:16" ht="27" customHeight="1" x14ac:dyDescent="0.25">
      <c r="B5" s="55" t="str">
        <f>VLOOKUP(D5,Lookup!$B$5:$C$78,2,FALSE())</f>
        <v>pm_conc_base</v>
      </c>
      <c r="C5" s="6" t="s">
        <v>215</v>
      </c>
      <c r="D5" s="57" t="s">
        <v>216</v>
      </c>
      <c r="E5" s="13" t="s">
        <v>217</v>
      </c>
      <c r="F5" t="s">
        <v>218</v>
      </c>
      <c r="G5" t="s">
        <v>219</v>
      </c>
      <c r="H5" s="22">
        <v>12.69</v>
      </c>
      <c r="I5" t="s">
        <v>220</v>
      </c>
      <c r="J5" s="58" t="s">
        <v>116</v>
      </c>
      <c r="K5" s="30" t="s">
        <v>117</v>
      </c>
      <c r="L5" s="30" t="s">
        <v>221</v>
      </c>
    </row>
    <row r="6" spans="2:16" ht="43.5" customHeight="1" x14ac:dyDescent="0.25">
      <c r="B6" s="55" t="str">
        <f>VLOOKUP(D6,Lookup!$B$5:$C$78,2,FALSE())</f>
        <v>pm_trans_share</v>
      </c>
      <c r="C6" s="6"/>
      <c r="D6" s="57" t="s">
        <v>222</v>
      </c>
      <c r="E6" s="13" t="s">
        <v>223</v>
      </c>
      <c r="F6" t="s">
        <v>218</v>
      </c>
      <c r="G6" t="s">
        <v>224</v>
      </c>
      <c r="H6" s="20">
        <v>0.42</v>
      </c>
      <c r="I6" t="s">
        <v>225</v>
      </c>
      <c r="J6" s="59" t="s">
        <v>226</v>
      </c>
      <c r="K6" s="30" t="s">
        <v>227</v>
      </c>
      <c r="L6" s="30" t="s">
        <v>221</v>
      </c>
    </row>
    <row r="7" spans="2:16" ht="42.75" customHeight="1" x14ac:dyDescent="0.25">
      <c r="B7" s="55" t="str">
        <f>VLOOKUP(D7,Lookup!$B$5:$C$78,2,FALSE())</f>
        <v>PM_emission_confidence</v>
      </c>
      <c r="C7" s="6"/>
      <c r="D7" t="s">
        <v>228</v>
      </c>
      <c r="E7" s="13" t="s">
        <v>229</v>
      </c>
      <c r="F7" t="s">
        <v>218</v>
      </c>
      <c r="G7" t="s">
        <v>230</v>
      </c>
      <c r="H7">
        <v>1</v>
      </c>
      <c r="I7" t="s">
        <v>225</v>
      </c>
      <c r="J7" s="30" t="s">
        <v>231</v>
      </c>
      <c r="K7" s="41"/>
      <c r="L7" s="30"/>
    </row>
    <row r="8" spans="2:16" ht="16.350000000000001" customHeight="1" x14ac:dyDescent="0.25">
      <c r="B8" s="50" t="s">
        <v>232</v>
      </c>
      <c r="C8" s="6"/>
      <c r="D8" t="s">
        <v>233</v>
      </c>
      <c r="E8" s="5" t="s">
        <v>234</v>
      </c>
      <c r="F8" s="4" t="s">
        <v>235</v>
      </c>
      <c r="G8" t="s">
        <v>230</v>
      </c>
      <c r="H8" s="20">
        <v>2.3031654375338202E-3</v>
      </c>
      <c r="I8" t="s">
        <v>225</v>
      </c>
      <c r="J8" s="61" t="s">
        <v>111</v>
      </c>
      <c r="K8" s="30" t="s">
        <v>112</v>
      </c>
      <c r="L8" s="30" t="s">
        <v>221</v>
      </c>
    </row>
    <row r="9" spans="2:16" x14ac:dyDescent="0.25">
      <c r="B9" s="50" t="s">
        <v>236</v>
      </c>
      <c r="C9" s="6"/>
      <c r="D9" t="s">
        <v>237</v>
      </c>
      <c r="E9" s="5"/>
      <c r="F9" s="4"/>
      <c r="G9" t="s">
        <v>230</v>
      </c>
      <c r="H9" s="20">
        <v>8.1980352806225801E-2</v>
      </c>
      <c r="I9" t="s">
        <v>225</v>
      </c>
      <c r="J9" s="61" t="s">
        <v>111</v>
      </c>
      <c r="K9" s="30" t="s">
        <v>238</v>
      </c>
      <c r="L9" s="30" t="s">
        <v>221</v>
      </c>
    </row>
    <row r="10" spans="2:16" x14ac:dyDescent="0.25">
      <c r="B10" s="50" t="s">
        <v>239</v>
      </c>
      <c r="C10" s="6"/>
      <c r="D10" t="s">
        <v>240</v>
      </c>
      <c r="E10" s="5"/>
      <c r="F10" s="4"/>
      <c r="G10" t="s">
        <v>230</v>
      </c>
      <c r="H10" s="20">
        <v>0.12246677425253299</v>
      </c>
      <c r="I10" t="s">
        <v>225</v>
      </c>
      <c r="J10" s="61" t="s">
        <v>111</v>
      </c>
      <c r="K10" s="30" t="s">
        <v>241</v>
      </c>
      <c r="L10" s="30" t="s">
        <v>221</v>
      </c>
    </row>
    <row r="11" spans="2:16" x14ac:dyDescent="0.25">
      <c r="B11" s="50" t="s">
        <v>242</v>
      </c>
      <c r="C11" s="6"/>
      <c r="D11" t="s">
        <v>243</v>
      </c>
      <c r="E11" s="5"/>
      <c r="F11" s="4"/>
      <c r="G11" t="s">
        <v>230</v>
      </c>
      <c r="H11" s="20">
        <v>0.45445403783708499</v>
      </c>
      <c r="I11" t="s">
        <v>225</v>
      </c>
      <c r="J11" s="61" t="s">
        <v>111</v>
      </c>
      <c r="K11" s="30" t="s">
        <v>244</v>
      </c>
      <c r="L11" s="30" t="s">
        <v>221</v>
      </c>
    </row>
    <row r="12" spans="2:16" x14ac:dyDescent="0.25">
      <c r="B12" s="50" t="s">
        <v>245</v>
      </c>
      <c r="C12" s="6"/>
      <c r="D12" t="s">
        <v>246</v>
      </c>
      <c r="E12" s="5"/>
      <c r="F12" s="4"/>
      <c r="G12" t="s">
        <v>230</v>
      </c>
      <c r="H12" s="20">
        <v>0.338795669666623</v>
      </c>
      <c r="I12" t="s">
        <v>225</v>
      </c>
      <c r="J12" s="61" t="s">
        <v>111</v>
      </c>
      <c r="K12" s="30" t="s">
        <v>247</v>
      </c>
      <c r="L12" s="30" t="s">
        <v>221</v>
      </c>
    </row>
    <row r="13" spans="2:16" x14ac:dyDescent="0.25">
      <c r="B13" s="50" t="s">
        <v>248</v>
      </c>
      <c r="C13" s="6"/>
      <c r="D13" t="s">
        <v>249</v>
      </c>
      <c r="E13" s="5"/>
      <c r="F13" s="4"/>
      <c r="G13" t="s">
        <v>230</v>
      </c>
      <c r="H13" s="20">
        <v>0</v>
      </c>
      <c r="I13" t="s">
        <v>225</v>
      </c>
      <c r="J13" s="61" t="s">
        <v>111</v>
      </c>
      <c r="K13" s="30" t="s">
        <v>250</v>
      </c>
      <c r="L13" s="30" t="s">
        <v>221</v>
      </c>
    </row>
    <row r="14" spans="2:16" x14ac:dyDescent="0.25">
      <c r="B14" s="50" t="s">
        <v>251</v>
      </c>
      <c r="C14" s="6"/>
      <c r="D14" t="s">
        <v>252</v>
      </c>
      <c r="E14" s="5"/>
      <c r="F14" s="4"/>
      <c r="G14" t="s">
        <v>230</v>
      </c>
      <c r="H14" s="20">
        <v>0</v>
      </c>
      <c r="I14" t="s">
        <v>225</v>
      </c>
      <c r="J14" s="61" t="s">
        <v>111</v>
      </c>
      <c r="K14" s="30" t="s">
        <v>253</v>
      </c>
      <c r="L14" s="30" t="s">
        <v>221</v>
      </c>
    </row>
    <row r="15" spans="2:16" x14ac:dyDescent="0.25">
      <c r="B15" s="50" t="s">
        <v>254</v>
      </c>
      <c r="C15" s="6"/>
      <c r="D15" t="s">
        <v>255</v>
      </c>
      <c r="E15" s="5"/>
      <c r="F15" s="4"/>
      <c r="G15" t="s">
        <v>230</v>
      </c>
      <c r="H15" s="20">
        <v>0</v>
      </c>
      <c r="I15" t="s">
        <v>225</v>
      </c>
      <c r="J15" s="61" t="s">
        <v>111</v>
      </c>
      <c r="K15" s="30" t="s">
        <v>256</v>
      </c>
      <c r="L15" s="30" t="s">
        <v>221</v>
      </c>
    </row>
    <row r="16" spans="2:16" x14ac:dyDescent="0.25">
      <c r="B16" s="50" t="s">
        <v>257</v>
      </c>
      <c r="C16" s="6"/>
      <c r="D16" t="s">
        <v>258</v>
      </c>
      <c r="E16" s="5"/>
      <c r="F16" s="4"/>
      <c r="G16" t="s">
        <v>230</v>
      </c>
      <c r="H16" s="20">
        <v>0</v>
      </c>
      <c r="I16" t="s">
        <v>225</v>
      </c>
      <c r="J16" s="61" t="s">
        <v>111</v>
      </c>
      <c r="K16" s="30" t="s">
        <v>259</v>
      </c>
      <c r="L16" s="30" t="s">
        <v>221</v>
      </c>
    </row>
    <row r="17" spans="2:12" ht="51.75" customHeight="1" x14ac:dyDescent="0.25">
      <c r="B17" s="55" t="str">
        <f>VLOOKUP(D17,Lookup!$B$5:$C$78,2,FALSE())</f>
        <v>CO2_emission_confidence</v>
      </c>
      <c r="C17" s="6"/>
      <c r="D17" t="s">
        <v>260</v>
      </c>
      <c r="E17" s="13" t="s">
        <v>261</v>
      </c>
      <c r="F17" t="s">
        <v>218</v>
      </c>
      <c r="G17" t="s">
        <v>230</v>
      </c>
      <c r="H17">
        <v>1</v>
      </c>
      <c r="I17" t="s">
        <v>225</v>
      </c>
      <c r="J17" s="30" t="s">
        <v>231</v>
      </c>
      <c r="K17" s="41"/>
      <c r="L17" s="30"/>
    </row>
    <row r="18" spans="2:12" ht="16.350000000000001" customHeight="1" x14ac:dyDescent="0.25">
      <c r="B18" s="50" t="s">
        <v>262</v>
      </c>
      <c r="C18" s="6"/>
      <c r="D18" t="s">
        <v>263</v>
      </c>
      <c r="E18" s="5" t="s">
        <v>264</v>
      </c>
      <c r="F18" s="4" t="s">
        <v>235</v>
      </c>
      <c r="G18" t="s">
        <v>230</v>
      </c>
      <c r="H18" s="20">
        <v>30033.571810000001</v>
      </c>
      <c r="I18" t="s">
        <v>225</v>
      </c>
      <c r="J18" s="61" t="s">
        <v>111</v>
      </c>
      <c r="K18" s="30" t="s">
        <v>112</v>
      </c>
      <c r="L18" s="30" t="s">
        <v>221</v>
      </c>
    </row>
    <row r="19" spans="2:12" x14ac:dyDescent="0.25">
      <c r="B19" s="50" t="s">
        <v>265</v>
      </c>
      <c r="C19" s="6"/>
      <c r="D19" t="s">
        <v>266</v>
      </c>
      <c r="E19" s="5"/>
      <c r="F19" s="4"/>
      <c r="G19" t="s">
        <v>230</v>
      </c>
      <c r="H19" s="20">
        <v>1033377.341</v>
      </c>
      <c r="I19" t="s">
        <v>225</v>
      </c>
      <c r="J19" s="61" t="s">
        <v>111</v>
      </c>
      <c r="K19" s="30" t="s">
        <v>238</v>
      </c>
      <c r="L19" s="30" t="s">
        <v>221</v>
      </c>
    </row>
    <row r="20" spans="2:12" x14ac:dyDescent="0.25">
      <c r="B20" s="50" t="s">
        <v>267</v>
      </c>
      <c r="C20" s="6"/>
      <c r="D20" t="s">
        <v>268</v>
      </c>
      <c r="E20" s="5"/>
      <c r="F20" s="4"/>
      <c r="G20" t="s">
        <v>230</v>
      </c>
      <c r="H20" s="20">
        <v>100429.7216</v>
      </c>
      <c r="I20" t="s">
        <v>225</v>
      </c>
      <c r="J20" s="61" t="s">
        <v>111</v>
      </c>
      <c r="K20" s="30" t="s">
        <v>241</v>
      </c>
      <c r="L20" s="30" t="s">
        <v>221</v>
      </c>
    </row>
    <row r="21" spans="2:12" x14ac:dyDescent="0.25">
      <c r="B21" s="50" t="s">
        <v>269</v>
      </c>
      <c r="C21" s="6"/>
      <c r="D21" t="s">
        <v>270</v>
      </c>
      <c r="E21" s="5"/>
      <c r="F21" s="4"/>
      <c r="G21" t="s">
        <v>230</v>
      </c>
      <c r="H21" s="20">
        <v>259655.32449999999</v>
      </c>
      <c r="I21" t="s">
        <v>225</v>
      </c>
      <c r="J21" s="61" t="s">
        <v>111</v>
      </c>
      <c r="K21" s="30" t="s">
        <v>244</v>
      </c>
      <c r="L21" s="30" t="s">
        <v>221</v>
      </c>
    </row>
    <row r="22" spans="2:12" x14ac:dyDescent="0.25">
      <c r="B22" s="50" t="s">
        <v>271</v>
      </c>
      <c r="C22" s="6"/>
      <c r="D22" t="s">
        <v>272</v>
      </c>
      <c r="E22" s="5"/>
      <c r="F22" s="4"/>
      <c r="G22" t="s">
        <v>230</v>
      </c>
      <c r="H22" s="20">
        <v>163516.11319999999</v>
      </c>
      <c r="I22" t="s">
        <v>225</v>
      </c>
      <c r="J22" s="61" t="s">
        <v>111</v>
      </c>
      <c r="K22" s="30" t="s">
        <v>247</v>
      </c>
      <c r="L22" s="30" t="s">
        <v>221</v>
      </c>
    </row>
    <row r="23" spans="2:12" x14ac:dyDescent="0.25">
      <c r="B23" s="50" t="s">
        <v>273</v>
      </c>
      <c r="C23" s="6"/>
      <c r="D23" t="s">
        <v>274</v>
      </c>
      <c r="E23" s="5"/>
      <c r="F23" s="4"/>
      <c r="G23" t="s">
        <v>230</v>
      </c>
      <c r="H23" s="20">
        <v>0</v>
      </c>
      <c r="I23" t="s">
        <v>225</v>
      </c>
      <c r="J23" s="61" t="s">
        <v>111</v>
      </c>
      <c r="K23" s="30" t="s">
        <v>250</v>
      </c>
      <c r="L23" s="30" t="s">
        <v>221</v>
      </c>
    </row>
    <row r="24" spans="2:12" x14ac:dyDescent="0.25">
      <c r="B24" s="50" t="s">
        <v>275</v>
      </c>
      <c r="C24" s="6"/>
      <c r="D24" t="s">
        <v>276</v>
      </c>
      <c r="E24" s="5"/>
      <c r="F24" s="4"/>
      <c r="G24" t="s">
        <v>230</v>
      </c>
      <c r="H24" s="20">
        <v>1906.893448</v>
      </c>
      <c r="I24" t="s">
        <v>225</v>
      </c>
      <c r="J24" s="61" t="s">
        <v>111</v>
      </c>
      <c r="K24" s="30" t="s">
        <v>253</v>
      </c>
      <c r="L24" s="30" t="s">
        <v>221</v>
      </c>
    </row>
    <row r="25" spans="2:12" x14ac:dyDescent="0.25">
      <c r="B25" s="50" t="s">
        <v>277</v>
      </c>
      <c r="C25" s="6"/>
      <c r="D25" t="s">
        <v>278</v>
      </c>
      <c r="E25" s="5"/>
      <c r="F25" s="4"/>
      <c r="G25" t="s">
        <v>230</v>
      </c>
      <c r="H25" s="20">
        <v>0</v>
      </c>
      <c r="I25" t="s">
        <v>225</v>
      </c>
      <c r="J25" s="61" t="s">
        <v>111</v>
      </c>
      <c r="K25" s="30" t="s">
        <v>256</v>
      </c>
      <c r="L25" s="30" t="s">
        <v>221</v>
      </c>
    </row>
    <row r="26" spans="2:12" x14ac:dyDescent="0.25">
      <c r="B26" s="50" t="s">
        <v>279</v>
      </c>
      <c r="C26" s="6"/>
      <c r="D26" t="s">
        <v>280</v>
      </c>
      <c r="E26" s="5"/>
      <c r="F26" s="4"/>
      <c r="G26" t="s">
        <v>230</v>
      </c>
      <c r="H26" s="20">
        <v>0</v>
      </c>
      <c r="I26" t="s">
        <v>225</v>
      </c>
      <c r="J26" s="61" t="s">
        <v>111</v>
      </c>
      <c r="K26" s="30" t="s">
        <v>259</v>
      </c>
      <c r="L26" s="30"/>
    </row>
    <row r="27" spans="2:12" ht="105" x14ac:dyDescent="0.25">
      <c r="B27" s="55" t="str">
        <f>VLOOKUP(D27,Lookup!$B$5:$C$78,2,FALSE())</f>
        <v>treat_taxi_as_car</v>
      </c>
      <c r="C27" s="6"/>
      <c r="D27" t="s">
        <v>281</v>
      </c>
      <c r="E27" s="13" t="s">
        <v>282</v>
      </c>
      <c r="F27" s="60" t="s">
        <v>283</v>
      </c>
      <c r="G27" t="s">
        <v>284</v>
      </c>
      <c r="H27" s="20" t="s">
        <v>285</v>
      </c>
      <c r="I27" t="s">
        <v>225</v>
      </c>
      <c r="J27" s="61"/>
      <c r="K27" s="30"/>
      <c r="L27" s="30"/>
    </row>
    <row r="28" spans="2:12" x14ac:dyDescent="0.25">
      <c r="C28" s="57"/>
      <c r="J28" s="30"/>
      <c r="K28" s="30"/>
      <c r="L28" s="30"/>
    </row>
    <row r="29" spans="2:12" ht="36.75" customHeight="1" x14ac:dyDescent="0.25">
      <c r="B29" s="55" t="str">
        <f>VLOOKUP(D29,Lookup!$B$5:$C$78,2,FALSE())</f>
        <v>background_pa_confidence</v>
      </c>
      <c r="C29" s="6" t="s">
        <v>286</v>
      </c>
      <c r="D29" s="57" t="s">
        <v>287</v>
      </c>
      <c r="E29" s="13" t="s">
        <v>288</v>
      </c>
      <c r="F29" t="s">
        <v>235</v>
      </c>
      <c r="G29" t="s">
        <v>289</v>
      </c>
      <c r="H29">
        <v>1</v>
      </c>
      <c r="I29" t="s">
        <v>225</v>
      </c>
      <c r="J29" s="30" t="s">
        <v>290</v>
      </c>
      <c r="K29" s="30"/>
      <c r="L29" s="30"/>
    </row>
    <row r="30" spans="2:12" ht="22.5" customHeight="1" x14ac:dyDescent="0.25">
      <c r="B30" s="55" t="str">
        <f>VLOOKUP(D30,Lookup!$B$5:$C$78,2,FALSE())</f>
        <v>background_pa_scalar</v>
      </c>
      <c r="C30" s="6"/>
      <c r="D30" s="57" t="s">
        <v>291</v>
      </c>
      <c r="E30" s="13" t="s">
        <v>292</v>
      </c>
      <c r="F30" t="s">
        <v>235</v>
      </c>
      <c r="G30" t="s">
        <v>219</v>
      </c>
      <c r="H30">
        <v>1</v>
      </c>
      <c r="I30" t="s">
        <v>225</v>
      </c>
      <c r="J30" s="30" t="s">
        <v>293</v>
      </c>
      <c r="K30" s="30"/>
      <c r="L30" s="30"/>
    </row>
    <row r="31" spans="2:12" ht="30" customHeight="1" x14ac:dyDescent="0.25">
      <c r="B31" s="55" t="str">
        <f>VLOOKUP(D31,Lookup!$B$5:$C$78,2,FALSE())</f>
        <v>cycling_mmet</v>
      </c>
      <c r="C31" s="6"/>
      <c r="D31" s="57" t="s">
        <v>294</v>
      </c>
      <c r="E31" s="13" t="s">
        <v>295</v>
      </c>
      <c r="F31" t="s">
        <v>296</v>
      </c>
      <c r="G31" t="s">
        <v>219</v>
      </c>
      <c r="H31">
        <v>5.8</v>
      </c>
      <c r="I31" t="s">
        <v>297</v>
      </c>
      <c r="J31" s="30" t="s">
        <v>298</v>
      </c>
      <c r="K31" s="30" t="s">
        <v>299</v>
      </c>
      <c r="L31" s="30"/>
    </row>
    <row r="32" spans="2:12" ht="16.5" customHeight="1" x14ac:dyDescent="0.25">
      <c r="B32" s="55" t="str">
        <f>VLOOKUP(D32,Lookup!$B$5:$C$78,2,FALSE())</f>
        <v>walking_mmet</v>
      </c>
      <c r="C32" s="6"/>
      <c r="D32" s="57" t="s">
        <v>300</v>
      </c>
      <c r="E32" s="13" t="s">
        <v>301</v>
      </c>
      <c r="F32" t="s">
        <v>296</v>
      </c>
      <c r="G32" t="s">
        <v>219</v>
      </c>
      <c r="H32">
        <v>2.5</v>
      </c>
      <c r="I32" t="s">
        <v>297</v>
      </c>
      <c r="J32" s="30" t="s">
        <v>302</v>
      </c>
      <c r="K32" s="30" t="s">
        <v>303</v>
      </c>
      <c r="L32" s="30"/>
    </row>
    <row r="33" spans="2:12" ht="16.5" customHeight="1" x14ac:dyDescent="0.25">
      <c r="B33" s="55" t="str">
        <f>VLOOKUP(D33,Lookup!$B$5:$C$78,2,FALSE())</f>
        <v>passenger_mmet</v>
      </c>
      <c r="C33" s="6"/>
      <c r="D33" s="57" t="s">
        <v>304</v>
      </c>
      <c r="E33" s="13" t="s">
        <v>305</v>
      </c>
      <c r="F33" t="s">
        <v>296</v>
      </c>
      <c r="G33" t="s">
        <v>219</v>
      </c>
      <c r="H33">
        <v>0.3</v>
      </c>
      <c r="I33" t="s">
        <v>297</v>
      </c>
      <c r="J33" s="30" t="s">
        <v>306</v>
      </c>
      <c r="K33" s="30" t="s">
        <v>307</v>
      </c>
      <c r="L33" s="30"/>
    </row>
    <row r="34" spans="2:12" ht="16.5" customHeight="1" x14ac:dyDescent="0.25">
      <c r="B34" s="55" t="str">
        <f>VLOOKUP(D34,Lookup!$B$5:$C$78,2,FALSE())</f>
        <v>car_driver_mmet</v>
      </c>
      <c r="C34" s="6"/>
      <c r="D34" s="57" t="s">
        <v>308</v>
      </c>
      <c r="E34" s="13" t="s">
        <v>309</v>
      </c>
      <c r="F34" t="s">
        <v>296</v>
      </c>
      <c r="G34" t="s">
        <v>219</v>
      </c>
      <c r="H34">
        <v>1.5</v>
      </c>
      <c r="I34" t="s">
        <v>297</v>
      </c>
      <c r="J34" s="30" t="s">
        <v>310</v>
      </c>
      <c r="K34" s="30" t="s">
        <v>311</v>
      </c>
      <c r="L34" s="30"/>
    </row>
    <row r="35" spans="2:12" ht="16.5" customHeight="1" x14ac:dyDescent="0.25">
      <c r="B35" s="55" t="str">
        <f>VLOOKUP(D35,Lookup!$B$5:$C$78,2,FALSE())</f>
        <v>motorcyclist_mmet</v>
      </c>
      <c r="C35" s="6"/>
      <c r="D35" s="57" t="s">
        <v>312</v>
      </c>
      <c r="E35" s="13" t="s">
        <v>313</v>
      </c>
      <c r="F35" t="s">
        <v>296</v>
      </c>
      <c r="G35" t="s">
        <v>219</v>
      </c>
      <c r="H35">
        <v>1.8</v>
      </c>
      <c r="I35" t="s">
        <v>297</v>
      </c>
      <c r="J35" s="30" t="s">
        <v>314</v>
      </c>
      <c r="K35" s="30" t="s">
        <v>315</v>
      </c>
      <c r="L35" s="30"/>
    </row>
    <row r="36" spans="2:12" ht="16.5" customHeight="1" x14ac:dyDescent="0.25">
      <c r="B36" s="55" t="str">
        <f>VLOOKUP(D36,Lookup!$B$5:$C$78,2,FALSE())</f>
        <v>sedentary_activity_mmet</v>
      </c>
      <c r="C36" s="6"/>
      <c r="D36" s="57" t="s">
        <v>316</v>
      </c>
      <c r="E36" s="13" t="s">
        <v>317</v>
      </c>
      <c r="F36" t="s">
        <v>296</v>
      </c>
      <c r="G36" t="s">
        <v>219</v>
      </c>
      <c r="H36">
        <v>0.3</v>
      </c>
      <c r="I36" t="s">
        <v>297</v>
      </c>
      <c r="J36" s="30" t="s">
        <v>318</v>
      </c>
      <c r="K36" s="30" t="s">
        <v>319</v>
      </c>
      <c r="L36" s="30"/>
    </row>
    <row r="37" spans="2:12" ht="16.5" customHeight="1" x14ac:dyDescent="0.25">
      <c r="B37" s="55" t="str">
        <f>VLOOKUP(D37,Lookup!$B$5:$C$78,2,FALSE())</f>
        <v>light_activity_mmet</v>
      </c>
      <c r="C37" s="6"/>
      <c r="D37" s="57" t="s">
        <v>320</v>
      </c>
      <c r="E37" s="13" t="s">
        <v>321</v>
      </c>
      <c r="F37" t="s">
        <v>296</v>
      </c>
      <c r="G37" t="s">
        <v>219</v>
      </c>
      <c r="H37">
        <v>1</v>
      </c>
      <c r="I37" t="s">
        <v>297</v>
      </c>
      <c r="J37" s="30" t="s">
        <v>322</v>
      </c>
      <c r="K37" s="30" t="s">
        <v>319</v>
      </c>
      <c r="L37" s="30"/>
    </row>
    <row r="38" spans="2:12" ht="16.5" customHeight="1" x14ac:dyDescent="0.25">
      <c r="B38" s="55" t="str">
        <f>VLOOKUP(D38,Lookup!$B$5:$C$78,2,FALSE())</f>
        <v>moderate_pa_mmet</v>
      </c>
      <c r="C38" s="6"/>
      <c r="D38" s="57" t="s">
        <v>323</v>
      </c>
      <c r="E38" s="13" t="s">
        <v>324</v>
      </c>
      <c r="F38" t="s">
        <v>296</v>
      </c>
      <c r="G38" t="s">
        <v>219</v>
      </c>
      <c r="H38">
        <v>3</v>
      </c>
      <c r="I38" t="s">
        <v>297</v>
      </c>
      <c r="J38" s="30" t="s">
        <v>325</v>
      </c>
      <c r="K38" s="30" t="s">
        <v>326</v>
      </c>
      <c r="L38" s="30"/>
    </row>
    <row r="39" spans="2:12" ht="16.5" customHeight="1" x14ac:dyDescent="0.25">
      <c r="B39" s="55" t="str">
        <f>VLOOKUP(D39,Lookup!$B$5:$C$78,2,FALSE())</f>
        <v>vigorous_pa_mmet</v>
      </c>
      <c r="C39" s="6"/>
      <c r="D39" s="57" t="s">
        <v>327</v>
      </c>
      <c r="E39" s="13" t="s">
        <v>328</v>
      </c>
      <c r="F39" t="s">
        <v>296</v>
      </c>
      <c r="G39" t="s">
        <v>219</v>
      </c>
      <c r="H39">
        <v>7</v>
      </c>
      <c r="I39" t="s">
        <v>297</v>
      </c>
      <c r="J39" s="30" t="s">
        <v>325</v>
      </c>
      <c r="K39" s="30" t="s">
        <v>326</v>
      </c>
      <c r="L39" s="30"/>
    </row>
    <row r="40" spans="2:12" ht="16.5" customHeight="1" x14ac:dyDescent="0.25">
      <c r="B40" s="55" t="str">
        <f>VLOOKUP(D40,Lookup!$B$5:$C$78,2,FALSE())</f>
        <v>moderate_pa_contribution</v>
      </c>
      <c r="C40" s="6"/>
      <c r="D40" t="s">
        <v>329</v>
      </c>
      <c r="E40" s="45" t="s">
        <v>330</v>
      </c>
      <c r="F40" t="s">
        <v>296</v>
      </c>
      <c r="G40" t="s">
        <v>331</v>
      </c>
      <c r="H40">
        <v>0.5</v>
      </c>
      <c r="I40" t="s">
        <v>154</v>
      </c>
      <c r="J40" s="30" t="s">
        <v>332</v>
      </c>
      <c r="K40" s="30"/>
      <c r="L40" s="30" t="s">
        <v>333</v>
      </c>
    </row>
    <row r="41" spans="2:12" ht="16.5" customHeight="1" x14ac:dyDescent="0.25">
      <c r="B41" s="55"/>
      <c r="C41" s="56"/>
      <c r="D41" s="57"/>
      <c r="J41" s="30"/>
      <c r="K41" s="30"/>
      <c r="L41" s="30"/>
    </row>
    <row r="42" spans="2:12" ht="47.25" customHeight="1" x14ac:dyDescent="0.25">
      <c r="B42" s="55" t="str">
        <f>VLOOKUP(D42,Lookup!$B$5:$C$78,2,FALSE())</f>
        <v>bus_walk_time</v>
      </c>
      <c r="C42" s="6" t="s">
        <v>334</v>
      </c>
      <c r="D42" s="57" t="s">
        <v>335</v>
      </c>
      <c r="E42" s="13" t="s">
        <v>336</v>
      </c>
      <c r="F42" t="s">
        <v>337</v>
      </c>
      <c r="G42" t="s">
        <v>219</v>
      </c>
      <c r="H42">
        <v>16</v>
      </c>
      <c r="I42" t="s">
        <v>225</v>
      </c>
      <c r="J42" s="30" t="s">
        <v>122</v>
      </c>
      <c r="K42" s="30" t="s">
        <v>123</v>
      </c>
      <c r="L42" s="30" t="s">
        <v>221</v>
      </c>
    </row>
    <row r="43" spans="2:12" ht="21.75" customHeight="1" x14ac:dyDescent="0.25">
      <c r="B43" s="55" t="str">
        <f>VLOOKUP(D43,Lookup!$B$5:$C$78,2,FALSE())</f>
        <v>rail_walk_time</v>
      </c>
      <c r="C43" s="6"/>
      <c r="D43" t="s">
        <v>338</v>
      </c>
      <c r="E43" s="13" t="s">
        <v>339</v>
      </c>
      <c r="F43" t="s">
        <v>337</v>
      </c>
      <c r="G43" t="s">
        <v>219</v>
      </c>
      <c r="H43">
        <v>12.5</v>
      </c>
      <c r="I43" t="s">
        <v>225</v>
      </c>
      <c r="J43" s="43" t="s">
        <v>124</v>
      </c>
      <c r="K43" s="30" t="s">
        <v>125</v>
      </c>
      <c r="L43" s="30" t="s">
        <v>221</v>
      </c>
    </row>
    <row r="44" spans="2:12" ht="23.25" customHeight="1" x14ac:dyDescent="0.25">
      <c r="B44" s="55" t="str">
        <f>VLOOKUP(D44,Lookup!$B$5:$C$78,2,FALSE())</f>
        <v>day_to_week_scalar</v>
      </c>
      <c r="C44" s="6"/>
      <c r="D44" t="s">
        <v>340</v>
      </c>
      <c r="E44" s="13" t="s">
        <v>341</v>
      </c>
      <c r="F44" t="s">
        <v>296</v>
      </c>
      <c r="G44" t="s">
        <v>230</v>
      </c>
      <c r="H44">
        <v>7</v>
      </c>
      <c r="I44" t="s">
        <v>225</v>
      </c>
      <c r="J44" s="30" t="s">
        <v>342</v>
      </c>
      <c r="K44" s="30"/>
      <c r="L44" s="30"/>
    </row>
    <row r="45" spans="2:12" ht="23.25" customHeight="1" x14ac:dyDescent="0.25">
      <c r="B45" s="55" t="str">
        <f>VLOOKUP(D45,Lookup!$B$5:$C$78,2,FALSE())</f>
        <v>bus_to_passenger_ratio</v>
      </c>
      <c r="C45" s="6"/>
      <c r="D45" s="57" t="s">
        <v>343</v>
      </c>
      <c r="E45" s="13" t="s">
        <v>344</v>
      </c>
      <c r="F45" t="s">
        <v>235</v>
      </c>
      <c r="G45" t="s">
        <v>224</v>
      </c>
      <c r="H45" s="20">
        <v>3.8910505836575897E-2</v>
      </c>
      <c r="I45" t="s">
        <v>225</v>
      </c>
      <c r="J45" s="43" t="s">
        <v>132</v>
      </c>
      <c r="K45" s="62" t="s">
        <v>133</v>
      </c>
      <c r="L45" s="30" t="s">
        <v>221</v>
      </c>
    </row>
    <row r="46" spans="2:12" ht="24" customHeight="1" x14ac:dyDescent="0.25">
      <c r="B46" s="55" t="s">
        <v>345</v>
      </c>
      <c r="C46" s="6"/>
      <c r="D46" s="57" t="s">
        <v>346</v>
      </c>
      <c r="E46" s="13" t="s">
        <v>347</v>
      </c>
      <c r="F46" t="s">
        <v>235</v>
      </c>
      <c r="G46" t="s">
        <v>224</v>
      </c>
      <c r="H46" s="20">
        <v>0.625</v>
      </c>
      <c r="I46" t="s">
        <v>225</v>
      </c>
      <c r="J46" s="58" t="s">
        <v>137</v>
      </c>
      <c r="K46" s="30" t="s">
        <v>138</v>
      </c>
      <c r="L46" s="30" t="s">
        <v>221</v>
      </c>
    </row>
    <row r="47" spans="2:12" ht="28.5" customHeight="1" x14ac:dyDescent="0.25">
      <c r="B47" s="55" t="str">
        <f>VLOOKUP(D47,Lookup!$B$5:$C$78,2,FALSE())</f>
        <v>truck_to_car_ratio</v>
      </c>
      <c r="C47" s="6"/>
      <c r="D47" s="57" t="s">
        <v>348</v>
      </c>
      <c r="E47" s="13" t="s">
        <v>349</v>
      </c>
      <c r="F47" t="s">
        <v>235</v>
      </c>
      <c r="G47" t="s">
        <v>224</v>
      </c>
      <c r="H47">
        <v>0.3</v>
      </c>
      <c r="I47" t="s">
        <v>225</v>
      </c>
      <c r="J47" s="43" t="s">
        <v>134</v>
      </c>
      <c r="K47" s="30" t="s">
        <v>135</v>
      </c>
      <c r="L47" s="30" t="s">
        <v>221</v>
      </c>
    </row>
    <row r="48" spans="2:12" ht="26.25" customHeight="1" x14ac:dyDescent="0.25">
      <c r="B48" s="55" t="str">
        <f>VLOOKUP(D48,Lookup!$B$5:$C$78,2,FALSE())</f>
        <v>distance_scalar_car_taxi</v>
      </c>
      <c r="C48" s="6"/>
      <c r="D48" s="57" t="s">
        <v>350</v>
      </c>
      <c r="E48" s="13" t="s">
        <v>351</v>
      </c>
      <c r="F48" t="s">
        <v>235</v>
      </c>
      <c r="G48" t="s">
        <v>219</v>
      </c>
      <c r="H48">
        <v>1</v>
      </c>
      <c r="I48" t="s">
        <v>225</v>
      </c>
      <c r="J48" s="30" t="s">
        <v>352</v>
      </c>
      <c r="K48" s="41"/>
      <c r="L48" s="30"/>
    </row>
    <row r="49" spans="2:12" ht="27" customHeight="1" x14ac:dyDescent="0.25">
      <c r="B49" s="55" t="str">
        <f>VLOOKUP(D49,Lookup!$B$5:$C$78,2,FALSE())</f>
        <v>distance_scalar_walking</v>
      </c>
      <c r="C49" s="6"/>
      <c r="D49" s="57" t="s">
        <v>353</v>
      </c>
      <c r="E49" s="13" t="s">
        <v>354</v>
      </c>
      <c r="F49" t="s">
        <v>235</v>
      </c>
      <c r="G49" t="s">
        <v>219</v>
      </c>
      <c r="H49">
        <v>1</v>
      </c>
      <c r="I49" t="s">
        <v>225</v>
      </c>
      <c r="J49" s="30" t="s">
        <v>352</v>
      </c>
      <c r="K49" s="30"/>
      <c r="L49" s="30"/>
    </row>
    <row r="50" spans="2:12" ht="23.25" customHeight="1" x14ac:dyDescent="0.25">
      <c r="B50" s="55" t="str">
        <f>VLOOKUP(D50,Lookup!$B$5:$C$78,2,FALSE())</f>
        <v>distance_scalar_pt</v>
      </c>
      <c r="C50" s="6"/>
      <c r="D50" s="57" t="s">
        <v>355</v>
      </c>
      <c r="E50" s="13" t="s">
        <v>356</v>
      </c>
      <c r="F50" t="s">
        <v>235</v>
      </c>
      <c r="G50" t="s">
        <v>219</v>
      </c>
      <c r="H50">
        <v>1</v>
      </c>
      <c r="I50" t="s">
        <v>225</v>
      </c>
      <c r="J50" s="30" t="s">
        <v>352</v>
      </c>
      <c r="K50" s="30"/>
      <c r="L50" s="30"/>
    </row>
    <row r="51" spans="2:12" ht="27" customHeight="1" x14ac:dyDescent="0.25">
      <c r="B51" s="55" t="str">
        <f>VLOOKUP(D51,Lookup!$B$5:$C$78,2,FALSE())</f>
        <v>distance_scalar_cycling</v>
      </c>
      <c r="C51" s="6"/>
      <c r="D51" s="57" t="s">
        <v>357</v>
      </c>
      <c r="E51" s="13" t="s">
        <v>358</v>
      </c>
      <c r="F51" t="s">
        <v>235</v>
      </c>
      <c r="G51" t="s">
        <v>219</v>
      </c>
      <c r="H51">
        <v>1</v>
      </c>
      <c r="I51" t="s">
        <v>225</v>
      </c>
      <c r="J51" s="30" t="s">
        <v>352</v>
      </c>
      <c r="K51" s="30"/>
      <c r="L51" s="30"/>
    </row>
    <row r="52" spans="2:12" ht="23.25" customHeight="1" x14ac:dyDescent="0.25">
      <c r="B52" s="55" t="str">
        <f>VLOOKUP(D52,Lookup!$B$5:$C$78,2,FALSE())</f>
        <v>distance_scalar_motorcycle</v>
      </c>
      <c r="C52" s="6"/>
      <c r="D52" s="57" t="s">
        <v>359</v>
      </c>
      <c r="E52" s="13" t="s">
        <v>360</v>
      </c>
      <c r="F52" t="s">
        <v>235</v>
      </c>
      <c r="G52" t="s">
        <v>219</v>
      </c>
      <c r="H52">
        <v>1</v>
      </c>
      <c r="I52" t="s">
        <v>225</v>
      </c>
      <c r="J52" s="30" t="s">
        <v>352</v>
      </c>
      <c r="K52" s="30"/>
      <c r="L52" s="30"/>
    </row>
    <row r="53" spans="2:12" ht="24" customHeight="1" x14ac:dyDescent="0.25">
      <c r="B53" s="55" t="str">
        <f>VLOOKUP(D53,Lookup!$B$5:$C$78,2,FALSE())</f>
        <v>add_truck_drivers</v>
      </c>
      <c r="C53" s="6"/>
      <c r="D53" s="57" t="s">
        <v>361</v>
      </c>
      <c r="E53" s="13" t="s">
        <v>362</v>
      </c>
      <c r="F53" t="s">
        <v>296</v>
      </c>
      <c r="G53" t="s">
        <v>284</v>
      </c>
      <c r="H53" t="s">
        <v>165</v>
      </c>
      <c r="I53" t="s">
        <v>297</v>
      </c>
      <c r="J53" s="63" t="s">
        <v>363</v>
      </c>
      <c r="K53" s="30"/>
      <c r="L53" s="30"/>
    </row>
    <row r="54" spans="2:12" ht="18.75" customHeight="1" x14ac:dyDescent="0.25">
      <c r="B54" s="55" t="str">
        <f>VLOOKUP(D54,Lookup!$B$5:$C$78,2,FALSE())</f>
        <v>add_bus_drivers</v>
      </c>
      <c r="C54" s="6"/>
      <c r="D54" s="57" t="s">
        <v>364</v>
      </c>
      <c r="E54" s="13" t="s">
        <v>365</v>
      </c>
      <c r="F54" t="s">
        <v>296</v>
      </c>
      <c r="G54" t="s">
        <v>284</v>
      </c>
      <c r="H54" t="s">
        <v>165</v>
      </c>
      <c r="I54" t="s">
        <v>297</v>
      </c>
      <c r="J54" s="63" t="s">
        <v>363</v>
      </c>
      <c r="K54" s="30"/>
      <c r="L54" s="30"/>
    </row>
    <row r="55" spans="2:12" ht="21.75" customHeight="1" x14ac:dyDescent="0.25">
      <c r="B55" s="55" t="str">
        <f>VLOOKUP(D55,Lookup!$B$5:$C$78,2,FALSE())</f>
        <v>add_car_drivers</v>
      </c>
      <c r="C55" s="6"/>
      <c r="D55" s="57" t="s">
        <v>366</v>
      </c>
      <c r="E55" s="13" t="s">
        <v>367</v>
      </c>
      <c r="F55" t="s">
        <v>296</v>
      </c>
      <c r="G55" t="s">
        <v>284</v>
      </c>
      <c r="H55" t="s">
        <v>165</v>
      </c>
      <c r="I55" t="s">
        <v>297</v>
      </c>
      <c r="J55" s="63" t="s">
        <v>368</v>
      </c>
      <c r="K55" s="30"/>
      <c r="L55" s="30"/>
    </row>
    <row r="56" spans="2:12" ht="32.25" customHeight="1" x14ac:dyDescent="0.25">
      <c r="B56" s="55" t="str">
        <f>VLOOKUP(D56,Lookup!$B$5:$C$78,2,FALSE())</f>
        <v>add_walk_to_pt_trips</v>
      </c>
      <c r="C56" s="6"/>
      <c r="D56" s="57" t="s">
        <v>369</v>
      </c>
      <c r="E56" s="13" t="s">
        <v>370</v>
      </c>
      <c r="F56" t="s">
        <v>235</v>
      </c>
      <c r="G56" t="s">
        <v>371</v>
      </c>
      <c r="H56" t="s">
        <v>165</v>
      </c>
      <c r="I56" t="s">
        <v>225</v>
      </c>
      <c r="J56" s="30" t="s">
        <v>372</v>
      </c>
      <c r="K56" s="30"/>
      <c r="L56" s="30"/>
    </row>
    <row r="57" spans="2:12" ht="49.5" customHeight="1" x14ac:dyDescent="0.25">
      <c r="B57" s="55" t="str">
        <f>VLOOKUP(D57,Lookup!$B$5:$C$78,2,FALSE())</f>
        <v>add_personal_motorcycle_trips</v>
      </c>
      <c r="C57" s="6"/>
      <c r="D57" s="57" t="s">
        <v>373</v>
      </c>
      <c r="E57" s="13" t="s">
        <v>374</v>
      </c>
      <c r="G57" t="s">
        <v>375</v>
      </c>
      <c r="H57" t="s">
        <v>376</v>
      </c>
      <c r="I57" t="s">
        <v>225</v>
      </c>
      <c r="J57" s="30" t="s">
        <v>377</v>
      </c>
      <c r="K57" s="30"/>
      <c r="L57" s="30"/>
    </row>
    <row r="58" spans="2:12" ht="31.5" customHeight="1" x14ac:dyDescent="0.25">
      <c r="B58" s="55" t="str">
        <f>VLOOKUP(D58,Lookup!$B$5:$C$78,2,FALSE())</f>
        <v>proportion_motorcycle_trips</v>
      </c>
      <c r="C58" s="6"/>
      <c r="D58" s="57" t="s">
        <v>378</v>
      </c>
      <c r="E58" s="13" t="s">
        <v>379</v>
      </c>
      <c r="G58" t="s">
        <v>224</v>
      </c>
      <c r="H58">
        <v>0</v>
      </c>
      <c r="I58" t="s">
        <v>225</v>
      </c>
      <c r="J58" s="30" t="s">
        <v>380</v>
      </c>
      <c r="K58" s="30"/>
      <c r="L58" s="30"/>
    </row>
    <row r="59" spans="2:12" ht="30" customHeight="1" x14ac:dyDescent="0.25">
      <c r="B59" s="55" t="str">
        <f>VLOOKUP(D59,Lookup!$B$5:$C$78,2,FALSE())</f>
        <v>add_motorcycle_fleet</v>
      </c>
      <c r="C59" s="6"/>
      <c r="D59" s="57" t="s">
        <v>381</v>
      </c>
      <c r="E59" s="13" t="s">
        <v>382</v>
      </c>
      <c r="F59" t="s">
        <v>235</v>
      </c>
      <c r="G59" t="s">
        <v>284</v>
      </c>
      <c r="H59" t="s">
        <v>165</v>
      </c>
      <c r="I59" t="s">
        <v>225</v>
      </c>
      <c r="J59" s="30" t="s">
        <v>383</v>
      </c>
      <c r="K59" s="30"/>
      <c r="L59" s="30"/>
    </row>
    <row r="60" spans="2:12" ht="38.25" customHeight="1" x14ac:dyDescent="0.25">
      <c r="B60" s="55" t="str">
        <f>VLOOKUP(D60,Lookup!$B$5:$C$78,2,FALSE())</f>
        <v>fleet_to_motorcycle_ratio</v>
      </c>
      <c r="C60" s="6"/>
      <c r="D60" s="57" t="s">
        <v>384</v>
      </c>
      <c r="E60" s="13" t="s">
        <v>385</v>
      </c>
      <c r="F60" t="s">
        <v>235</v>
      </c>
      <c r="G60" t="s">
        <v>224</v>
      </c>
      <c r="H60" s="20">
        <v>0.441176470588235</v>
      </c>
      <c r="I60" t="s">
        <v>225</v>
      </c>
      <c r="J60" s="58" t="s">
        <v>128</v>
      </c>
      <c r="K60" s="30" t="s">
        <v>129</v>
      </c>
      <c r="L60" s="30" t="s">
        <v>221</v>
      </c>
    </row>
    <row r="61" spans="2:12" ht="38.25" customHeight="1" x14ac:dyDescent="0.25">
      <c r="B61" s="55" t="s">
        <v>386</v>
      </c>
      <c r="C61" s="6"/>
      <c r="D61" s="57" t="s">
        <v>387</v>
      </c>
      <c r="E61" s="13" t="s">
        <v>388</v>
      </c>
      <c r="F61" t="s">
        <v>235</v>
      </c>
      <c r="G61" t="s">
        <v>389</v>
      </c>
      <c r="H61">
        <v>0.98</v>
      </c>
      <c r="I61" t="s">
        <v>225</v>
      </c>
      <c r="J61" s="58" t="s">
        <v>390</v>
      </c>
      <c r="K61" s="62" t="s">
        <v>140</v>
      </c>
      <c r="L61" s="30" t="s">
        <v>221</v>
      </c>
    </row>
    <row r="62" spans="2:12" ht="38.25" customHeight="1" x14ac:dyDescent="0.25">
      <c r="B62" s="55" t="s">
        <v>391</v>
      </c>
      <c r="C62" s="6"/>
      <c r="D62" s="57" t="s">
        <v>392</v>
      </c>
      <c r="E62" s="13" t="s">
        <v>393</v>
      </c>
      <c r="F62" t="s">
        <v>235</v>
      </c>
      <c r="G62" t="s">
        <v>375</v>
      </c>
      <c r="H62" t="s">
        <v>394</v>
      </c>
      <c r="I62" t="s">
        <v>225</v>
      </c>
      <c r="J62" s="58" t="s">
        <v>395</v>
      </c>
      <c r="K62" s="62" t="s">
        <v>396</v>
      </c>
      <c r="L62" s="30" t="s">
        <v>221</v>
      </c>
    </row>
    <row r="63" spans="2:12" ht="38.25" customHeight="1" x14ac:dyDescent="0.25">
      <c r="B63" s="55" t="s">
        <v>397</v>
      </c>
      <c r="C63" s="6"/>
      <c r="D63" s="57" t="s">
        <v>398</v>
      </c>
      <c r="E63" s="13" t="s">
        <v>399</v>
      </c>
      <c r="F63" t="s">
        <v>235</v>
      </c>
      <c r="G63" t="s">
        <v>375</v>
      </c>
      <c r="H63" t="s">
        <v>394</v>
      </c>
      <c r="I63" t="s">
        <v>225</v>
      </c>
      <c r="J63" s="58" t="s">
        <v>395</v>
      </c>
      <c r="K63" s="62" t="s">
        <v>396</v>
      </c>
      <c r="L63" s="30" t="s">
        <v>221</v>
      </c>
    </row>
    <row r="64" spans="2:12" ht="38.25" customHeight="1" x14ac:dyDescent="0.25">
      <c r="B64" s="55" t="s">
        <v>400</v>
      </c>
      <c r="C64" s="6"/>
      <c r="D64" s="57" t="s">
        <v>401</v>
      </c>
      <c r="E64" s="13" t="s">
        <v>402</v>
      </c>
      <c r="F64" t="s">
        <v>235</v>
      </c>
      <c r="G64" t="s">
        <v>389</v>
      </c>
      <c r="H64">
        <v>0.98</v>
      </c>
      <c r="I64" t="s">
        <v>225</v>
      </c>
      <c r="J64" s="30" t="s">
        <v>403</v>
      </c>
      <c r="K64" s="30"/>
      <c r="L64" s="30" t="s">
        <v>221</v>
      </c>
    </row>
    <row r="65" spans="2:14" ht="38.25" customHeight="1" x14ac:dyDescent="0.25">
      <c r="B65" s="55" t="s">
        <v>404</v>
      </c>
      <c r="C65" s="6"/>
      <c r="D65" s="57" t="s">
        <v>405</v>
      </c>
      <c r="E65" s="13" t="s">
        <v>406</v>
      </c>
      <c r="F65" t="s">
        <v>235</v>
      </c>
      <c r="G65" t="s">
        <v>375</v>
      </c>
      <c r="H65" t="s">
        <v>407</v>
      </c>
      <c r="I65" t="s">
        <v>225</v>
      </c>
      <c r="J65" s="30" t="s">
        <v>408</v>
      </c>
      <c r="K65" s="30"/>
      <c r="L65" s="30" t="s">
        <v>221</v>
      </c>
    </row>
    <row r="66" spans="2:14" ht="38.25" customHeight="1" x14ac:dyDescent="0.25">
      <c r="B66" s="55" t="s">
        <v>409</v>
      </c>
      <c r="C66" s="6"/>
      <c r="D66" s="57" t="s">
        <v>410</v>
      </c>
      <c r="E66" s="13" t="s">
        <v>411</v>
      </c>
      <c r="F66" t="s">
        <v>235</v>
      </c>
      <c r="G66" t="s">
        <v>375</v>
      </c>
      <c r="H66" t="s">
        <v>407</v>
      </c>
      <c r="I66" t="s">
        <v>225</v>
      </c>
      <c r="J66" s="30" t="s">
        <v>412</v>
      </c>
      <c r="K66" s="30"/>
      <c r="L66" s="30" t="s">
        <v>221</v>
      </c>
    </row>
    <row r="67" spans="2:14" ht="38.25" customHeight="1" x14ac:dyDescent="0.25">
      <c r="B67" s="55" t="s">
        <v>413</v>
      </c>
      <c r="C67" s="6"/>
      <c r="D67" s="57" t="s">
        <v>414</v>
      </c>
      <c r="E67" s="13" t="s">
        <v>415</v>
      </c>
      <c r="F67" t="s">
        <v>235</v>
      </c>
      <c r="G67" t="s">
        <v>389</v>
      </c>
      <c r="H67">
        <v>0.99</v>
      </c>
      <c r="I67" t="s">
        <v>225</v>
      </c>
      <c r="J67" s="58" t="s">
        <v>128</v>
      </c>
      <c r="K67" s="30" t="s">
        <v>129</v>
      </c>
      <c r="L67" s="30" t="s">
        <v>221</v>
      </c>
    </row>
    <row r="68" spans="2:14" ht="38.25" customHeight="1" x14ac:dyDescent="0.25">
      <c r="B68" s="55" t="s">
        <v>416</v>
      </c>
      <c r="C68" s="6"/>
      <c r="D68" s="57" t="s">
        <v>417</v>
      </c>
      <c r="E68" s="13" t="s">
        <v>418</v>
      </c>
      <c r="F68" t="s">
        <v>235</v>
      </c>
      <c r="G68" t="s">
        <v>375</v>
      </c>
      <c r="H68" t="s">
        <v>407</v>
      </c>
      <c r="I68" t="s">
        <v>225</v>
      </c>
      <c r="J68" s="58" t="s">
        <v>128</v>
      </c>
      <c r="K68" s="30" t="s">
        <v>419</v>
      </c>
      <c r="L68" s="30" t="s">
        <v>221</v>
      </c>
    </row>
    <row r="69" spans="2:14" ht="38.25" customHeight="1" x14ac:dyDescent="0.25">
      <c r="B69" s="55" t="s">
        <v>420</v>
      </c>
      <c r="C69" s="6"/>
      <c r="D69" s="57" t="s">
        <v>421</v>
      </c>
      <c r="E69" s="13" t="s">
        <v>422</v>
      </c>
      <c r="F69" t="s">
        <v>235</v>
      </c>
      <c r="G69" t="s">
        <v>375</v>
      </c>
      <c r="H69" t="s">
        <v>407</v>
      </c>
      <c r="I69" t="s">
        <v>225</v>
      </c>
      <c r="J69" s="58" t="s">
        <v>128</v>
      </c>
      <c r="K69" s="30" t="s">
        <v>423</v>
      </c>
      <c r="L69" s="30" t="s">
        <v>221</v>
      </c>
    </row>
    <row r="70" spans="2:14" ht="38.25" customHeight="1" x14ac:dyDescent="0.25">
      <c r="B70" s="55" t="s">
        <v>171</v>
      </c>
      <c r="C70" s="6"/>
      <c r="D70" s="57" t="s">
        <v>424</v>
      </c>
      <c r="E70" s="13" t="s">
        <v>425</v>
      </c>
      <c r="F70" t="s">
        <v>296</v>
      </c>
      <c r="G70" t="s">
        <v>389</v>
      </c>
      <c r="H70">
        <v>3</v>
      </c>
      <c r="I70" t="s">
        <v>297</v>
      </c>
      <c r="J70" s="30" t="s">
        <v>426</v>
      </c>
      <c r="K70" s="30"/>
      <c r="L70" s="30"/>
    </row>
    <row r="71" spans="2:14" ht="15" customHeight="1" x14ac:dyDescent="0.25">
      <c r="B71" s="55" t="s">
        <v>427</v>
      </c>
      <c r="C71" s="6"/>
      <c r="D71" s="57" t="s">
        <v>427</v>
      </c>
      <c r="E71" s="5" t="s">
        <v>428</v>
      </c>
      <c r="F71" s="3" t="s">
        <v>235</v>
      </c>
      <c r="G71" t="s">
        <v>230</v>
      </c>
      <c r="H71" s="20">
        <v>8.1</v>
      </c>
      <c r="I71" s="3" t="s">
        <v>225</v>
      </c>
      <c r="J71" s="34"/>
      <c r="K71" s="63" t="s">
        <v>110</v>
      </c>
      <c r="L71" s="30" t="s">
        <v>221</v>
      </c>
      <c r="N71" s="20"/>
    </row>
    <row r="72" spans="2:14" x14ac:dyDescent="0.25">
      <c r="B72" s="55" t="s">
        <v>429</v>
      </c>
      <c r="C72" s="6"/>
      <c r="D72" s="57" t="s">
        <v>429</v>
      </c>
      <c r="E72" s="5"/>
      <c r="F72" s="3"/>
      <c r="G72" t="s">
        <v>230</v>
      </c>
      <c r="H72" s="20">
        <v>8.1</v>
      </c>
      <c r="I72" s="3"/>
      <c r="J72" s="30"/>
      <c r="K72" s="30"/>
      <c r="L72" s="30" t="s">
        <v>430</v>
      </c>
      <c r="N72" s="20"/>
    </row>
    <row r="73" spans="2:14" x14ac:dyDescent="0.25">
      <c r="B73" s="55" t="s">
        <v>431</v>
      </c>
      <c r="C73" s="6"/>
      <c r="D73" s="57" t="s">
        <v>431</v>
      </c>
      <c r="E73" s="5"/>
      <c r="F73" s="3"/>
      <c r="G73" t="s">
        <v>230</v>
      </c>
      <c r="H73" s="20">
        <v>8.1</v>
      </c>
      <c r="I73" s="3"/>
      <c r="J73" s="30"/>
      <c r="K73" s="30"/>
      <c r="L73" s="30" t="s">
        <v>430</v>
      </c>
      <c r="N73" s="20"/>
    </row>
    <row r="74" spans="2:14" x14ac:dyDescent="0.25">
      <c r="B74" s="55" t="s">
        <v>432</v>
      </c>
      <c r="C74" s="6"/>
      <c r="D74" s="57" t="s">
        <v>432</v>
      </c>
      <c r="E74" s="5"/>
      <c r="F74" s="3"/>
      <c r="G74" t="s">
        <v>230</v>
      </c>
      <c r="H74" s="20">
        <v>8.1</v>
      </c>
      <c r="I74" s="3"/>
      <c r="J74" s="30"/>
      <c r="K74" s="30"/>
      <c r="L74" s="30" t="s">
        <v>430</v>
      </c>
      <c r="N74" s="20"/>
    </row>
    <row r="75" spans="2:14" x14ac:dyDescent="0.25">
      <c r="B75" s="55" t="s">
        <v>433</v>
      </c>
      <c r="C75" s="6"/>
      <c r="D75" s="57" t="s">
        <v>433</v>
      </c>
      <c r="E75" s="5"/>
      <c r="F75" s="3"/>
      <c r="G75" t="s">
        <v>230</v>
      </c>
      <c r="H75" s="20">
        <v>13.8</v>
      </c>
      <c r="I75" s="3"/>
      <c r="J75" s="34"/>
      <c r="K75" s="63" t="s">
        <v>110</v>
      </c>
      <c r="L75" s="30" t="s">
        <v>221</v>
      </c>
      <c r="N75" s="20"/>
    </row>
    <row r="76" spans="2:14" x14ac:dyDescent="0.25">
      <c r="B76" s="55" t="s">
        <v>434</v>
      </c>
      <c r="C76" s="6"/>
      <c r="D76" s="57" t="s">
        <v>434</v>
      </c>
      <c r="E76" s="5"/>
      <c r="F76" s="3"/>
      <c r="G76" t="s">
        <v>230</v>
      </c>
      <c r="H76" s="20">
        <v>13.8</v>
      </c>
      <c r="I76" s="3"/>
      <c r="J76" s="30"/>
      <c r="K76" s="30"/>
      <c r="L76" s="30" t="s">
        <v>435</v>
      </c>
      <c r="N76" s="20"/>
    </row>
    <row r="77" spans="2:14" x14ac:dyDescent="0.25">
      <c r="B77" s="55" t="s">
        <v>436</v>
      </c>
      <c r="C77" s="6"/>
      <c r="D77" s="57" t="s">
        <v>436</v>
      </c>
      <c r="E77" s="5"/>
      <c r="F77" s="3"/>
      <c r="G77" t="s">
        <v>230</v>
      </c>
      <c r="H77" s="20">
        <v>13.8</v>
      </c>
      <c r="I77" s="3"/>
      <c r="J77" s="30"/>
      <c r="K77" s="30"/>
      <c r="L77" s="30" t="s">
        <v>435</v>
      </c>
      <c r="N77" s="20"/>
    </row>
    <row r="78" spans="2:14" x14ac:dyDescent="0.25">
      <c r="B78" s="55" t="s">
        <v>437</v>
      </c>
      <c r="C78" s="6"/>
      <c r="D78" s="57" t="s">
        <v>437</v>
      </c>
      <c r="E78" s="5"/>
      <c r="F78" s="3"/>
      <c r="G78" t="s">
        <v>230</v>
      </c>
      <c r="H78" s="57">
        <v>2.5</v>
      </c>
      <c r="I78" s="3"/>
      <c r="J78" s="34"/>
      <c r="K78" s="63" t="s">
        <v>110</v>
      </c>
      <c r="L78" s="30" t="s">
        <v>221</v>
      </c>
      <c r="N78" s="20"/>
    </row>
    <row r="79" spans="2:14" x14ac:dyDescent="0.25">
      <c r="B79" s="55" t="s">
        <v>438</v>
      </c>
      <c r="C79" s="6"/>
      <c r="D79" s="57" t="s">
        <v>438</v>
      </c>
      <c r="E79" s="5"/>
      <c r="F79" s="3"/>
      <c r="G79" t="s">
        <v>230</v>
      </c>
      <c r="H79" s="57">
        <v>2.5</v>
      </c>
      <c r="I79" s="3"/>
      <c r="J79" s="30"/>
      <c r="K79" s="30"/>
      <c r="L79" s="30" t="s">
        <v>439</v>
      </c>
      <c r="N79" s="20"/>
    </row>
    <row r="80" spans="2:14" x14ac:dyDescent="0.25">
      <c r="B80" s="55" t="s">
        <v>440</v>
      </c>
      <c r="C80" s="6"/>
      <c r="D80" s="57" t="s">
        <v>440</v>
      </c>
      <c r="E80" s="5"/>
      <c r="F80" s="3"/>
      <c r="G80" t="s">
        <v>230</v>
      </c>
      <c r="H80" s="20">
        <v>7.2</v>
      </c>
      <c r="I80" s="3"/>
      <c r="J80" s="34"/>
      <c r="K80" s="63" t="s">
        <v>110</v>
      </c>
      <c r="L80" s="30" t="s">
        <v>441</v>
      </c>
      <c r="N80" s="20"/>
    </row>
    <row r="81" spans="2:14" x14ac:dyDescent="0.25">
      <c r="B81" s="55" t="s">
        <v>442</v>
      </c>
      <c r="C81" s="6"/>
      <c r="D81" s="57" t="s">
        <v>442</v>
      </c>
      <c r="E81" s="5"/>
      <c r="F81" s="3"/>
      <c r="G81" t="s">
        <v>230</v>
      </c>
      <c r="H81" s="20">
        <v>15.2</v>
      </c>
      <c r="I81" s="3"/>
      <c r="J81" s="34"/>
      <c r="K81" s="63" t="s">
        <v>110</v>
      </c>
      <c r="L81" s="30" t="s">
        <v>441</v>
      </c>
      <c r="N81" s="20"/>
    </row>
    <row r="82" spans="2:14" x14ac:dyDescent="0.25">
      <c r="B82" s="55" t="s">
        <v>443</v>
      </c>
      <c r="C82" s="6"/>
      <c r="D82" s="57" t="s">
        <v>443</v>
      </c>
      <c r="E82" s="5"/>
      <c r="F82" s="3"/>
      <c r="G82" t="s">
        <v>230</v>
      </c>
      <c r="H82" s="20">
        <v>8.1</v>
      </c>
      <c r="I82" s="3"/>
      <c r="J82" s="30"/>
      <c r="K82" s="30"/>
      <c r="L82" s="30" t="s">
        <v>430</v>
      </c>
      <c r="N82" s="20"/>
    </row>
    <row r="83" spans="2:14" x14ac:dyDescent="0.25">
      <c r="B83" s="55" t="s">
        <v>444</v>
      </c>
      <c r="C83" s="6"/>
      <c r="D83" s="57" t="s">
        <v>444</v>
      </c>
      <c r="E83" s="5"/>
      <c r="F83" s="3"/>
      <c r="G83" t="s">
        <v>230</v>
      </c>
      <c r="H83" s="57">
        <v>13.8</v>
      </c>
      <c r="I83" s="3"/>
      <c r="J83" s="30"/>
      <c r="K83" s="30"/>
      <c r="L83" s="30" t="s">
        <v>435</v>
      </c>
    </row>
    <row r="84" spans="2:14" x14ac:dyDescent="0.25">
      <c r="B84" s="55" t="s">
        <v>445</v>
      </c>
      <c r="C84" s="6"/>
      <c r="D84" s="57" t="s">
        <v>445</v>
      </c>
      <c r="E84" s="5"/>
      <c r="F84" s="3"/>
      <c r="G84" t="s">
        <v>230</v>
      </c>
      <c r="H84" s="20">
        <v>18.100000000000001</v>
      </c>
      <c r="I84" s="3"/>
      <c r="J84" s="34"/>
      <c r="K84" s="63" t="s">
        <v>110</v>
      </c>
      <c r="L84" s="30" t="s">
        <v>221</v>
      </c>
    </row>
    <row r="85" spans="2:14" x14ac:dyDescent="0.25">
      <c r="B85" s="55" t="s">
        <v>446</v>
      </c>
      <c r="C85" s="6"/>
      <c r="D85" s="57" t="s">
        <v>446</v>
      </c>
      <c r="E85" s="5"/>
      <c r="F85" s="3"/>
      <c r="G85" t="s">
        <v>230</v>
      </c>
      <c r="H85" s="20">
        <v>21.9</v>
      </c>
      <c r="I85" s="3"/>
      <c r="J85" s="34"/>
      <c r="K85" s="63" t="s">
        <v>110</v>
      </c>
      <c r="L85" s="30" t="s">
        <v>221</v>
      </c>
    </row>
    <row r="86" spans="2:14" x14ac:dyDescent="0.25">
      <c r="B86" s="55" t="s">
        <v>447</v>
      </c>
      <c r="C86" s="6"/>
      <c r="D86" s="57" t="s">
        <v>447</v>
      </c>
      <c r="E86" s="5"/>
      <c r="F86" s="3"/>
      <c r="G86" t="s">
        <v>230</v>
      </c>
      <c r="H86" s="57">
        <v>4</v>
      </c>
      <c r="I86" s="3"/>
      <c r="J86" s="34"/>
      <c r="K86" s="63" t="s">
        <v>448</v>
      </c>
      <c r="L86" s="30" t="s">
        <v>449</v>
      </c>
    </row>
    <row r="87" spans="2:14" x14ac:dyDescent="0.25">
      <c r="B87" s="55" t="s">
        <v>450</v>
      </c>
      <c r="C87" s="6"/>
      <c r="D87" s="57" t="s">
        <v>450</v>
      </c>
      <c r="E87" s="5"/>
      <c r="F87" s="3"/>
      <c r="G87" t="s">
        <v>230</v>
      </c>
      <c r="H87" s="20">
        <v>13.8</v>
      </c>
      <c r="I87" s="3"/>
      <c r="J87" s="30"/>
      <c r="K87" s="30"/>
      <c r="L87" s="30" t="s">
        <v>435</v>
      </c>
    </row>
    <row r="88" spans="2:14" x14ac:dyDescent="0.25">
      <c r="B88" s="55" t="s">
        <v>451</v>
      </c>
      <c r="C88" s="6"/>
      <c r="D88" s="57" t="s">
        <v>451</v>
      </c>
      <c r="E88" s="5"/>
      <c r="F88" s="3"/>
      <c r="G88" t="s">
        <v>230</v>
      </c>
      <c r="H88" s="20">
        <v>13.8</v>
      </c>
      <c r="I88" s="3"/>
      <c r="J88" s="30"/>
      <c r="K88" s="30"/>
      <c r="L88" s="30" t="s">
        <v>435</v>
      </c>
    </row>
    <row r="89" spans="2:14" x14ac:dyDescent="0.25">
      <c r="B89" s="55" t="s">
        <v>452</v>
      </c>
      <c r="C89" s="6"/>
      <c r="D89" s="57" t="s">
        <v>452</v>
      </c>
      <c r="E89" s="5"/>
      <c r="F89" s="3"/>
      <c r="G89" t="s">
        <v>230</v>
      </c>
      <c r="H89" s="57">
        <v>4</v>
      </c>
      <c r="I89" s="3"/>
      <c r="J89" s="34"/>
      <c r="K89" s="63"/>
      <c r="L89" s="30" t="s">
        <v>453</v>
      </c>
    </row>
    <row r="90" spans="2:14" x14ac:dyDescent="0.25">
      <c r="B90" s="55" t="s">
        <v>454</v>
      </c>
      <c r="C90" s="6"/>
      <c r="D90" s="57" t="s">
        <v>454</v>
      </c>
      <c r="E90" s="5"/>
      <c r="F90" s="3"/>
      <c r="G90" t="s">
        <v>230</v>
      </c>
      <c r="H90" s="20">
        <v>9.1</v>
      </c>
      <c r="J90" s="34"/>
      <c r="K90" s="63" t="s">
        <v>110</v>
      </c>
      <c r="L90" s="30" t="s">
        <v>221</v>
      </c>
    </row>
    <row r="91" spans="2:14" x14ac:dyDescent="0.25">
      <c r="B91" s="48"/>
      <c r="C91" s="8"/>
      <c r="D91" s="19"/>
      <c r="E91" s="15"/>
      <c r="F91" s="19"/>
      <c r="G91" s="19"/>
      <c r="I91" s="19"/>
      <c r="J91" s="30"/>
      <c r="K91" s="41"/>
      <c r="L91" s="30"/>
    </row>
    <row r="92" spans="2:14" ht="76.150000000000006" customHeight="1" x14ac:dyDescent="0.25">
      <c r="B92" s="55" t="str">
        <f>VLOOKUP(D92,Lookup!$B$5:$C$78,2,FALSE())</f>
        <v>pa_dose_response_quantile</v>
      </c>
      <c r="C92" s="6" t="s">
        <v>455</v>
      </c>
      <c r="D92" s="57" t="s">
        <v>456</v>
      </c>
      <c r="E92" s="13" t="s">
        <v>457</v>
      </c>
      <c r="F92" t="s">
        <v>296</v>
      </c>
      <c r="G92" t="s">
        <v>371</v>
      </c>
      <c r="H92" t="s">
        <v>285</v>
      </c>
      <c r="I92" t="s">
        <v>297</v>
      </c>
      <c r="J92" s="30" t="s">
        <v>458</v>
      </c>
      <c r="K92" s="41"/>
      <c r="L92" s="30"/>
    </row>
    <row r="93" spans="2:14" ht="90" x14ac:dyDescent="0.25">
      <c r="B93" s="55" t="str">
        <f>VLOOKUP(D93,Lookup!$B$5:$C$78,2,FALSE())</f>
        <v>ap_dose_response_quantile</v>
      </c>
      <c r="C93" s="6"/>
      <c r="D93" s="57" t="s">
        <v>459</v>
      </c>
      <c r="E93" s="13" t="s">
        <v>457</v>
      </c>
      <c r="F93" t="s">
        <v>296</v>
      </c>
      <c r="G93" t="s">
        <v>371</v>
      </c>
      <c r="H93" t="s">
        <v>285</v>
      </c>
      <c r="I93" t="s">
        <v>297</v>
      </c>
      <c r="J93" s="30" t="s">
        <v>458</v>
      </c>
      <c r="K93" s="30"/>
      <c r="L93" s="30"/>
    </row>
    <row r="94" spans="2:14" ht="30" x14ac:dyDescent="0.25">
      <c r="B94" s="55" t="str">
        <f>VLOOKUP(D94,Lookup!$B$5:$C$78,2,FALSE())</f>
        <v>chronic_disease_scalar</v>
      </c>
      <c r="C94" s="6"/>
      <c r="D94" s="57" t="s">
        <v>460</v>
      </c>
      <c r="E94" s="13" t="s">
        <v>461</v>
      </c>
      <c r="F94" t="s">
        <v>235</v>
      </c>
      <c r="G94" t="s">
        <v>219</v>
      </c>
      <c r="H94">
        <v>1</v>
      </c>
      <c r="I94" t="s">
        <v>225</v>
      </c>
      <c r="J94" s="63" t="s">
        <v>462</v>
      </c>
      <c r="K94" s="30"/>
      <c r="L94" s="30"/>
    </row>
    <row r="95" spans="2:14" x14ac:dyDescent="0.25">
      <c r="B95" s="55"/>
      <c r="C95" s="8"/>
      <c r="D95" s="19"/>
      <c r="E95" s="15"/>
      <c r="F95" s="19"/>
      <c r="G95" s="19"/>
      <c r="I95" s="19"/>
      <c r="J95" s="63"/>
      <c r="K95" s="30"/>
      <c r="L95" s="30"/>
    </row>
    <row r="96" spans="2:14" ht="46.35" customHeight="1" x14ac:dyDescent="0.25">
      <c r="B96" s="55" t="str">
        <f>VLOOKUP(D96,Lookup!$B$5:$C$78,2,FALSE())</f>
        <v>injury_reporting_rate</v>
      </c>
      <c r="C96" s="6" t="s">
        <v>463</v>
      </c>
      <c r="D96" s="57" t="s">
        <v>464</v>
      </c>
      <c r="E96" s="13" t="s">
        <v>465</v>
      </c>
      <c r="F96" t="s">
        <v>235</v>
      </c>
      <c r="G96" t="s">
        <v>224</v>
      </c>
      <c r="H96">
        <v>1</v>
      </c>
      <c r="I96" t="s">
        <v>225</v>
      </c>
      <c r="J96" s="63" t="s">
        <v>466</v>
      </c>
      <c r="K96" s="30"/>
      <c r="L96" s="30"/>
    </row>
    <row r="97" spans="2:12" ht="135" x14ac:dyDescent="0.25">
      <c r="B97" s="55" t="str">
        <f>VLOOKUP(D97,Lookup!$B$5:$C$78,2,FALSE())</f>
        <v>sin_exponent_sum</v>
      </c>
      <c r="C97" s="6"/>
      <c r="D97" s="57" t="s">
        <v>467</v>
      </c>
      <c r="E97" s="13" t="s">
        <v>468</v>
      </c>
      <c r="F97" t="s">
        <v>296</v>
      </c>
      <c r="G97" t="s">
        <v>219</v>
      </c>
      <c r="H97">
        <v>2</v>
      </c>
      <c r="I97" t="s">
        <v>297</v>
      </c>
      <c r="J97" s="63" t="s">
        <v>469</v>
      </c>
      <c r="K97" s="63"/>
      <c r="L97" s="30"/>
    </row>
    <row r="98" spans="2:12" ht="90" x14ac:dyDescent="0.25">
      <c r="B98" s="55" t="str">
        <f>VLOOKUP(D98,Lookup!$B$5:$C$78,2,FALSE())</f>
        <v>casualty_exponent_fraction</v>
      </c>
      <c r="C98" s="6"/>
      <c r="D98" s="57" t="s">
        <v>470</v>
      </c>
      <c r="E98" s="13" t="s">
        <v>471</v>
      </c>
      <c r="F98" t="s">
        <v>296</v>
      </c>
      <c r="G98" t="s">
        <v>224</v>
      </c>
      <c r="H98">
        <v>0.5</v>
      </c>
      <c r="I98" t="s">
        <v>297</v>
      </c>
      <c r="J98" s="63" t="s">
        <v>472</v>
      </c>
      <c r="K98" s="30"/>
      <c r="L98" s="30"/>
    </row>
    <row r="99" spans="2:12" ht="48" customHeight="1" x14ac:dyDescent="0.25">
      <c r="B99" s="55" t="str">
        <f>VLOOKUP(D99,Lookup!$B$5:$C$78,2,FALSE())</f>
        <v>sin_exponent_sum_nov</v>
      </c>
      <c r="C99" s="6"/>
      <c r="D99" s="57" t="s">
        <v>473</v>
      </c>
      <c r="E99" s="13" t="s">
        <v>474</v>
      </c>
      <c r="F99" t="s">
        <v>296</v>
      </c>
      <c r="G99" t="s">
        <v>219</v>
      </c>
      <c r="H99">
        <v>1</v>
      </c>
      <c r="I99" t="s">
        <v>297</v>
      </c>
      <c r="J99" s="63" t="s">
        <v>475</v>
      </c>
      <c r="K99" s="30"/>
      <c r="L99" s="30"/>
    </row>
    <row r="100" spans="2:12" ht="44.25" customHeight="1" x14ac:dyDescent="0.25">
      <c r="B100" s="55" t="str">
        <f>VLOOKUP(D100,Lookup!$B$5:$C$78,2,FALSE())</f>
        <v>sin_exponent_sum_cycle</v>
      </c>
      <c r="C100" s="6"/>
      <c r="D100" s="57" t="s">
        <v>476</v>
      </c>
      <c r="E100" s="13" t="s">
        <v>477</v>
      </c>
      <c r="F100" t="s">
        <v>296</v>
      </c>
      <c r="G100" t="s">
        <v>219</v>
      </c>
      <c r="H100">
        <v>2</v>
      </c>
      <c r="I100" t="s">
        <v>297</v>
      </c>
      <c r="J100" s="63" t="s">
        <v>469</v>
      </c>
      <c r="K100" s="30"/>
      <c r="L100" s="30"/>
    </row>
    <row r="101" spans="2:12" ht="39" customHeight="1" x14ac:dyDescent="0.25">
      <c r="B101" s="55" t="str">
        <f>VLOOKUP(D101,Lookup!$B$5:$C$78,2,FALSE())</f>
        <v>casualty_exponent_fraction_cycle</v>
      </c>
      <c r="C101" s="6"/>
      <c r="D101" s="57" t="s">
        <v>478</v>
      </c>
      <c r="E101" s="13" t="s">
        <v>479</v>
      </c>
      <c r="F101" t="s">
        <v>296</v>
      </c>
      <c r="G101" t="s">
        <v>224</v>
      </c>
      <c r="H101">
        <v>0.5</v>
      </c>
      <c r="I101" t="s">
        <v>297</v>
      </c>
      <c r="J101" s="63" t="s">
        <v>472</v>
      </c>
      <c r="K101" s="30"/>
      <c r="L101" s="30"/>
    </row>
    <row r="102" spans="2:12" ht="30" customHeight="1" x14ac:dyDescent="0.25">
      <c r="B102" s="55" t="str">
        <f>VLOOKUP(D102,Lookup!$B$5:$C$78,2,FALSE())</f>
        <v>sin_exponent_sum_ped</v>
      </c>
      <c r="C102" s="6"/>
      <c r="D102" s="57" t="s">
        <v>480</v>
      </c>
      <c r="E102" s="13" t="s">
        <v>481</v>
      </c>
      <c r="F102" t="s">
        <v>296</v>
      </c>
      <c r="G102" t="s">
        <v>219</v>
      </c>
      <c r="H102">
        <v>2</v>
      </c>
      <c r="I102" t="s">
        <v>297</v>
      </c>
      <c r="J102" s="63" t="s">
        <v>469</v>
      </c>
      <c r="K102" s="30"/>
      <c r="L102" s="30"/>
    </row>
    <row r="103" spans="2:12" ht="39" customHeight="1" x14ac:dyDescent="0.25">
      <c r="B103" s="55" t="str">
        <f>VLOOKUP(D103,Lookup!$B$5:$C$78,2,FALSE())</f>
        <v>casualty_exponent_fraction_ped</v>
      </c>
      <c r="C103" s="6"/>
      <c r="D103" s="57" t="s">
        <v>482</v>
      </c>
      <c r="E103" s="13" t="s">
        <v>483</v>
      </c>
      <c r="F103" t="s">
        <v>296</v>
      </c>
      <c r="G103" t="s">
        <v>224</v>
      </c>
      <c r="H103">
        <v>0.5</v>
      </c>
      <c r="I103" t="s">
        <v>297</v>
      </c>
      <c r="J103" s="63" t="s">
        <v>472</v>
      </c>
      <c r="K103" s="30"/>
      <c r="L103" s="30"/>
    </row>
    <row r="104" spans="2:12" ht="32.25" customHeight="1" x14ac:dyDescent="0.25">
      <c r="B104" s="55" t="str">
        <f>VLOOKUP(D104,Lookup!$B$5:$C$78,2,FALSE())</f>
        <v>sin_exponent_sum_veh</v>
      </c>
      <c r="C104" s="6"/>
      <c r="D104" s="57" t="s">
        <v>484</v>
      </c>
      <c r="E104" s="13" t="s">
        <v>485</v>
      </c>
      <c r="F104" t="s">
        <v>296</v>
      </c>
      <c r="G104" t="s">
        <v>219</v>
      </c>
      <c r="H104">
        <v>2</v>
      </c>
      <c r="I104" t="s">
        <v>297</v>
      </c>
      <c r="J104" s="63" t="s">
        <v>469</v>
      </c>
      <c r="K104" s="30"/>
      <c r="L104" s="30"/>
    </row>
    <row r="105" spans="2:12" ht="30.75" customHeight="1" x14ac:dyDescent="0.25">
      <c r="B105" s="55" t="str">
        <f>VLOOKUP(D105,Lookup!$B$5:$C$78,2,FALSE())</f>
        <v>casualty_exponent_fraction_veh</v>
      </c>
      <c r="C105" s="6"/>
      <c r="D105" s="57" t="s">
        <v>486</v>
      </c>
      <c r="E105" s="13" t="s">
        <v>487</v>
      </c>
      <c r="F105" t="s">
        <v>296</v>
      </c>
      <c r="G105" t="s">
        <v>224</v>
      </c>
      <c r="H105">
        <v>0.5</v>
      </c>
      <c r="I105" t="s">
        <v>297</v>
      </c>
      <c r="J105" s="63" t="s">
        <v>472</v>
      </c>
      <c r="K105" s="30"/>
      <c r="L105" s="30"/>
    </row>
    <row r="106" spans="2:12" ht="30.75" customHeight="1" x14ac:dyDescent="0.25">
      <c r="B106" s="55" t="str">
        <f>VLOOKUP(D106,Lookup!$B$5:$C$78,2,FALSE())</f>
        <v>call_individual_sin</v>
      </c>
      <c r="C106" s="6"/>
      <c r="D106" s="57" t="s">
        <v>488</v>
      </c>
      <c r="E106" s="13" t="s">
        <v>489</v>
      </c>
      <c r="F106" t="s">
        <v>296</v>
      </c>
      <c r="G106" t="s">
        <v>371</v>
      </c>
      <c r="H106" t="s">
        <v>285</v>
      </c>
      <c r="I106" t="s">
        <v>297</v>
      </c>
      <c r="J106" s="30" t="s">
        <v>490</v>
      </c>
      <c r="K106" s="30"/>
      <c r="L106" s="30"/>
    </row>
    <row r="107" spans="2:12" x14ac:dyDescent="0.25">
      <c r="C107" s="8"/>
      <c r="D107" s="19"/>
      <c r="E107" s="15"/>
      <c r="F107" s="19"/>
      <c r="G107" s="19"/>
      <c r="I107" s="19"/>
      <c r="J107" s="30"/>
      <c r="K107" s="30"/>
      <c r="L107" s="30"/>
    </row>
    <row r="108" spans="2:12" ht="66" customHeight="1" x14ac:dyDescent="0.25">
      <c r="B108" s="55" t="str">
        <f>VLOOKUP(D108,Lookup!$B$5:$C$78,2,FALSE())</f>
        <v>scenario_name</v>
      </c>
      <c r="C108" s="6" t="s">
        <v>491</v>
      </c>
      <c r="D108" s="57" t="s">
        <v>492</v>
      </c>
      <c r="E108" s="13" t="s">
        <v>493</v>
      </c>
      <c r="F108" t="s">
        <v>494</v>
      </c>
      <c r="G108" t="s">
        <v>371</v>
      </c>
      <c r="H108" t="s">
        <v>495</v>
      </c>
      <c r="I108" t="s">
        <v>297</v>
      </c>
      <c r="J108" s="30" t="s">
        <v>496</v>
      </c>
      <c r="K108" s="30"/>
      <c r="L108" s="30"/>
    </row>
    <row r="109" spans="2:12" ht="240" x14ac:dyDescent="0.25">
      <c r="B109" s="55" t="str">
        <f>VLOOKUP(D109,Lookup!$B$5:$C$78,2,FALSE())</f>
        <v>reference_scenario</v>
      </c>
      <c r="C109" s="6"/>
      <c r="D109" s="57" t="s">
        <v>497</v>
      </c>
      <c r="E109" s="13" t="s">
        <v>498</v>
      </c>
      <c r="F109" t="s">
        <v>499</v>
      </c>
      <c r="G109" t="s">
        <v>500</v>
      </c>
      <c r="H109" t="s">
        <v>501</v>
      </c>
      <c r="I109" t="s">
        <v>297</v>
      </c>
      <c r="J109" s="30" t="s">
        <v>502</v>
      </c>
      <c r="K109" s="30"/>
      <c r="L109" s="30"/>
    </row>
    <row r="110" spans="2:12" x14ac:dyDescent="0.25">
      <c r="C110" s="8"/>
      <c r="D110" s="19"/>
      <c r="E110" s="15"/>
      <c r="F110" s="19"/>
      <c r="G110" s="19"/>
      <c r="I110" s="19"/>
      <c r="J110" s="30"/>
      <c r="K110" s="30"/>
      <c r="L110" s="30"/>
    </row>
    <row r="111" spans="2:12" ht="30" customHeight="1" x14ac:dyDescent="0.25">
      <c r="B111" s="55" t="str">
        <f>VLOOKUP(D111,Lookup!$B$5:$C$78,2,FALSE())</f>
        <v>country</v>
      </c>
      <c r="C111" s="6" t="s">
        <v>503</v>
      </c>
      <c r="D111" s="57" t="s">
        <v>504</v>
      </c>
      <c r="E111" s="13" t="s">
        <v>505</v>
      </c>
      <c r="F111" t="s">
        <v>506</v>
      </c>
      <c r="G111" t="s">
        <v>500</v>
      </c>
      <c r="H111" t="s">
        <v>507</v>
      </c>
      <c r="I111" t="s">
        <v>508</v>
      </c>
      <c r="J111" s="30" t="s">
        <v>509</v>
      </c>
      <c r="K111" s="30"/>
      <c r="L111" s="30"/>
    </row>
    <row r="112" spans="2:12" x14ac:dyDescent="0.25">
      <c r="B112" s="55" t="str">
        <f>VLOOKUP(D112,Lookup!$B$5:$C$78,2,FALSE())</f>
        <v>continent</v>
      </c>
      <c r="C112" s="6"/>
      <c r="D112" s="57" t="s">
        <v>510</v>
      </c>
      <c r="E112" s="13" t="s">
        <v>92</v>
      </c>
      <c r="F112" t="s">
        <v>506</v>
      </c>
      <c r="G112" t="s">
        <v>500</v>
      </c>
      <c r="H112" s="20" t="s">
        <v>93</v>
      </c>
      <c r="I112" t="s">
        <v>508</v>
      </c>
      <c r="J112" s="30" t="s">
        <v>509</v>
      </c>
      <c r="K112" s="30"/>
      <c r="L112" s="30"/>
    </row>
    <row r="113" spans="2:12" ht="60" x14ac:dyDescent="0.25">
      <c r="B113" s="55" t="str">
        <f>VLOOKUP(D113,Lookup!$B$5:$C$78,2,FALSE())</f>
        <v>dist_cat</v>
      </c>
      <c r="C113" s="6"/>
      <c r="D113" s="57" t="s">
        <v>511</v>
      </c>
      <c r="E113" s="13" t="s">
        <v>512</v>
      </c>
      <c r="F113" t="s">
        <v>296</v>
      </c>
      <c r="G113" t="s">
        <v>513</v>
      </c>
      <c r="H113" s="57" t="s">
        <v>514</v>
      </c>
      <c r="I113" t="s">
        <v>297</v>
      </c>
      <c r="J113" s="30" t="s">
        <v>515</v>
      </c>
      <c r="K113" s="30"/>
      <c r="L113" s="30"/>
    </row>
    <row r="114" spans="2:12" ht="30" x14ac:dyDescent="0.25">
      <c r="B114" s="55" t="str">
        <f>VLOOKUP(D114,Lookup!$B$5:$C$78,2,FALSE())</f>
        <v>age_range</v>
      </c>
      <c r="C114" s="6"/>
      <c r="D114" s="57" t="s">
        <v>516</v>
      </c>
      <c r="E114" s="13" t="s">
        <v>517</v>
      </c>
      <c r="F114" t="s">
        <v>296</v>
      </c>
      <c r="G114" t="s">
        <v>513</v>
      </c>
      <c r="H114" t="s">
        <v>518</v>
      </c>
      <c r="I114" t="s">
        <v>297</v>
      </c>
      <c r="J114" s="30" t="s">
        <v>519</v>
      </c>
      <c r="K114" s="30"/>
      <c r="L114" s="30"/>
    </row>
    <row r="115" spans="2:12" x14ac:dyDescent="0.25">
      <c r="C115" s="57"/>
      <c r="D115" s="57"/>
      <c r="F115" s="57"/>
    </row>
    <row r="116" spans="2:12" x14ac:dyDescent="0.25">
      <c r="C116" s="57"/>
    </row>
  </sheetData>
  <mergeCells count="14">
    <mergeCell ref="C92:C94"/>
    <mergeCell ref="C96:C106"/>
    <mergeCell ref="C108:C109"/>
    <mergeCell ref="C111:C114"/>
    <mergeCell ref="C29:C40"/>
    <mergeCell ref="C42:C90"/>
    <mergeCell ref="E71:E90"/>
    <mergeCell ref="F71:F90"/>
    <mergeCell ref="I71:I89"/>
    <mergeCell ref="C5:C27"/>
    <mergeCell ref="E8:E16"/>
    <mergeCell ref="F8:F16"/>
    <mergeCell ref="E18:E26"/>
    <mergeCell ref="F18:F26"/>
  </mergeCells>
  <hyperlinks>
    <hyperlink ref="J5" r:id="rId1" xr:uid="{00000000-0004-0000-0500-000000000000}"/>
    <hyperlink ref="J8" r:id="rId2" xr:uid="{00000000-0004-0000-0500-000001000000}"/>
    <hyperlink ref="J9" r:id="rId3" xr:uid="{00000000-0004-0000-0500-000002000000}"/>
    <hyperlink ref="J10" r:id="rId4" xr:uid="{00000000-0004-0000-0500-000003000000}"/>
    <hyperlink ref="J11" r:id="rId5" xr:uid="{00000000-0004-0000-0500-000004000000}"/>
    <hyperlink ref="J12" r:id="rId6" xr:uid="{00000000-0004-0000-0500-000005000000}"/>
    <hyperlink ref="J13" r:id="rId7" xr:uid="{00000000-0004-0000-0500-000006000000}"/>
    <hyperlink ref="J14" r:id="rId8" xr:uid="{00000000-0004-0000-0500-000007000000}"/>
    <hyperlink ref="J15" r:id="rId9" xr:uid="{00000000-0004-0000-0500-000008000000}"/>
    <hyperlink ref="J16" r:id="rId10" xr:uid="{00000000-0004-0000-0500-000009000000}"/>
    <hyperlink ref="J18" r:id="rId11" xr:uid="{00000000-0004-0000-0500-00000A000000}"/>
    <hyperlink ref="J19" r:id="rId12" xr:uid="{00000000-0004-0000-0500-00000B000000}"/>
    <hyperlink ref="J20" r:id="rId13" xr:uid="{00000000-0004-0000-0500-00000C000000}"/>
    <hyperlink ref="J21" r:id="rId14" xr:uid="{00000000-0004-0000-0500-00000D000000}"/>
    <hyperlink ref="J22" r:id="rId15" xr:uid="{00000000-0004-0000-0500-00000E000000}"/>
    <hyperlink ref="J23" r:id="rId16" xr:uid="{00000000-0004-0000-0500-00000F000000}"/>
    <hyperlink ref="J24" r:id="rId17" xr:uid="{00000000-0004-0000-0500-000010000000}"/>
    <hyperlink ref="J25" r:id="rId18" xr:uid="{00000000-0004-0000-0500-000011000000}"/>
    <hyperlink ref="J26" r:id="rId19" xr:uid="{00000000-0004-0000-0500-000012000000}"/>
    <hyperlink ref="J46" r:id="rId20" xr:uid="{00000000-0004-0000-0500-000013000000}"/>
    <hyperlink ref="J60" r:id="rId21" xr:uid="{00000000-0004-0000-0500-000014000000}"/>
    <hyperlink ref="J61" r:id="rId22" xr:uid="{00000000-0004-0000-0500-000015000000}"/>
    <hyperlink ref="J62" r:id="rId23" xr:uid="{00000000-0004-0000-0500-000016000000}"/>
    <hyperlink ref="J63" r:id="rId24" xr:uid="{00000000-0004-0000-0500-000017000000}"/>
    <hyperlink ref="J67" r:id="rId25" xr:uid="{00000000-0004-0000-0500-000018000000}"/>
    <hyperlink ref="J68" r:id="rId26" xr:uid="{00000000-0004-0000-0500-000019000000}"/>
    <hyperlink ref="J69" r:id="rId27" xr:uid="{00000000-0004-0000-0500-00001A000000}"/>
  </hyperlink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4:L26"/>
  <sheetViews>
    <sheetView zoomScaleNormal="100" workbookViewId="0">
      <selection activeCell="M34" sqref="M34"/>
    </sheetView>
  </sheetViews>
  <sheetFormatPr defaultColWidth="8.5703125" defaultRowHeight="15" x14ac:dyDescent="0.25"/>
  <sheetData>
    <row r="4" spans="2:12" x14ac:dyDescent="0.25">
      <c r="B4" s="19" t="s">
        <v>520</v>
      </c>
    </row>
    <row r="7" spans="2:12" x14ac:dyDescent="0.25">
      <c r="B7" t="s">
        <v>521</v>
      </c>
      <c r="L7" s="52" t="s">
        <v>522</v>
      </c>
    </row>
    <row r="11" spans="2:12" x14ac:dyDescent="0.25">
      <c r="B11" s="19" t="s">
        <v>297</v>
      </c>
    </row>
    <row r="13" spans="2:12" x14ac:dyDescent="0.25">
      <c r="B13" t="s">
        <v>523</v>
      </c>
      <c r="E13" t="s">
        <v>524</v>
      </c>
      <c r="K13" t="s">
        <v>525</v>
      </c>
    </row>
    <row r="16" spans="2:12" x14ac:dyDescent="0.25">
      <c r="B16" s="19" t="s">
        <v>526</v>
      </c>
    </row>
    <row r="18" spans="2:11" x14ac:dyDescent="0.25">
      <c r="B18" t="s">
        <v>527</v>
      </c>
      <c r="E18" t="s">
        <v>528</v>
      </c>
      <c r="K18" t="s">
        <v>529</v>
      </c>
    </row>
    <row r="20" spans="2:11" x14ac:dyDescent="0.25">
      <c r="B20" t="s">
        <v>530</v>
      </c>
      <c r="E20" t="s">
        <v>531</v>
      </c>
    </row>
    <row r="22" spans="2:11" x14ac:dyDescent="0.25">
      <c r="B22" t="s">
        <v>532</v>
      </c>
      <c r="E22" t="s">
        <v>533</v>
      </c>
    </row>
    <row r="24" spans="2:11" x14ac:dyDescent="0.25">
      <c r="B24" t="s">
        <v>534</v>
      </c>
      <c r="E24" t="s">
        <v>535</v>
      </c>
    </row>
    <row r="26" spans="2:11" x14ac:dyDescent="0.25">
      <c r="B26" t="s">
        <v>536</v>
      </c>
      <c r="E26" t="s">
        <v>537</v>
      </c>
    </row>
  </sheetData>
  <hyperlinks>
    <hyperlink ref="L7" r:id="rId1" xr:uid="{00000000-0004-0000-0600-000000000000}"/>
  </hyperlink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I1070"/>
  <sheetViews>
    <sheetView zoomScaleNormal="100" workbookViewId="0">
      <selection activeCell="L59" sqref="L59"/>
    </sheetView>
  </sheetViews>
  <sheetFormatPr defaultColWidth="8.5703125" defaultRowHeight="15" x14ac:dyDescent="0.25"/>
  <cols>
    <col min="4" max="4" width="22.140625" customWidth="1"/>
    <col min="5" max="5" width="19.42578125" customWidth="1"/>
    <col min="6" max="6" width="4.42578125" customWidth="1"/>
    <col min="7" max="7" width="17.42578125" customWidth="1"/>
    <col min="8" max="8" width="16.42578125" customWidth="1"/>
  </cols>
  <sheetData>
    <row r="2" spans="2:9" x14ac:dyDescent="0.25">
      <c r="B2" t="s">
        <v>538</v>
      </c>
    </row>
    <row r="3" spans="2:9" x14ac:dyDescent="0.25">
      <c r="B3" t="s">
        <v>539</v>
      </c>
    </row>
    <row r="4" spans="2:9" x14ac:dyDescent="0.25">
      <c r="B4" t="s">
        <v>540</v>
      </c>
    </row>
    <row r="5" spans="2:9" x14ac:dyDescent="0.25">
      <c r="E5" s="19"/>
      <c r="F5" s="19"/>
    </row>
    <row r="6" spans="2:9" x14ac:dyDescent="0.25">
      <c r="C6" s="19" t="s">
        <v>541</v>
      </c>
      <c r="D6" s="19" t="s">
        <v>102</v>
      </c>
      <c r="E6" s="19" t="s">
        <v>508</v>
      </c>
      <c r="F6" s="19" t="s">
        <v>542</v>
      </c>
      <c r="G6" s="19" t="s">
        <v>543</v>
      </c>
    </row>
    <row r="7" spans="2:9" x14ac:dyDescent="0.25">
      <c r="C7" s="26" t="str">
        <f t="shared" ref="C7:C38" si="0">D7&amp;"_"&amp;E7</f>
        <v>PM_emission_inventories_bogota</v>
      </c>
      <c r="D7" s="54" t="s">
        <v>79</v>
      </c>
      <c r="E7" s="54" t="s">
        <v>65</v>
      </c>
      <c r="F7" s="54">
        <f ca="1">MATCH(C7,All_city_list!$D:$D,0)</f>
        <v>16</v>
      </c>
      <c r="G7" s="32" t="str">
        <f ca="1">"All_city_list!L"&amp;$F7</f>
        <v>All_city_list!L16</v>
      </c>
      <c r="H7" s="32" t="str">
        <f ca="1">"All_city_list!M"&amp;$F7</f>
        <v>All_city_list!M16</v>
      </c>
      <c r="I7" s="32" t="str">
        <f ca="1">"All_city_list!N"&amp;$F7</f>
        <v>All_city_list!N16</v>
      </c>
    </row>
    <row r="8" spans="2:9" x14ac:dyDescent="0.25">
      <c r="C8" s="26" t="str">
        <f t="shared" si="0"/>
        <v>PM_emission_inventories_city2</v>
      </c>
      <c r="D8" t="s">
        <v>79</v>
      </c>
      <c r="E8" t="s">
        <v>544</v>
      </c>
      <c r="G8" t="str">
        <f ca="1">G7</f>
        <v>All_city_list!L16</v>
      </c>
      <c r="H8" t="str">
        <f ca="1">H7</f>
        <v>All_city_list!M16</v>
      </c>
      <c r="I8" t="str">
        <f ca="1">I7</f>
        <v>All_city_list!N16</v>
      </c>
    </row>
    <row r="9" spans="2:9" x14ac:dyDescent="0.25">
      <c r="C9" s="26" t="str">
        <f t="shared" si="0"/>
        <v>chronic_disease_scalar_bogota</v>
      </c>
      <c r="D9" s="54" t="s">
        <v>545</v>
      </c>
      <c r="E9" s="54" t="s">
        <v>65</v>
      </c>
      <c r="F9" s="54" t="e">
        <f ca="1">MATCH(C9,All_city_list!$D:$D,0)</f>
        <v>#N/A</v>
      </c>
      <c r="G9" s="32" t="e">
        <f ca="1">"All_city_list!L"&amp;F9</f>
        <v>#N/A</v>
      </c>
      <c r="H9" s="32" t="e">
        <f ca="1">"All_city_list!M"&amp;$F9</f>
        <v>#N/A</v>
      </c>
      <c r="I9" s="32" t="e">
        <f ca="1">"All_city_list!N"&amp;$F9</f>
        <v>#N/A</v>
      </c>
    </row>
    <row r="10" spans="2:9" x14ac:dyDescent="0.25">
      <c r="C10" s="26" t="str">
        <f t="shared" si="0"/>
        <v>chronic_disease_scalar_city2</v>
      </c>
      <c r="D10" t="s">
        <v>545</v>
      </c>
      <c r="E10" t="s">
        <v>544</v>
      </c>
      <c r="G10" t="e">
        <f ca="1">G9</f>
        <v>#N/A</v>
      </c>
      <c r="H10" t="e">
        <f ca="1">H9</f>
        <v>#N/A</v>
      </c>
      <c r="I10" t="e">
        <f ca="1">I9</f>
        <v>#N/A</v>
      </c>
    </row>
    <row r="11" spans="2:9" x14ac:dyDescent="0.25">
      <c r="C11" s="26" t="str">
        <f t="shared" si="0"/>
        <v>pm_conc_base_bogota</v>
      </c>
      <c r="D11" s="54" t="s">
        <v>82</v>
      </c>
      <c r="E11" s="54" t="s">
        <v>65</v>
      </c>
      <c r="F11" s="54">
        <f ca="1">MATCH(C11,All_city_list!$D:$D,0)</f>
        <v>25</v>
      </c>
      <c r="G11" s="32" t="str">
        <f ca="1">"All_city_list!L"&amp;F11</f>
        <v>All_city_list!L25</v>
      </c>
      <c r="H11" s="32" t="str">
        <f ca="1">"All_city_list!M"&amp;$F11</f>
        <v>All_city_list!M25</v>
      </c>
      <c r="I11" s="32" t="str">
        <f ca="1">"All_city_list!N"&amp;$F11</f>
        <v>All_city_list!N25</v>
      </c>
    </row>
    <row r="12" spans="2:9" x14ac:dyDescent="0.25">
      <c r="C12" s="26" t="str">
        <f t="shared" si="0"/>
        <v>pm_conc_base_city2</v>
      </c>
      <c r="D12" t="s">
        <v>82</v>
      </c>
      <c r="E12" t="s">
        <v>544</v>
      </c>
      <c r="G12" t="str">
        <f ca="1">G11</f>
        <v>All_city_list!L25</v>
      </c>
      <c r="H12" t="str">
        <f ca="1">H11</f>
        <v>All_city_list!M25</v>
      </c>
      <c r="I12" t="str">
        <f ca="1">I11</f>
        <v>All_city_list!N25</v>
      </c>
    </row>
    <row r="13" spans="2:9" x14ac:dyDescent="0.25">
      <c r="C13" s="26" t="str">
        <f t="shared" si="0"/>
        <v>pm_trans_share_bogota</v>
      </c>
      <c r="D13" s="54" t="s">
        <v>86</v>
      </c>
      <c r="E13" s="54" t="s">
        <v>65</v>
      </c>
      <c r="F13" s="54">
        <f ca="1">MATCH(C13,All_city_list!$D:$D,0)</f>
        <v>28</v>
      </c>
      <c r="G13" s="32" t="str">
        <f ca="1">"All_city_list!L"&amp;F13</f>
        <v>All_city_list!L28</v>
      </c>
      <c r="H13" s="32" t="str">
        <f ca="1">"All_city_list!M"&amp;$F13</f>
        <v>All_city_list!M28</v>
      </c>
      <c r="I13" s="32" t="str">
        <f ca="1">"All_city_list!N"&amp;$F13</f>
        <v>All_city_list!N28</v>
      </c>
    </row>
    <row r="14" spans="2:9" x14ac:dyDescent="0.25">
      <c r="C14" s="26" t="str">
        <f t="shared" si="0"/>
        <v>pm_trans_share_city2</v>
      </c>
      <c r="D14" t="s">
        <v>86</v>
      </c>
      <c r="E14" t="s">
        <v>544</v>
      </c>
      <c r="G14" t="str">
        <f ca="1">G13</f>
        <v>All_city_list!L28</v>
      </c>
      <c r="H14" t="str">
        <f ca="1">H13</f>
        <v>All_city_list!M28</v>
      </c>
      <c r="I14" t="str">
        <f ca="1">I13</f>
        <v>All_city_list!N28</v>
      </c>
    </row>
    <row r="15" spans="2:9" x14ac:dyDescent="0.25">
      <c r="C15" s="26" t="str">
        <f t="shared" si="0"/>
        <v>background_pa_scalar_bogota</v>
      </c>
      <c r="D15" s="54" t="s">
        <v>546</v>
      </c>
      <c r="E15" s="54" t="s">
        <v>65</v>
      </c>
      <c r="F15" s="54" t="e">
        <f ca="1">MATCH(C15,All_city_list!$D:$D,0)</f>
        <v>#N/A</v>
      </c>
      <c r="G15" s="32" t="e">
        <f ca="1">"All_city_list!L"&amp;F15</f>
        <v>#N/A</v>
      </c>
      <c r="H15" s="32" t="e">
        <f ca="1">"All_city_list!M"&amp;$F15</f>
        <v>#N/A</v>
      </c>
      <c r="I15" s="32" t="e">
        <f ca="1">"All_city_list!N"&amp;$F15</f>
        <v>#N/A</v>
      </c>
    </row>
    <row r="16" spans="2:9" x14ac:dyDescent="0.25">
      <c r="C16" s="26" t="str">
        <f t="shared" si="0"/>
        <v>background_pa_scalar_city2</v>
      </c>
      <c r="D16" t="s">
        <v>546</v>
      </c>
      <c r="E16" t="s">
        <v>544</v>
      </c>
      <c r="G16" t="e">
        <f ca="1">G15</f>
        <v>#N/A</v>
      </c>
      <c r="H16" t="e">
        <f ca="1">H15</f>
        <v>#N/A</v>
      </c>
      <c r="I16" t="e">
        <f ca="1">I15</f>
        <v>#N/A</v>
      </c>
    </row>
    <row r="17" spans="3:9" x14ac:dyDescent="0.25">
      <c r="C17" s="26" t="str">
        <f t="shared" si="0"/>
        <v>bus_to_passenger_ratio_bogota</v>
      </c>
      <c r="D17" s="54" t="s">
        <v>547</v>
      </c>
      <c r="E17" s="54" t="s">
        <v>65</v>
      </c>
      <c r="F17" s="54" t="e">
        <f ca="1">MATCH(C17,All_city_list!$D:$D,0)</f>
        <v>#N/A</v>
      </c>
      <c r="G17" s="32" t="e">
        <f ca="1">"All_city_list!L"&amp;F17</f>
        <v>#N/A</v>
      </c>
      <c r="H17" s="32" t="e">
        <f ca="1">"All_city_list!M"&amp;$F17</f>
        <v>#N/A</v>
      </c>
      <c r="I17" s="32" t="e">
        <f ca="1">"All_city_list!N"&amp;$F17</f>
        <v>#N/A</v>
      </c>
    </row>
    <row r="18" spans="3:9" x14ac:dyDescent="0.25">
      <c r="C18" s="26" t="str">
        <f t="shared" si="0"/>
        <v>bus_to_passenger_ratio_city2</v>
      </c>
      <c r="D18" t="s">
        <v>547</v>
      </c>
      <c r="E18" t="s">
        <v>544</v>
      </c>
      <c r="G18" t="e">
        <f ca="1">G17</f>
        <v>#N/A</v>
      </c>
      <c r="H18" t="e">
        <f ca="1">H17</f>
        <v>#N/A</v>
      </c>
      <c r="I18" t="e">
        <f ca="1">I17</f>
        <v>#N/A</v>
      </c>
    </row>
    <row r="19" spans="3:9" x14ac:dyDescent="0.25">
      <c r="C19" s="26" t="str">
        <f t="shared" si="0"/>
        <v>truck_to_car_ratio_bogota</v>
      </c>
      <c r="D19" s="54" t="s">
        <v>548</v>
      </c>
      <c r="E19" s="54" t="s">
        <v>65</v>
      </c>
      <c r="F19" s="54" t="e">
        <f ca="1">MATCH(C19,All_city_list!$D:$D,0)</f>
        <v>#N/A</v>
      </c>
      <c r="G19" s="32" t="e">
        <f ca="1">"All_city_list!L"&amp;F19</f>
        <v>#N/A</v>
      </c>
      <c r="H19" s="32" t="e">
        <f ca="1">"All_city_list!M"&amp;$F19</f>
        <v>#N/A</v>
      </c>
      <c r="I19" s="32" t="e">
        <f ca="1">"All_city_list!N"&amp;$F19</f>
        <v>#N/A</v>
      </c>
    </row>
    <row r="20" spans="3:9" x14ac:dyDescent="0.25">
      <c r="C20" s="26" t="str">
        <f t="shared" si="0"/>
        <v>truck_to_car_ratio_city2</v>
      </c>
      <c r="D20" t="s">
        <v>548</v>
      </c>
      <c r="E20" t="s">
        <v>544</v>
      </c>
      <c r="G20" t="e">
        <f ca="1">G19</f>
        <v>#N/A</v>
      </c>
      <c r="H20" t="e">
        <f ca="1">H19</f>
        <v>#N/A</v>
      </c>
      <c r="I20" t="e">
        <f ca="1">I19</f>
        <v>#N/A</v>
      </c>
    </row>
    <row r="21" spans="3:9" x14ac:dyDescent="0.25">
      <c r="C21" s="26" t="str">
        <f t="shared" si="0"/>
        <v>distance_scalar_car_taxi_bogota</v>
      </c>
      <c r="D21" s="54" t="s">
        <v>549</v>
      </c>
      <c r="E21" s="54" t="s">
        <v>65</v>
      </c>
      <c r="F21" s="54" t="e">
        <f ca="1">MATCH(C21,All_city_list!$D:$D,0)</f>
        <v>#N/A</v>
      </c>
      <c r="G21" s="32" t="e">
        <f ca="1">"All_city_list!L"&amp;F21</f>
        <v>#N/A</v>
      </c>
      <c r="H21" s="32" t="e">
        <f ca="1">"All_city_list!M"&amp;$F21</f>
        <v>#N/A</v>
      </c>
      <c r="I21" s="32" t="e">
        <f ca="1">"All_city_list!N"&amp;$F21</f>
        <v>#N/A</v>
      </c>
    </row>
    <row r="22" spans="3:9" x14ac:dyDescent="0.25">
      <c r="C22" s="26" t="str">
        <f t="shared" si="0"/>
        <v>distance_scalar_car_taxi_city2</v>
      </c>
      <c r="D22" t="s">
        <v>549</v>
      </c>
      <c r="E22" t="s">
        <v>544</v>
      </c>
      <c r="G22" t="e">
        <f ca="1">G21</f>
        <v>#N/A</v>
      </c>
      <c r="H22" t="e">
        <f ca="1">H21</f>
        <v>#N/A</v>
      </c>
      <c r="I22" t="e">
        <f ca="1">I21</f>
        <v>#N/A</v>
      </c>
    </row>
    <row r="23" spans="3:9" x14ac:dyDescent="0.25">
      <c r="C23" s="26" t="str">
        <f t="shared" si="0"/>
        <v>distance_scalar_motorcycle_bogota</v>
      </c>
      <c r="D23" s="54" t="s">
        <v>550</v>
      </c>
      <c r="E23" s="54" t="s">
        <v>65</v>
      </c>
      <c r="F23" s="54" t="e">
        <f ca="1">MATCH(C23,All_city_list!$D:$D,0)</f>
        <v>#N/A</v>
      </c>
      <c r="G23" s="32" t="e">
        <f ca="1">"All_city_list!L"&amp;F23</f>
        <v>#N/A</v>
      </c>
      <c r="H23" s="32" t="e">
        <f ca="1">"All_city_list!M"&amp;$F23</f>
        <v>#N/A</v>
      </c>
      <c r="I23" s="32" t="e">
        <f ca="1">"All_city_list!N"&amp;$F23</f>
        <v>#N/A</v>
      </c>
    </row>
    <row r="24" spans="3:9" x14ac:dyDescent="0.25">
      <c r="C24" s="26" t="str">
        <f t="shared" si="0"/>
        <v>distance_scalar_motorcycle_city2</v>
      </c>
      <c r="D24" t="s">
        <v>550</v>
      </c>
      <c r="E24" t="s">
        <v>544</v>
      </c>
      <c r="G24" t="e">
        <f ca="1">G23</f>
        <v>#N/A</v>
      </c>
      <c r="H24" t="e">
        <f ca="1">H23</f>
        <v>#N/A</v>
      </c>
      <c r="I24" t="e">
        <f ca="1">I23</f>
        <v>#N/A</v>
      </c>
    </row>
    <row r="25" spans="3:9" x14ac:dyDescent="0.25">
      <c r="C25" s="26" t="str">
        <f t="shared" si="0"/>
        <v>distance_scalar_pt_bogota</v>
      </c>
      <c r="D25" s="54" t="s">
        <v>551</v>
      </c>
      <c r="E25" s="54" t="s">
        <v>65</v>
      </c>
      <c r="F25" s="54" t="e">
        <f ca="1">MATCH(C25,All_city_list!$D:$D,0)</f>
        <v>#N/A</v>
      </c>
      <c r="G25" s="32" t="e">
        <f ca="1">"All_city_list!L"&amp;F25</f>
        <v>#N/A</v>
      </c>
      <c r="H25" s="32" t="e">
        <f ca="1">"All_city_list!M"&amp;$F25</f>
        <v>#N/A</v>
      </c>
      <c r="I25" s="32" t="e">
        <f ca="1">"All_city_list!N"&amp;$F25</f>
        <v>#N/A</v>
      </c>
    </row>
    <row r="26" spans="3:9" x14ac:dyDescent="0.25">
      <c r="C26" s="26" t="str">
        <f t="shared" si="0"/>
        <v>distance_scalar_pt_city2</v>
      </c>
      <c r="D26" t="s">
        <v>551</v>
      </c>
      <c r="E26" t="s">
        <v>544</v>
      </c>
      <c r="G26" t="e">
        <f ca="1">G25</f>
        <v>#N/A</v>
      </c>
      <c r="H26" t="e">
        <f ca="1">H25</f>
        <v>#N/A</v>
      </c>
      <c r="I26" t="e">
        <f ca="1">I25</f>
        <v>#N/A</v>
      </c>
    </row>
    <row r="27" spans="3:9" x14ac:dyDescent="0.25">
      <c r="C27" s="26" t="str">
        <f t="shared" si="0"/>
        <v>distance_scalar_walking_bogota</v>
      </c>
      <c r="D27" s="54" t="s">
        <v>552</v>
      </c>
      <c r="E27" s="54" t="s">
        <v>65</v>
      </c>
      <c r="F27" s="54" t="e">
        <f ca="1">MATCH(C27,All_city_list!$D:$D,0)</f>
        <v>#N/A</v>
      </c>
      <c r="G27" s="32" t="e">
        <f ca="1">"All_city_list!L"&amp;F27</f>
        <v>#N/A</v>
      </c>
      <c r="H27" s="32" t="e">
        <f ca="1">"All_city_list!M"&amp;$F27</f>
        <v>#N/A</v>
      </c>
      <c r="I27" s="32" t="e">
        <f ca="1">"All_city_list!N"&amp;$F27</f>
        <v>#N/A</v>
      </c>
    </row>
    <row r="28" spans="3:9" x14ac:dyDescent="0.25">
      <c r="C28" s="26" t="str">
        <f t="shared" si="0"/>
        <v>distance_scalar_walking_city2</v>
      </c>
      <c r="D28" t="s">
        <v>552</v>
      </c>
      <c r="E28" t="s">
        <v>544</v>
      </c>
      <c r="G28" t="e">
        <f ca="1">G27</f>
        <v>#N/A</v>
      </c>
      <c r="H28" t="e">
        <f ca="1">H27</f>
        <v>#N/A</v>
      </c>
      <c r="I28" t="e">
        <f ca="1">I27</f>
        <v>#N/A</v>
      </c>
    </row>
    <row r="29" spans="3:9" x14ac:dyDescent="0.25">
      <c r="C29" s="26" t="str">
        <f t="shared" si="0"/>
        <v>distance_scalar_cycling_bogota</v>
      </c>
      <c r="D29" s="54" t="s">
        <v>553</v>
      </c>
      <c r="E29" s="54" t="s">
        <v>65</v>
      </c>
      <c r="F29" s="54" t="e">
        <f ca="1">MATCH(C29,All_city_list!$D:$D,0)</f>
        <v>#N/A</v>
      </c>
      <c r="G29" s="32" t="e">
        <f ca="1">"All_city_list!L"&amp;F29</f>
        <v>#N/A</v>
      </c>
      <c r="H29" s="32" t="e">
        <f ca="1">"All_city_list!M"&amp;$F29</f>
        <v>#N/A</v>
      </c>
      <c r="I29" s="32" t="e">
        <f ca="1">"All_city_list!N"&amp;$F29</f>
        <v>#N/A</v>
      </c>
    </row>
    <row r="30" spans="3:9" x14ac:dyDescent="0.25">
      <c r="C30" s="26" t="str">
        <f t="shared" si="0"/>
        <v>distance_scalar_cycling_city2</v>
      </c>
      <c r="D30" t="s">
        <v>553</v>
      </c>
      <c r="E30" t="s">
        <v>544</v>
      </c>
      <c r="G30" t="e">
        <f ca="1">G29</f>
        <v>#N/A</v>
      </c>
      <c r="H30" t="e">
        <f ca="1">H29</f>
        <v>#N/A</v>
      </c>
      <c r="I30" t="e">
        <f ca="1">I29</f>
        <v>#N/A</v>
      </c>
    </row>
    <row r="31" spans="3:9" x14ac:dyDescent="0.25">
      <c r="C31" s="26" t="str">
        <f t="shared" si="0"/>
        <v>injury_reporting_rate_bogota</v>
      </c>
      <c r="D31" s="54" t="s">
        <v>554</v>
      </c>
      <c r="E31" s="54" t="s">
        <v>65</v>
      </c>
      <c r="F31" s="54" t="e">
        <f ca="1">MATCH(C31,All_city_list!$D:$D,0)</f>
        <v>#N/A</v>
      </c>
      <c r="G31" s="32" t="e">
        <f ca="1">"All_city_list!L"&amp;F31</f>
        <v>#N/A</v>
      </c>
      <c r="H31" s="32" t="e">
        <f ca="1">"All_city_list!M"&amp;$F31</f>
        <v>#N/A</v>
      </c>
      <c r="I31" s="32" t="e">
        <f ca="1">"All_city_list!N"&amp;$F31</f>
        <v>#N/A</v>
      </c>
    </row>
    <row r="32" spans="3:9" x14ac:dyDescent="0.25">
      <c r="C32" s="26" t="str">
        <f t="shared" si="0"/>
        <v>injury_reporting_rate_city2</v>
      </c>
      <c r="D32" t="s">
        <v>554</v>
      </c>
      <c r="E32" t="s">
        <v>544</v>
      </c>
      <c r="G32" t="e">
        <f ca="1">G31</f>
        <v>#N/A</v>
      </c>
      <c r="H32" t="e">
        <f ca="1">H31</f>
        <v>#N/A</v>
      </c>
      <c r="I32" t="e">
        <f ca="1">I31</f>
        <v>#N/A</v>
      </c>
    </row>
    <row r="33" spans="3:9" x14ac:dyDescent="0.25">
      <c r="C33" s="26" t="str">
        <f t="shared" si="0"/>
        <v>car_occupancy_ratio_bogota</v>
      </c>
      <c r="D33" s="54" t="s">
        <v>345</v>
      </c>
      <c r="E33" s="54" t="s">
        <v>65</v>
      </c>
      <c r="F33" s="54" t="e">
        <f ca="1">MATCH(C33,All_city_list!$D:$D,0)</f>
        <v>#N/A</v>
      </c>
      <c r="G33" s="32" t="e">
        <f ca="1">"All_city_list!L"&amp;F33</f>
        <v>#N/A</v>
      </c>
      <c r="H33" s="32" t="e">
        <f ca="1">"All_city_list!M"&amp;$F33</f>
        <v>#N/A</v>
      </c>
      <c r="I33" s="32" t="e">
        <f ca="1">"All_city_list!N"&amp;$F33</f>
        <v>#N/A</v>
      </c>
    </row>
    <row r="34" spans="3:9" x14ac:dyDescent="0.25">
      <c r="C34" s="26" t="str">
        <f t="shared" si="0"/>
        <v>car_occupancy_ratio_city2</v>
      </c>
      <c r="D34" t="s">
        <v>345</v>
      </c>
      <c r="E34" t="s">
        <v>544</v>
      </c>
      <c r="G34" t="e">
        <f ca="1">G33</f>
        <v>#N/A</v>
      </c>
      <c r="H34" t="e">
        <f ca="1">H33</f>
        <v>#N/A</v>
      </c>
      <c r="I34" t="e">
        <f ca="1">I33</f>
        <v>#N/A</v>
      </c>
    </row>
    <row r="35" spans="3:9" x14ac:dyDescent="0.25">
      <c r="C35" s="26" t="str">
        <f t="shared" si="0"/>
        <v>bus_walk_time_bogota</v>
      </c>
      <c r="D35" s="54" t="s">
        <v>555</v>
      </c>
      <c r="E35" s="54" t="s">
        <v>65</v>
      </c>
      <c r="F35" s="54" t="e">
        <f ca="1">MATCH(C35,All_city_list!$D:$D,0)</f>
        <v>#N/A</v>
      </c>
      <c r="G35" s="32" t="e">
        <f ca="1">"All_city_list!L"&amp;F35</f>
        <v>#N/A</v>
      </c>
      <c r="H35" s="32" t="e">
        <f ca="1">"All_city_list!M"&amp;$F35</f>
        <v>#N/A</v>
      </c>
      <c r="I35" s="32" t="e">
        <f ca="1">"All_city_list!N"&amp;$F35</f>
        <v>#N/A</v>
      </c>
    </row>
    <row r="36" spans="3:9" x14ac:dyDescent="0.25">
      <c r="C36" s="26" t="str">
        <f t="shared" si="0"/>
        <v>bus_walk_time_city2</v>
      </c>
      <c r="D36" t="s">
        <v>555</v>
      </c>
      <c r="E36" t="s">
        <v>544</v>
      </c>
      <c r="G36" t="e">
        <f ca="1">G35</f>
        <v>#N/A</v>
      </c>
      <c r="H36" t="e">
        <f ca="1">H35</f>
        <v>#N/A</v>
      </c>
      <c r="I36" t="e">
        <f ca="1">I35</f>
        <v>#N/A</v>
      </c>
    </row>
    <row r="37" spans="3:9" x14ac:dyDescent="0.25">
      <c r="C37" s="26" t="str">
        <f t="shared" si="0"/>
        <v>rail_walk_time_bogota</v>
      </c>
      <c r="D37" s="54" t="s">
        <v>556</v>
      </c>
      <c r="E37" s="54" t="s">
        <v>65</v>
      </c>
      <c r="F37" s="54" t="e">
        <f ca="1">MATCH(C37,All_city_list!$D:$D,0)</f>
        <v>#N/A</v>
      </c>
      <c r="G37" s="32" t="e">
        <f ca="1">"All_city_list!L"&amp;F37</f>
        <v>#N/A</v>
      </c>
      <c r="H37" s="32" t="e">
        <f ca="1">"All_city_list!M"&amp;$F37</f>
        <v>#N/A</v>
      </c>
      <c r="I37" s="32" t="e">
        <f ca="1">"All_city_list!N"&amp;$F37</f>
        <v>#N/A</v>
      </c>
    </row>
    <row r="38" spans="3:9" x14ac:dyDescent="0.25">
      <c r="C38" s="26" t="str">
        <f t="shared" si="0"/>
        <v>rail_walk_time_city2</v>
      </c>
      <c r="D38" t="s">
        <v>556</v>
      </c>
      <c r="E38" t="s">
        <v>544</v>
      </c>
      <c r="G38" t="e">
        <f ca="1">G37</f>
        <v>#N/A</v>
      </c>
      <c r="H38" t="e">
        <f ca="1">H37</f>
        <v>#N/A</v>
      </c>
      <c r="I38" t="e">
        <f ca="1">I37</f>
        <v>#N/A</v>
      </c>
    </row>
    <row r="39" spans="3:9" x14ac:dyDescent="0.25">
      <c r="C39" s="26" t="str">
        <f t="shared" ref="C39:C70" si="1">D39&amp;"_"&amp;E39</f>
        <v>add_motorcycle_fleet_bogota</v>
      </c>
      <c r="D39" s="54" t="s">
        <v>557</v>
      </c>
      <c r="E39" s="54" t="s">
        <v>65</v>
      </c>
      <c r="F39" s="54" t="e">
        <f ca="1">MATCH(C39,All_city_list!$D:$D,0)</f>
        <v>#N/A</v>
      </c>
      <c r="G39" s="32" t="e">
        <f ca="1">"All_city_list!L"&amp;F39</f>
        <v>#N/A</v>
      </c>
      <c r="H39" s="32" t="e">
        <f ca="1">"All_city_list!M"&amp;$F39</f>
        <v>#N/A</v>
      </c>
      <c r="I39" s="32" t="e">
        <f ca="1">"All_city_list!N"&amp;$F39</f>
        <v>#N/A</v>
      </c>
    </row>
    <row r="40" spans="3:9" x14ac:dyDescent="0.25">
      <c r="C40" s="26" t="str">
        <f t="shared" si="1"/>
        <v>add_motorcycle_fleet_city2</v>
      </c>
      <c r="D40" t="s">
        <v>557</v>
      </c>
      <c r="E40" t="s">
        <v>544</v>
      </c>
      <c r="G40" t="e">
        <f ca="1">G39</f>
        <v>#N/A</v>
      </c>
      <c r="H40" t="e">
        <f ca="1">H39</f>
        <v>#N/A</v>
      </c>
      <c r="I40" t="e">
        <f ca="1">I39</f>
        <v>#N/A</v>
      </c>
    </row>
    <row r="41" spans="3:9" x14ac:dyDescent="0.25">
      <c r="C41" s="26" t="str">
        <f t="shared" si="1"/>
        <v>fleet_to_motorcycle_ratio_bogota</v>
      </c>
      <c r="D41" s="54" t="s">
        <v>558</v>
      </c>
      <c r="E41" s="54" t="s">
        <v>65</v>
      </c>
      <c r="F41" s="54" t="e">
        <f ca="1">MATCH(C41,All_city_list!$D:$D,0)</f>
        <v>#N/A</v>
      </c>
      <c r="G41" s="32" t="e">
        <f ca="1">"All_city_list!L"&amp;F41</f>
        <v>#N/A</v>
      </c>
      <c r="H41" s="32" t="e">
        <f ca="1">"All_city_list!M"&amp;$F41</f>
        <v>#N/A</v>
      </c>
      <c r="I41" s="32" t="e">
        <f ca="1">"All_city_list!N"&amp;$F41</f>
        <v>#N/A</v>
      </c>
    </row>
    <row r="42" spans="3:9" x14ac:dyDescent="0.25">
      <c r="C42" s="26" t="str">
        <f t="shared" si="1"/>
        <v>fleet_to_motorcycle_ratio_city2</v>
      </c>
      <c r="D42" t="s">
        <v>558</v>
      </c>
      <c r="E42" t="s">
        <v>544</v>
      </c>
      <c r="G42" t="e">
        <f ca="1">G41</f>
        <v>#N/A</v>
      </c>
      <c r="H42" t="e">
        <f ca="1">H41</f>
        <v>#N/A</v>
      </c>
      <c r="I42" t="e">
        <f ca="1">I41</f>
        <v>#N/A</v>
      </c>
    </row>
    <row r="43" spans="3:9" x14ac:dyDescent="0.25">
      <c r="C43" s="26" t="str">
        <f t="shared" si="1"/>
        <v>add_personal_motorcycle_trips_bogota</v>
      </c>
      <c r="D43" s="54" t="s">
        <v>559</v>
      </c>
      <c r="E43" s="54" t="s">
        <v>65</v>
      </c>
      <c r="F43" s="54" t="e">
        <f ca="1">MATCH(C43,All_city_list!$D:$D,0)</f>
        <v>#N/A</v>
      </c>
      <c r="G43" s="32" t="e">
        <f ca="1">"All_city_list!L"&amp;F43</f>
        <v>#N/A</v>
      </c>
      <c r="H43" s="32" t="e">
        <f ca="1">"All_city_list!M"&amp;$F43</f>
        <v>#N/A</v>
      </c>
      <c r="I43" s="32" t="e">
        <f ca="1">"All_city_list!N"&amp;$F43</f>
        <v>#N/A</v>
      </c>
    </row>
    <row r="44" spans="3:9" x14ac:dyDescent="0.25">
      <c r="C44" s="26" t="str">
        <f t="shared" si="1"/>
        <v>add_personal_motorcycle_trips_city2</v>
      </c>
      <c r="D44" t="s">
        <v>559</v>
      </c>
      <c r="E44" t="s">
        <v>544</v>
      </c>
      <c r="G44" t="e">
        <f ca="1">G43</f>
        <v>#N/A</v>
      </c>
      <c r="H44" t="e">
        <f ca="1">H43</f>
        <v>#N/A</v>
      </c>
      <c r="I44" t="e">
        <f ca="1">I43</f>
        <v>#N/A</v>
      </c>
    </row>
    <row r="45" spans="3:9" x14ac:dyDescent="0.25">
      <c r="C45" s="26" t="str">
        <f t="shared" si="1"/>
        <v>proportion_motorcycle_trips_bogota</v>
      </c>
      <c r="D45" s="54" t="s">
        <v>560</v>
      </c>
      <c r="E45" s="54" t="s">
        <v>65</v>
      </c>
      <c r="F45" s="54" t="e">
        <f ca="1">MATCH(C45,All_city_list!$D:$D,0)</f>
        <v>#N/A</v>
      </c>
      <c r="G45" s="32" t="e">
        <f ca="1">"All_city_list!L"&amp;F45</f>
        <v>#N/A</v>
      </c>
      <c r="H45" s="32" t="e">
        <f ca="1">"All_city_list!M"&amp;$F45</f>
        <v>#N/A</v>
      </c>
      <c r="I45" s="32" t="e">
        <f ca="1">"All_city_list!N"&amp;$F45</f>
        <v>#N/A</v>
      </c>
    </row>
    <row r="46" spans="3:9" x14ac:dyDescent="0.25">
      <c r="C46" s="26" t="str">
        <f t="shared" si="1"/>
        <v>proportion_motorcycle_trips_city2</v>
      </c>
      <c r="D46" t="s">
        <v>560</v>
      </c>
      <c r="E46" t="s">
        <v>544</v>
      </c>
      <c r="G46" t="e">
        <f ca="1">G45</f>
        <v>#N/A</v>
      </c>
      <c r="H46" t="e">
        <f ca="1">H45</f>
        <v>#N/A</v>
      </c>
      <c r="I46" t="e">
        <f ca="1">I45</f>
        <v>#N/A</v>
      </c>
    </row>
    <row r="47" spans="3:9" x14ac:dyDescent="0.25">
      <c r="C47" s="26" t="str">
        <f t="shared" si="1"/>
        <v>speeds_bogota</v>
      </c>
      <c r="D47" s="54" t="s">
        <v>66</v>
      </c>
      <c r="E47" s="54" t="s">
        <v>65</v>
      </c>
      <c r="F47" s="54">
        <f ca="1">MATCH(C47,All_city_list!$D:$D,0)</f>
        <v>4</v>
      </c>
      <c r="G47" s="32" t="str">
        <f ca="1">"All_city_list!L"&amp;F47</f>
        <v>All_city_list!L4</v>
      </c>
      <c r="H47" s="32" t="str">
        <f ca="1">"All_city_list!M"&amp;$F47</f>
        <v>All_city_list!M4</v>
      </c>
      <c r="I47" s="32" t="str">
        <f ca="1">"All_city_list!N"&amp;$F47</f>
        <v>All_city_list!N4</v>
      </c>
    </row>
    <row r="48" spans="3:9" x14ac:dyDescent="0.25">
      <c r="C48" s="26" t="str">
        <f t="shared" si="1"/>
        <v>speeds_city2</v>
      </c>
      <c r="D48" t="s">
        <v>66</v>
      </c>
      <c r="E48" t="s">
        <v>544</v>
      </c>
      <c r="G48" t="str">
        <f ca="1">G47</f>
        <v>All_city_list!L4</v>
      </c>
      <c r="H48" t="str">
        <f ca="1">H47</f>
        <v>All_city_list!M4</v>
      </c>
      <c r="I48" t="str">
        <f ca="1">I47</f>
        <v>All_city_list!N4</v>
      </c>
    </row>
    <row r="49" spans="3:9" x14ac:dyDescent="0.25">
      <c r="C49" s="26" t="str">
        <f t="shared" si="1"/>
        <v>bus_driver_prop_male_bogota</v>
      </c>
      <c r="D49" s="54" t="s">
        <v>386</v>
      </c>
      <c r="E49" s="54" t="s">
        <v>65</v>
      </c>
      <c r="F49" s="54" t="e">
        <f ca="1">MATCH(C49,All_city_list!$D:$D,0)</f>
        <v>#N/A</v>
      </c>
      <c r="G49" s="32" t="e">
        <f ca="1">"All_city_list!L"&amp;F49</f>
        <v>#N/A</v>
      </c>
      <c r="H49" s="32" t="e">
        <f ca="1">"All_city_list!M"&amp;$F49</f>
        <v>#N/A</v>
      </c>
      <c r="I49" s="32" t="e">
        <f ca="1">"All_city_list!N"&amp;$F49</f>
        <v>#N/A</v>
      </c>
    </row>
    <row r="50" spans="3:9" x14ac:dyDescent="0.25">
      <c r="C50" s="26" t="str">
        <f t="shared" si="1"/>
        <v>bus_driver_prop_male_city2</v>
      </c>
      <c r="D50" t="s">
        <v>386</v>
      </c>
      <c r="E50" t="s">
        <v>544</v>
      </c>
      <c r="G50" t="e">
        <f ca="1">G49</f>
        <v>#N/A</v>
      </c>
      <c r="H50" t="e">
        <f ca="1">H49</f>
        <v>#N/A</v>
      </c>
      <c r="I50" t="e">
        <f ca="1">I49</f>
        <v>#N/A</v>
      </c>
    </row>
    <row r="51" spans="3:9" x14ac:dyDescent="0.25">
      <c r="C51" s="26" t="str">
        <f t="shared" si="1"/>
        <v>bus_driver_male_agerange_bogota</v>
      </c>
      <c r="D51" s="54" t="s">
        <v>391</v>
      </c>
      <c r="E51" s="54" t="s">
        <v>65</v>
      </c>
      <c r="F51" s="54" t="e">
        <f ca="1">MATCH(C51,All_city_list!$D:$D,0)</f>
        <v>#N/A</v>
      </c>
      <c r="G51" s="32" t="e">
        <f ca="1">"All_city_list!L"&amp;F51</f>
        <v>#N/A</v>
      </c>
      <c r="H51" s="32" t="e">
        <f ca="1">"All_city_list!M"&amp;$F51</f>
        <v>#N/A</v>
      </c>
      <c r="I51" s="32" t="e">
        <f ca="1">"All_city_list!N"&amp;$F51</f>
        <v>#N/A</v>
      </c>
    </row>
    <row r="52" spans="3:9" x14ac:dyDescent="0.25">
      <c r="C52" s="26" t="str">
        <f t="shared" si="1"/>
        <v>bus_driver_male_agerange_city2</v>
      </c>
      <c r="D52" t="s">
        <v>391</v>
      </c>
      <c r="E52" t="s">
        <v>544</v>
      </c>
      <c r="G52" t="e">
        <f ca="1">G51</f>
        <v>#N/A</v>
      </c>
      <c r="H52" t="e">
        <f ca="1">H51</f>
        <v>#N/A</v>
      </c>
      <c r="I52" t="e">
        <f ca="1">I51</f>
        <v>#N/A</v>
      </c>
    </row>
    <row r="53" spans="3:9" x14ac:dyDescent="0.25">
      <c r="C53" s="26" t="str">
        <f t="shared" si="1"/>
        <v>bus_driver_female_agerange_bogota</v>
      </c>
      <c r="D53" s="54" t="s">
        <v>397</v>
      </c>
      <c r="E53" s="54" t="s">
        <v>65</v>
      </c>
      <c r="F53" s="54" t="e">
        <f ca="1">MATCH(C53,All_city_list!$D:$D,0)</f>
        <v>#N/A</v>
      </c>
      <c r="G53" s="32" t="e">
        <f ca="1">"All_city_list!L"&amp;F53</f>
        <v>#N/A</v>
      </c>
      <c r="H53" s="32" t="e">
        <f ca="1">"All_city_list!M"&amp;$F53</f>
        <v>#N/A</v>
      </c>
      <c r="I53" s="32" t="e">
        <f ca="1">"All_city_list!N"&amp;$F53</f>
        <v>#N/A</v>
      </c>
    </row>
    <row r="54" spans="3:9" x14ac:dyDescent="0.25">
      <c r="C54" s="26" t="str">
        <f t="shared" si="1"/>
        <v>bus_driver_female_agerange_city2</v>
      </c>
      <c r="D54" t="s">
        <v>397</v>
      </c>
      <c r="E54" t="s">
        <v>544</v>
      </c>
      <c r="G54" t="e">
        <f ca="1">G53</f>
        <v>#N/A</v>
      </c>
      <c r="H54" t="e">
        <f ca="1">H53</f>
        <v>#N/A</v>
      </c>
      <c r="I54" t="e">
        <f ca="1">I53</f>
        <v>#N/A</v>
      </c>
    </row>
    <row r="55" spans="3:9" x14ac:dyDescent="0.25">
      <c r="C55" s="26" t="str">
        <f t="shared" si="1"/>
        <v>truck_driver_prop_male_bogota</v>
      </c>
      <c r="D55" s="54" t="s">
        <v>400</v>
      </c>
      <c r="E55" s="54" t="s">
        <v>65</v>
      </c>
      <c r="F55" s="54" t="e">
        <f ca="1">MATCH(C55,All_city_list!$D:$D,0)</f>
        <v>#N/A</v>
      </c>
      <c r="G55" s="32" t="e">
        <f ca="1">"All_city_list!L"&amp;F55</f>
        <v>#N/A</v>
      </c>
      <c r="H55" s="32" t="e">
        <f ca="1">"All_city_list!M"&amp;$F55</f>
        <v>#N/A</v>
      </c>
      <c r="I55" s="32" t="e">
        <f ca="1">"All_city_list!N"&amp;$F55</f>
        <v>#N/A</v>
      </c>
    </row>
    <row r="56" spans="3:9" x14ac:dyDescent="0.25">
      <c r="C56" s="26" t="str">
        <f t="shared" si="1"/>
        <v>truck_driver_prop_male_city2</v>
      </c>
      <c r="D56" t="s">
        <v>400</v>
      </c>
      <c r="E56" t="s">
        <v>544</v>
      </c>
      <c r="G56" t="e">
        <f ca="1">G55</f>
        <v>#N/A</v>
      </c>
      <c r="H56" t="e">
        <f ca="1">H55</f>
        <v>#N/A</v>
      </c>
      <c r="I56" t="e">
        <f ca="1">I55</f>
        <v>#N/A</v>
      </c>
    </row>
    <row r="57" spans="3:9" x14ac:dyDescent="0.25">
      <c r="C57" s="26" t="str">
        <f t="shared" si="1"/>
        <v>truck_driver_male_agerange_bogota</v>
      </c>
      <c r="D57" s="54" t="s">
        <v>404</v>
      </c>
      <c r="E57" s="54" t="s">
        <v>65</v>
      </c>
      <c r="F57" s="54" t="e">
        <f ca="1">MATCH(C57,All_city_list!$D:$D,0)</f>
        <v>#N/A</v>
      </c>
      <c r="G57" s="32" t="e">
        <f ca="1">"All_city_list!L"&amp;F57</f>
        <v>#N/A</v>
      </c>
      <c r="H57" s="32" t="e">
        <f ca="1">"All_city_list!M"&amp;$F57</f>
        <v>#N/A</v>
      </c>
      <c r="I57" s="32" t="e">
        <f ca="1">"All_city_list!N"&amp;$F57</f>
        <v>#N/A</v>
      </c>
    </row>
    <row r="58" spans="3:9" x14ac:dyDescent="0.25">
      <c r="C58" s="26" t="str">
        <f t="shared" si="1"/>
        <v>truck_driver_male_agerange_city2</v>
      </c>
      <c r="D58" t="s">
        <v>404</v>
      </c>
      <c r="E58" t="s">
        <v>544</v>
      </c>
      <c r="G58" t="e">
        <f ca="1">G57</f>
        <v>#N/A</v>
      </c>
      <c r="H58" t="e">
        <f ca="1">H57</f>
        <v>#N/A</v>
      </c>
      <c r="I58" t="e">
        <f ca="1">I57</f>
        <v>#N/A</v>
      </c>
    </row>
    <row r="59" spans="3:9" x14ac:dyDescent="0.25">
      <c r="C59" s="26" t="str">
        <f t="shared" si="1"/>
        <v>truck_driver_female_agerange_bogota</v>
      </c>
      <c r="D59" s="54" t="s">
        <v>409</v>
      </c>
      <c r="E59" s="54" t="s">
        <v>65</v>
      </c>
      <c r="F59" s="54" t="e">
        <f ca="1">MATCH(C59,All_city_list!$D:$D,0)</f>
        <v>#N/A</v>
      </c>
      <c r="G59" s="32" t="e">
        <f ca="1">"All_city_list!L"&amp;F59</f>
        <v>#N/A</v>
      </c>
      <c r="H59" s="32" t="e">
        <f ca="1">"All_city_list!M"&amp;$F59</f>
        <v>#N/A</v>
      </c>
      <c r="I59" s="32" t="e">
        <f ca="1">"All_city_list!N"&amp;$F59</f>
        <v>#N/A</v>
      </c>
    </row>
    <row r="60" spans="3:9" x14ac:dyDescent="0.25">
      <c r="C60" s="26" t="str">
        <f t="shared" si="1"/>
        <v>truck_driver_female_agerange_city2</v>
      </c>
      <c r="D60" t="s">
        <v>409</v>
      </c>
      <c r="E60" t="s">
        <v>544</v>
      </c>
      <c r="G60" t="e">
        <f ca="1">G59</f>
        <v>#N/A</v>
      </c>
      <c r="H60" t="e">
        <f ca="1">H59</f>
        <v>#N/A</v>
      </c>
      <c r="I60" t="e">
        <f ca="1">I59</f>
        <v>#N/A</v>
      </c>
    </row>
    <row r="61" spans="3:9" x14ac:dyDescent="0.25">
      <c r="C61" s="26" t="str">
        <f t="shared" si="1"/>
        <v>commerical_mbike_prop_male_bogota</v>
      </c>
      <c r="D61" s="54" t="s">
        <v>413</v>
      </c>
      <c r="E61" s="54" t="s">
        <v>65</v>
      </c>
      <c r="F61" s="54" t="e">
        <f ca="1">MATCH(C61,All_city_list!$D:$D,0)</f>
        <v>#N/A</v>
      </c>
      <c r="G61" s="32" t="e">
        <f ca="1">"All_city_list!L"&amp;F61</f>
        <v>#N/A</v>
      </c>
      <c r="H61" s="32" t="e">
        <f ca="1">"All_city_list!M"&amp;$F61</f>
        <v>#N/A</v>
      </c>
      <c r="I61" s="32" t="e">
        <f ca="1">"All_city_list!N"&amp;$F61</f>
        <v>#N/A</v>
      </c>
    </row>
    <row r="62" spans="3:9" x14ac:dyDescent="0.25">
      <c r="C62" s="26" t="str">
        <f t="shared" si="1"/>
        <v>commerical_mbike_prop_male_city2</v>
      </c>
      <c r="D62" t="s">
        <v>413</v>
      </c>
      <c r="E62" t="s">
        <v>544</v>
      </c>
      <c r="G62" t="e">
        <f ca="1">G61</f>
        <v>#N/A</v>
      </c>
      <c r="H62" t="e">
        <f ca="1">H61</f>
        <v>#N/A</v>
      </c>
      <c r="I62" t="e">
        <f ca="1">I61</f>
        <v>#N/A</v>
      </c>
    </row>
    <row r="63" spans="3:9" x14ac:dyDescent="0.25">
      <c r="C63" s="26" t="str">
        <f t="shared" si="1"/>
        <v>commerical_mbike_male_agerange_bogota</v>
      </c>
      <c r="D63" s="54" t="s">
        <v>416</v>
      </c>
      <c r="E63" s="54" t="s">
        <v>65</v>
      </c>
      <c r="F63" s="54" t="e">
        <f ca="1">MATCH(C63,All_city_list!$D:$D,0)</f>
        <v>#N/A</v>
      </c>
      <c r="G63" s="32" t="e">
        <f ca="1">"All_city_list!L"&amp;F63</f>
        <v>#N/A</v>
      </c>
      <c r="H63" s="32" t="e">
        <f ca="1">"All_city_list!M"&amp;$F63</f>
        <v>#N/A</v>
      </c>
      <c r="I63" s="32" t="e">
        <f ca="1">"All_city_list!N"&amp;$F63</f>
        <v>#N/A</v>
      </c>
    </row>
    <row r="64" spans="3:9" x14ac:dyDescent="0.25">
      <c r="C64" s="26" t="str">
        <f t="shared" si="1"/>
        <v>commerical_mbike_male_agerange_city2</v>
      </c>
      <c r="D64" t="s">
        <v>416</v>
      </c>
      <c r="E64" t="s">
        <v>544</v>
      </c>
      <c r="G64" t="e">
        <f ca="1">G63</f>
        <v>#N/A</v>
      </c>
      <c r="H64" t="e">
        <f ca="1">H63</f>
        <v>#N/A</v>
      </c>
      <c r="I64" t="e">
        <f ca="1">I63</f>
        <v>#N/A</v>
      </c>
    </row>
    <row r="65" spans="3:9" x14ac:dyDescent="0.25">
      <c r="C65" s="26" t="str">
        <f t="shared" si="1"/>
        <v>commerical_mbike_female_agerange_bogota</v>
      </c>
      <c r="D65" s="54" t="s">
        <v>420</v>
      </c>
      <c r="E65" s="54" t="s">
        <v>65</v>
      </c>
      <c r="F65" s="54" t="e">
        <f ca="1">MATCH(C65,All_city_list!$D:$D,0)</f>
        <v>#N/A</v>
      </c>
      <c r="G65" s="32" t="e">
        <f ca="1">"All_city_list!L"&amp;F65</f>
        <v>#N/A</v>
      </c>
      <c r="H65" s="32" t="e">
        <f ca="1">"All_city_list!M"&amp;$F65</f>
        <v>#N/A</v>
      </c>
      <c r="I65" s="32" t="e">
        <f ca="1">"All_city_list!N"&amp;$F65</f>
        <v>#N/A</v>
      </c>
    </row>
    <row r="66" spans="3:9" x14ac:dyDescent="0.25">
      <c r="C66" s="26" t="str">
        <f t="shared" si="1"/>
        <v>commerical_mbike_female_agerange_city2</v>
      </c>
      <c r="D66" t="s">
        <v>420</v>
      </c>
      <c r="E66" t="s">
        <v>544</v>
      </c>
      <c r="G66" t="e">
        <f ca="1">G65</f>
        <v>#N/A</v>
      </c>
      <c r="H66" t="e">
        <f ca="1">H65</f>
        <v>#N/A</v>
      </c>
      <c r="I66" t="e">
        <f ca="1">I65</f>
        <v>#N/A</v>
      </c>
    </row>
    <row r="67" spans="3:9" x14ac:dyDescent="0.25">
      <c r="C67" s="26" t="str">
        <f t="shared" si="1"/>
        <v>add_walk_to_pt_trips_bogota</v>
      </c>
      <c r="D67" s="54" t="s">
        <v>561</v>
      </c>
      <c r="E67" s="54" t="s">
        <v>65</v>
      </c>
      <c r="F67" s="54" t="e">
        <f ca="1">MATCH(C67,All_city_list!$D:$D,0)</f>
        <v>#N/A</v>
      </c>
      <c r="G67" s="32" t="e">
        <f ca="1">"All_city_list!L"&amp;F67</f>
        <v>#N/A</v>
      </c>
      <c r="H67" s="32" t="e">
        <f ca="1">"All_city_list!M"&amp;$F67</f>
        <v>#N/A</v>
      </c>
      <c r="I67" s="32" t="e">
        <f ca="1">"All_city_list!N"&amp;$F67</f>
        <v>#N/A</v>
      </c>
    </row>
    <row r="68" spans="3:9" x14ac:dyDescent="0.25">
      <c r="C68" s="26" t="str">
        <f t="shared" si="1"/>
        <v>add_walk_to_pt_trips_city2</v>
      </c>
      <c r="D68" t="s">
        <v>561</v>
      </c>
      <c r="E68" t="s">
        <v>544</v>
      </c>
      <c r="G68" t="e">
        <f ca="1">G67</f>
        <v>#N/A</v>
      </c>
      <c r="H68" t="e">
        <f ca="1">H67</f>
        <v>#N/A</v>
      </c>
      <c r="I68" t="e">
        <f ca="1">I67</f>
        <v>#N/A</v>
      </c>
    </row>
    <row r="69" spans="3:9" x14ac:dyDescent="0.25">
      <c r="C69" s="26" t="str">
        <f t="shared" si="1"/>
        <v>CO2_emission_inventories_bogota</v>
      </c>
      <c r="D69" s="54" t="s">
        <v>89</v>
      </c>
      <c r="E69" s="54" t="s">
        <v>65</v>
      </c>
      <c r="F69" s="54">
        <f ca="1">MATCH(C69,All_city_list!$D:$D,0)</f>
        <v>31</v>
      </c>
      <c r="G69" s="32" t="str">
        <f ca="1">"All_city_list!L"&amp;$F69</f>
        <v>All_city_list!L31</v>
      </c>
      <c r="H69" s="32" t="str">
        <f ca="1">"All_city_list!M"&amp;$F69</f>
        <v>All_city_list!M31</v>
      </c>
      <c r="I69" s="32" t="str">
        <f ca="1">"All_city_list!N"&amp;$F69</f>
        <v>All_city_list!N31</v>
      </c>
    </row>
    <row r="70" spans="3:9" x14ac:dyDescent="0.25">
      <c r="C70" s="26" t="str">
        <f t="shared" si="1"/>
        <v>CO2_emission_inventories_city2</v>
      </c>
      <c r="D70" t="s">
        <v>89</v>
      </c>
      <c r="E70" t="s">
        <v>544</v>
      </c>
      <c r="G70" t="str">
        <f ca="1">G69</f>
        <v>All_city_list!L31</v>
      </c>
      <c r="H70" t="str">
        <f ca="1">H69</f>
        <v>All_city_list!M31</v>
      </c>
      <c r="I70" t="str">
        <f ca="1">I69</f>
        <v>All_city_list!N31</v>
      </c>
    </row>
    <row r="71" spans="3:9" x14ac:dyDescent="0.25">
      <c r="C71" s="26"/>
    </row>
    <row r="72" spans="3:9" x14ac:dyDescent="0.25">
      <c r="C72" s="26"/>
    </row>
    <row r="73" spans="3:9" x14ac:dyDescent="0.25">
      <c r="C73" s="26"/>
    </row>
    <row r="74" spans="3:9" x14ac:dyDescent="0.25">
      <c r="C74" s="26"/>
    </row>
    <row r="75" spans="3:9" x14ac:dyDescent="0.25">
      <c r="C75" s="26"/>
    </row>
    <row r="76" spans="3:9" x14ac:dyDescent="0.25">
      <c r="C76" s="26"/>
    </row>
    <row r="77" spans="3:9" x14ac:dyDescent="0.25">
      <c r="C77" s="26"/>
    </row>
    <row r="78" spans="3:9" x14ac:dyDescent="0.25">
      <c r="C78" s="26"/>
    </row>
    <row r="79" spans="3:9" x14ac:dyDescent="0.25">
      <c r="C79" s="26"/>
    </row>
    <row r="80" spans="3:9" x14ac:dyDescent="0.25">
      <c r="C80" s="26"/>
    </row>
    <row r="81" spans="3:6" x14ac:dyDescent="0.25">
      <c r="C81" s="26"/>
    </row>
    <row r="82" spans="3:6" x14ac:dyDescent="0.25">
      <c r="C82" s="26"/>
    </row>
    <row r="83" spans="3:6" x14ac:dyDescent="0.25">
      <c r="C83" s="26"/>
    </row>
    <row r="84" spans="3:6" x14ac:dyDescent="0.25">
      <c r="C84" s="26"/>
    </row>
    <row r="85" spans="3:6" x14ac:dyDescent="0.25">
      <c r="C85" s="26"/>
    </row>
    <row r="86" spans="3:6" x14ac:dyDescent="0.25">
      <c r="C86" s="26"/>
    </row>
    <row r="87" spans="3:6" x14ac:dyDescent="0.25">
      <c r="C87" s="26"/>
    </row>
    <row r="88" spans="3:6" x14ac:dyDescent="0.25">
      <c r="C88" s="26"/>
    </row>
    <row r="89" spans="3:6" x14ac:dyDescent="0.25">
      <c r="C89" s="26"/>
    </row>
    <row r="90" spans="3:6" x14ac:dyDescent="0.25">
      <c r="C90" s="26"/>
      <c r="F90" s="19"/>
    </row>
    <row r="91" spans="3:6" x14ac:dyDescent="0.25">
      <c r="C91" s="26"/>
      <c r="F91" s="19"/>
    </row>
    <row r="92" spans="3:6" x14ac:dyDescent="0.25">
      <c r="C92" s="26"/>
      <c r="F92" s="19"/>
    </row>
    <row r="93" spans="3:6" x14ac:dyDescent="0.25">
      <c r="E93" s="19"/>
      <c r="F93" s="19"/>
    </row>
    <row r="94" spans="3:6" x14ac:dyDescent="0.25">
      <c r="E94" s="19"/>
      <c r="F94" s="19"/>
    </row>
    <row r="95" spans="3:6" x14ac:dyDescent="0.25">
      <c r="E95" s="19"/>
      <c r="F95" s="19"/>
    </row>
    <row r="96" spans="3:6" x14ac:dyDescent="0.25">
      <c r="E96" s="19"/>
      <c r="F96" s="19"/>
    </row>
    <row r="97" spans="5:6" x14ac:dyDescent="0.25">
      <c r="E97" s="19"/>
      <c r="F97" s="19"/>
    </row>
    <row r="98" spans="5:6" x14ac:dyDescent="0.25">
      <c r="E98" s="19"/>
      <c r="F98" s="19"/>
    </row>
    <row r="99" spans="5:6" x14ac:dyDescent="0.25">
      <c r="E99" s="19"/>
      <c r="F99" s="19"/>
    </row>
    <row r="100" spans="5:6" x14ac:dyDescent="0.25">
      <c r="E100" s="19"/>
      <c r="F100" s="19"/>
    </row>
    <row r="101" spans="5:6" x14ac:dyDescent="0.25">
      <c r="E101" s="19"/>
      <c r="F101" s="19"/>
    </row>
    <row r="102" spans="5:6" x14ac:dyDescent="0.25">
      <c r="E102" s="19"/>
      <c r="F102" s="19"/>
    </row>
    <row r="103" spans="5:6" x14ac:dyDescent="0.25">
      <c r="E103" s="19"/>
      <c r="F103" s="19"/>
    </row>
    <row r="104" spans="5:6" x14ac:dyDescent="0.25">
      <c r="E104" s="19"/>
      <c r="F104" s="19"/>
    </row>
    <row r="105" spans="5:6" x14ac:dyDescent="0.25">
      <c r="E105" s="19"/>
      <c r="F105" s="19"/>
    </row>
    <row r="106" spans="5:6" x14ac:dyDescent="0.25">
      <c r="E106" s="19"/>
      <c r="F106" s="19"/>
    </row>
    <row r="107" spans="5:6" x14ac:dyDescent="0.25">
      <c r="E107" s="19"/>
      <c r="F107" s="19"/>
    </row>
    <row r="108" spans="5:6" x14ac:dyDescent="0.25">
      <c r="E108" s="19"/>
      <c r="F108" s="19"/>
    </row>
    <row r="109" spans="5:6" x14ac:dyDescent="0.25">
      <c r="E109" s="19"/>
      <c r="F109" s="19"/>
    </row>
    <row r="110" spans="5:6" x14ac:dyDescent="0.25">
      <c r="E110" s="19"/>
      <c r="F110" s="19"/>
    </row>
    <row r="111" spans="5:6" x14ac:dyDescent="0.25">
      <c r="E111" s="19"/>
      <c r="F111" s="19"/>
    </row>
    <row r="112" spans="5:6" x14ac:dyDescent="0.25">
      <c r="E112" s="19"/>
      <c r="F112" s="19"/>
    </row>
    <row r="113" spans="5:6" x14ac:dyDescent="0.25">
      <c r="E113" s="19"/>
      <c r="F113" s="19"/>
    </row>
    <row r="114" spans="5:6" x14ac:dyDescent="0.25">
      <c r="E114" s="19"/>
      <c r="F114" s="19"/>
    </row>
    <row r="115" spans="5:6" x14ac:dyDescent="0.25">
      <c r="E115" s="19"/>
      <c r="F115" s="19"/>
    </row>
    <row r="116" spans="5:6" x14ac:dyDescent="0.25">
      <c r="E116" s="19"/>
      <c r="F116" s="19"/>
    </row>
    <row r="117" spans="5:6" x14ac:dyDescent="0.25">
      <c r="E117" s="19"/>
      <c r="F117" s="19"/>
    </row>
    <row r="118" spans="5:6" x14ac:dyDescent="0.25">
      <c r="E118" s="19"/>
      <c r="F118" s="19"/>
    </row>
    <row r="119" spans="5:6" x14ac:dyDescent="0.25">
      <c r="E119" s="19"/>
      <c r="F119" s="19"/>
    </row>
    <row r="120" spans="5:6" x14ac:dyDescent="0.25">
      <c r="E120" s="19"/>
      <c r="F120" s="19"/>
    </row>
    <row r="121" spans="5:6" x14ac:dyDescent="0.25">
      <c r="E121" s="19"/>
      <c r="F121" s="19"/>
    </row>
    <row r="122" spans="5:6" x14ac:dyDescent="0.25">
      <c r="E122" s="19"/>
      <c r="F122" s="19"/>
    </row>
    <row r="123" spans="5:6" x14ac:dyDescent="0.25">
      <c r="E123" s="19"/>
      <c r="F123" s="19"/>
    </row>
    <row r="124" spans="5:6" x14ac:dyDescent="0.25">
      <c r="E124" s="19"/>
      <c r="F124" s="19"/>
    </row>
    <row r="125" spans="5:6" x14ac:dyDescent="0.25">
      <c r="E125" s="19"/>
      <c r="F125" s="19"/>
    </row>
    <row r="126" spans="5:6" x14ac:dyDescent="0.25">
      <c r="E126" s="19"/>
      <c r="F126" s="19"/>
    </row>
    <row r="127" spans="5:6" x14ac:dyDescent="0.25">
      <c r="E127" s="19"/>
      <c r="F127" s="19"/>
    </row>
    <row r="128" spans="5:6" x14ac:dyDescent="0.25">
      <c r="E128" s="19"/>
      <c r="F128" s="19"/>
    </row>
    <row r="129" spans="5:6" x14ac:dyDescent="0.25">
      <c r="E129" s="19"/>
      <c r="F129" s="19"/>
    </row>
    <row r="130" spans="5:6" x14ac:dyDescent="0.25">
      <c r="E130" s="19"/>
      <c r="F130" s="19"/>
    </row>
    <row r="131" spans="5:6" x14ac:dyDescent="0.25">
      <c r="E131" s="19"/>
      <c r="F131" s="19"/>
    </row>
    <row r="132" spans="5:6" x14ac:dyDescent="0.25">
      <c r="E132" s="19"/>
      <c r="F132" s="19"/>
    </row>
    <row r="133" spans="5:6" x14ac:dyDescent="0.25">
      <c r="E133" s="19"/>
      <c r="F133" s="19"/>
    </row>
    <row r="134" spans="5:6" x14ac:dyDescent="0.25">
      <c r="E134" s="19"/>
      <c r="F134" s="19"/>
    </row>
    <row r="135" spans="5:6" x14ac:dyDescent="0.25">
      <c r="E135" s="19"/>
      <c r="F135" s="19"/>
    </row>
    <row r="136" spans="5:6" x14ac:dyDescent="0.25">
      <c r="E136" s="19"/>
      <c r="F136" s="19"/>
    </row>
    <row r="137" spans="5:6" x14ac:dyDescent="0.25">
      <c r="E137" s="19"/>
      <c r="F137" s="19"/>
    </row>
    <row r="138" spans="5:6" x14ac:dyDescent="0.25">
      <c r="E138" s="19"/>
      <c r="F138" s="19"/>
    </row>
    <row r="139" spans="5:6" x14ac:dyDescent="0.25">
      <c r="E139" s="19"/>
      <c r="F139" s="19"/>
    </row>
    <row r="140" spans="5:6" x14ac:dyDescent="0.25">
      <c r="E140" s="19"/>
      <c r="F140" s="19"/>
    </row>
    <row r="141" spans="5:6" x14ac:dyDescent="0.25">
      <c r="E141" s="19"/>
      <c r="F141" s="19"/>
    </row>
    <row r="142" spans="5:6" x14ac:dyDescent="0.25">
      <c r="E142" s="19"/>
      <c r="F142" s="19"/>
    </row>
    <row r="143" spans="5:6" x14ac:dyDescent="0.25">
      <c r="E143" s="19"/>
      <c r="F143" s="19"/>
    </row>
    <row r="144" spans="5:6" x14ac:dyDescent="0.25">
      <c r="E144" s="19"/>
      <c r="F144" s="19"/>
    </row>
    <row r="145" spans="5:6" x14ac:dyDescent="0.25">
      <c r="E145" s="19"/>
      <c r="F145" s="19"/>
    </row>
    <row r="146" spans="5:6" x14ac:dyDescent="0.25">
      <c r="E146" s="19"/>
      <c r="F146" s="19"/>
    </row>
    <row r="147" spans="5:6" x14ac:dyDescent="0.25">
      <c r="E147" s="19"/>
      <c r="F147" s="19"/>
    </row>
    <row r="148" spans="5:6" x14ac:dyDescent="0.25">
      <c r="E148" s="19"/>
      <c r="F148" s="19"/>
    </row>
    <row r="149" spans="5:6" x14ac:dyDescent="0.25">
      <c r="E149" s="19"/>
      <c r="F149" s="19"/>
    </row>
    <row r="150" spans="5:6" x14ac:dyDescent="0.25">
      <c r="E150" s="19"/>
      <c r="F150" s="19"/>
    </row>
    <row r="151" spans="5:6" x14ac:dyDescent="0.25">
      <c r="E151" s="19"/>
      <c r="F151" s="19"/>
    </row>
    <row r="152" spans="5:6" x14ac:dyDescent="0.25">
      <c r="E152" s="19"/>
      <c r="F152" s="19"/>
    </row>
    <row r="153" spans="5:6" x14ac:dyDescent="0.25">
      <c r="E153" s="19"/>
      <c r="F153" s="19"/>
    </row>
    <row r="154" spans="5:6" x14ac:dyDescent="0.25">
      <c r="E154" s="19"/>
      <c r="F154" s="19"/>
    </row>
    <row r="155" spans="5:6" x14ac:dyDescent="0.25">
      <c r="E155" s="19"/>
      <c r="F155" s="19"/>
    </row>
    <row r="156" spans="5:6" x14ac:dyDescent="0.25">
      <c r="E156" s="19"/>
      <c r="F156" s="19"/>
    </row>
    <row r="157" spans="5:6" x14ac:dyDescent="0.25">
      <c r="E157" s="19"/>
      <c r="F157" s="19"/>
    </row>
    <row r="158" spans="5:6" x14ac:dyDescent="0.25">
      <c r="E158" s="19"/>
      <c r="F158" s="19"/>
    </row>
    <row r="159" spans="5:6" x14ac:dyDescent="0.25">
      <c r="E159" s="19"/>
      <c r="F159" s="19"/>
    </row>
    <row r="160" spans="5:6" x14ac:dyDescent="0.25">
      <c r="E160" s="19"/>
      <c r="F160" s="19"/>
    </row>
    <row r="161" spans="5:6" x14ac:dyDescent="0.25">
      <c r="E161" s="19"/>
      <c r="F161" s="19"/>
    </row>
    <row r="162" spans="5:6" x14ac:dyDescent="0.25">
      <c r="E162" s="19"/>
      <c r="F162" s="19"/>
    </row>
    <row r="163" spans="5:6" x14ac:dyDescent="0.25">
      <c r="E163" s="19"/>
      <c r="F163" s="19"/>
    </row>
    <row r="164" spans="5:6" x14ac:dyDescent="0.25">
      <c r="E164" s="19"/>
      <c r="F164" s="19"/>
    </row>
    <row r="165" spans="5:6" x14ac:dyDescent="0.25">
      <c r="E165" s="19"/>
      <c r="F165" s="19"/>
    </row>
    <row r="166" spans="5:6" x14ac:dyDescent="0.25">
      <c r="E166" s="19"/>
      <c r="F166" s="19"/>
    </row>
    <row r="167" spans="5:6" x14ac:dyDescent="0.25">
      <c r="E167" s="19"/>
      <c r="F167" s="19"/>
    </row>
    <row r="168" spans="5:6" x14ac:dyDescent="0.25">
      <c r="E168" s="19"/>
      <c r="F168" s="19"/>
    </row>
    <row r="169" spans="5:6" x14ac:dyDescent="0.25">
      <c r="E169" s="19"/>
      <c r="F169" s="19"/>
    </row>
    <row r="170" spans="5:6" x14ac:dyDescent="0.25">
      <c r="E170" s="19"/>
      <c r="F170" s="19"/>
    </row>
    <row r="171" spans="5:6" x14ac:dyDescent="0.25">
      <c r="E171" s="19"/>
      <c r="F171" s="19"/>
    </row>
    <row r="172" spans="5:6" x14ac:dyDescent="0.25">
      <c r="E172" s="19"/>
      <c r="F172" s="19"/>
    </row>
    <row r="173" spans="5:6" x14ac:dyDescent="0.25">
      <c r="E173" s="19"/>
      <c r="F173" s="19"/>
    </row>
    <row r="174" spans="5:6" x14ac:dyDescent="0.25">
      <c r="E174" s="19"/>
      <c r="F174" s="19"/>
    </row>
    <row r="175" spans="5:6" x14ac:dyDescent="0.25">
      <c r="E175" s="19"/>
      <c r="F175" s="19"/>
    </row>
    <row r="176" spans="5:6" x14ac:dyDescent="0.25">
      <c r="E176" s="19"/>
      <c r="F176" s="19"/>
    </row>
    <row r="177" spans="5:6" x14ac:dyDescent="0.25">
      <c r="E177" s="19"/>
      <c r="F177" s="19"/>
    </row>
    <row r="178" spans="5:6" x14ac:dyDescent="0.25">
      <c r="E178" s="19"/>
      <c r="F178" s="19"/>
    </row>
    <row r="179" spans="5:6" x14ac:dyDescent="0.25">
      <c r="E179" s="19"/>
      <c r="F179" s="19"/>
    </row>
    <row r="180" spans="5:6" x14ac:dyDescent="0.25">
      <c r="E180" s="19"/>
      <c r="F180" s="19"/>
    </row>
    <row r="181" spans="5:6" x14ac:dyDescent="0.25">
      <c r="E181" s="19"/>
      <c r="F181" s="19"/>
    </row>
    <row r="182" spans="5:6" x14ac:dyDescent="0.25">
      <c r="E182" s="19"/>
      <c r="F182" s="19"/>
    </row>
    <row r="183" spans="5:6" x14ac:dyDescent="0.25">
      <c r="E183" s="19"/>
      <c r="F183" s="19"/>
    </row>
    <row r="184" spans="5:6" x14ac:dyDescent="0.25">
      <c r="E184" s="19"/>
      <c r="F184" s="19"/>
    </row>
    <row r="185" spans="5:6" x14ac:dyDescent="0.25">
      <c r="E185" s="19"/>
      <c r="F185" s="19"/>
    </row>
    <row r="186" spans="5:6" x14ac:dyDescent="0.25">
      <c r="E186" s="19"/>
      <c r="F186" s="19"/>
    </row>
    <row r="187" spans="5:6" x14ac:dyDescent="0.25">
      <c r="E187" s="19"/>
      <c r="F187" s="19"/>
    </row>
    <row r="188" spans="5:6" x14ac:dyDescent="0.25">
      <c r="E188" s="19"/>
      <c r="F188" s="19"/>
    </row>
    <row r="189" spans="5:6" x14ac:dyDescent="0.25">
      <c r="E189" s="19"/>
      <c r="F189" s="19"/>
    </row>
    <row r="190" spans="5:6" x14ac:dyDescent="0.25">
      <c r="E190" s="19"/>
      <c r="F190" s="19"/>
    </row>
    <row r="191" spans="5:6" x14ac:dyDescent="0.25">
      <c r="E191" s="19"/>
      <c r="F191" s="19"/>
    </row>
    <row r="192" spans="5:6" x14ac:dyDescent="0.25">
      <c r="E192" s="19"/>
      <c r="F192" s="19"/>
    </row>
    <row r="193" spans="5:6" x14ac:dyDescent="0.25">
      <c r="E193" s="19"/>
      <c r="F193" s="19"/>
    </row>
    <row r="194" spans="5:6" x14ac:dyDescent="0.25">
      <c r="E194" s="19"/>
      <c r="F194" s="19"/>
    </row>
    <row r="195" spans="5:6" x14ac:dyDescent="0.25">
      <c r="E195" s="19"/>
      <c r="F195" s="19"/>
    </row>
    <row r="196" spans="5:6" x14ac:dyDescent="0.25">
      <c r="E196" s="19"/>
      <c r="F196" s="19"/>
    </row>
    <row r="197" spans="5:6" x14ac:dyDescent="0.25">
      <c r="E197" s="19"/>
      <c r="F197" s="19"/>
    </row>
    <row r="198" spans="5:6" x14ac:dyDescent="0.25">
      <c r="E198" s="19"/>
      <c r="F198" s="19"/>
    </row>
    <row r="199" spans="5:6" x14ac:dyDescent="0.25">
      <c r="E199" s="19"/>
      <c r="F199" s="19"/>
    </row>
    <row r="200" spans="5:6" x14ac:dyDescent="0.25">
      <c r="E200" s="19"/>
      <c r="F200" s="19"/>
    </row>
    <row r="201" spans="5:6" x14ac:dyDescent="0.25">
      <c r="E201" s="19"/>
      <c r="F201" s="19"/>
    </row>
    <row r="202" spans="5:6" x14ac:dyDescent="0.25">
      <c r="E202" s="19"/>
      <c r="F202" s="19"/>
    </row>
    <row r="203" spans="5:6" x14ac:dyDescent="0.25">
      <c r="E203" s="19"/>
      <c r="F203" s="19"/>
    </row>
    <row r="204" spans="5:6" x14ac:dyDescent="0.25">
      <c r="E204" s="19"/>
      <c r="F204" s="19"/>
    </row>
    <row r="205" spans="5:6" x14ac:dyDescent="0.25">
      <c r="E205" s="19"/>
      <c r="F205" s="19"/>
    </row>
    <row r="206" spans="5:6" x14ac:dyDescent="0.25">
      <c r="E206" s="19"/>
      <c r="F206" s="19"/>
    </row>
    <row r="207" spans="5:6" x14ac:dyDescent="0.25">
      <c r="E207" s="19"/>
      <c r="F207" s="19"/>
    </row>
    <row r="208" spans="5:6" x14ac:dyDescent="0.25">
      <c r="E208" s="19"/>
      <c r="F208" s="19"/>
    </row>
    <row r="209" spans="5:6" x14ac:dyDescent="0.25">
      <c r="E209" s="19"/>
      <c r="F209" s="19"/>
    </row>
    <row r="210" spans="5:6" x14ac:dyDescent="0.25">
      <c r="E210" s="19"/>
      <c r="F210" s="19"/>
    </row>
    <row r="211" spans="5:6" x14ac:dyDescent="0.25">
      <c r="E211" s="19"/>
      <c r="F211" s="19"/>
    </row>
    <row r="212" spans="5:6" x14ac:dyDescent="0.25">
      <c r="E212" s="19"/>
      <c r="F212" s="19"/>
    </row>
    <row r="213" spans="5:6" x14ac:dyDescent="0.25">
      <c r="E213" s="19"/>
      <c r="F213" s="19"/>
    </row>
    <row r="214" spans="5:6" x14ac:dyDescent="0.25">
      <c r="E214" s="19"/>
      <c r="F214" s="19"/>
    </row>
    <row r="215" spans="5:6" x14ac:dyDescent="0.25">
      <c r="E215" s="19"/>
      <c r="F215" s="19"/>
    </row>
    <row r="216" spans="5:6" x14ac:dyDescent="0.25">
      <c r="E216" s="19"/>
      <c r="F216" s="19"/>
    </row>
    <row r="217" spans="5:6" x14ac:dyDescent="0.25">
      <c r="E217" s="19"/>
      <c r="F217" s="19"/>
    </row>
    <row r="218" spans="5:6" x14ac:dyDescent="0.25">
      <c r="E218" s="19"/>
      <c r="F218" s="19"/>
    </row>
    <row r="219" spans="5:6" x14ac:dyDescent="0.25">
      <c r="E219" s="19"/>
      <c r="F219" s="19"/>
    </row>
    <row r="220" spans="5:6" x14ac:dyDescent="0.25">
      <c r="E220" s="19"/>
      <c r="F220" s="19"/>
    </row>
    <row r="221" spans="5:6" x14ac:dyDescent="0.25">
      <c r="E221" s="19"/>
      <c r="F221" s="19"/>
    </row>
    <row r="222" spans="5:6" x14ac:dyDescent="0.25">
      <c r="E222" s="19"/>
      <c r="F222" s="19"/>
    </row>
    <row r="223" spans="5:6" x14ac:dyDescent="0.25">
      <c r="E223" s="19"/>
      <c r="F223" s="19"/>
    </row>
    <row r="224" spans="5:6" x14ac:dyDescent="0.25">
      <c r="E224" s="19"/>
      <c r="F224" s="19"/>
    </row>
    <row r="225" spans="5:6" x14ac:dyDescent="0.25">
      <c r="E225" s="19"/>
      <c r="F225" s="19"/>
    </row>
    <row r="226" spans="5:6" x14ac:dyDescent="0.25">
      <c r="E226" s="19"/>
      <c r="F226" s="19"/>
    </row>
    <row r="227" spans="5:6" x14ac:dyDescent="0.25">
      <c r="E227" s="19"/>
      <c r="F227" s="19"/>
    </row>
    <row r="228" spans="5:6" x14ac:dyDescent="0.25">
      <c r="E228" s="19"/>
      <c r="F228" s="19"/>
    </row>
    <row r="229" spans="5:6" x14ac:dyDescent="0.25">
      <c r="E229" s="19"/>
      <c r="F229" s="19"/>
    </row>
    <row r="230" spans="5:6" x14ac:dyDescent="0.25">
      <c r="E230" s="19"/>
      <c r="F230" s="19"/>
    </row>
    <row r="231" spans="5:6" x14ac:dyDescent="0.25">
      <c r="E231" s="19"/>
      <c r="F231" s="19"/>
    </row>
    <row r="232" spans="5:6" x14ac:dyDescent="0.25">
      <c r="E232" s="19"/>
      <c r="F232" s="19"/>
    </row>
    <row r="233" spans="5:6" x14ac:dyDescent="0.25">
      <c r="E233" s="19"/>
      <c r="F233" s="19"/>
    </row>
    <row r="234" spans="5:6" x14ac:dyDescent="0.25">
      <c r="E234" s="19"/>
      <c r="F234" s="19"/>
    </row>
    <row r="235" spans="5:6" x14ac:dyDescent="0.25">
      <c r="E235" s="19"/>
      <c r="F235" s="19"/>
    </row>
    <row r="236" spans="5:6" x14ac:dyDescent="0.25">
      <c r="E236" s="19"/>
      <c r="F236" s="19"/>
    </row>
    <row r="237" spans="5:6" x14ac:dyDescent="0.25">
      <c r="E237" s="19"/>
      <c r="F237" s="19"/>
    </row>
    <row r="238" spans="5:6" x14ac:dyDescent="0.25">
      <c r="E238" s="19"/>
      <c r="F238" s="19"/>
    </row>
    <row r="239" spans="5:6" x14ac:dyDescent="0.25">
      <c r="E239" s="19"/>
      <c r="F239" s="19"/>
    </row>
    <row r="240" spans="5:6" x14ac:dyDescent="0.25">
      <c r="E240" s="19"/>
      <c r="F240" s="19"/>
    </row>
    <row r="241" spans="5:6" x14ac:dyDescent="0.25">
      <c r="E241" s="19"/>
      <c r="F241" s="19"/>
    </row>
    <row r="242" spans="5:6" x14ac:dyDescent="0.25">
      <c r="E242" s="19"/>
      <c r="F242" s="19"/>
    </row>
    <row r="243" spans="5:6" x14ac:dyDescent="0.25">
      <c r="E243" s="19"/>
      <c r="F243" s="19"/>
    </row>
    <row r="244" spans="5:6" x14ac:dyDescent="0.25">
      <c r="E244" s="19"/>
      <c r="F244" s="19"/>
    </row>
    <row r="245" spans="5:6" x14ac:dyDescent="0.25">
      <c r="E245" s="19"/>
      <c r="F245" s="19"/>
    </row>
    <row r="246" spans="5:6" x14ac:dyDescent="0.25">
      <c r="E246" s="19"/>
      <c r="F246" s="19"/>
    </row>
    <row r="247" spans="5:6" x14ac:dyDescent="0.25">
      <c r="E247" s="19"/>
      <c r="F247" s="19"/>
    </row>
    <row r="248" spans="5:6" x14ac:dyDescent="0.25">
      <c r="E248" s="19"/>
      <c r="F248" s="19"/>
    </row>
    <row r="249" spans="5:6" x14ac:dyDescent="0.25">
      <c r="E249" s="19"/>
      <c r="F249" s="19"/>
    </row>
    <row r="250" spans="5:6" x14ac:dyDescent="0.25">
      <c r="E250" s="19"/>
      <c r="F250" s="19"/>
    </row>
    <row r="251" spans="5:6" x14ac:dyDescent="0.25">
      <c r="E251" s="19"/>
      <c r="F251" s="19"/>
    </row>
    <row r="252" spans="5:6" x14ac:dyDescent="0.25">
      <c r="E252" s="19"/>
      <c r="F252" s="19"/>
    </row>
    <row r="253" spans="5:6" x14ac:dyDescent="0.25">
      <c r="E253" s="19"/>
      <c r="F253" s="19"/>
    </row>
    <row r="254" spans="5:6" x14ac:dyDescent="0.25">
      <c r="E254" s="19"/>
      <c r="F254" s="19"/>
    </row>
    <row r="255" spans="5:6" x14ac:dyDescent="0.25">
      <c r="E255" s="19"/>
      <c r="F255" s="19"/>
    </row>
    <row r="256" spans="5:6" x14ac:dyDescent="0.25">
      <c r="E256" s="19"/>
      <c r="F256" s="19"/>
    </row>
    <row r="257" spans="5:6" x14ac:dyDescent="0.25">
      <c r="E257" s="19"/>
      <c r="F257" s="19"/>
    </row>
    <row r="258" spans="5:6" x14ac:dyDescent="0.25">
      <c r="E258" s="19"/>
      <c r="F258" s="19"/>
    </row>
    <row r="259" spans="5:6" x14ac:dyDescent="0.25">
      <c r="E259" s="19"/>
      <c r="F259" s="19"/>
    </row>
    <row r="260" spans="5:6" x14ac:dyDescent="0.25">
      <c r="E260" s="19"/>
      <c r="F260" s="19"/>
    </row>
    <row r="261" spans="5:6" x14ac:dyDescent="0.25">
      <c r="E261" s="19"/>
      <c r="F261" s="19"/>
    </row>
    <row r="262" spans="5:6" x14ac:dyDescent="0.25">
      <c r="E262" s="19"/>
      <c r="F262" s="19"/>
    </row>
    <row r="263" spans="5:6" x14ac:dyDescent="0.25">
      <c r="E263" s="19"/>
      <c r="F263" s="19"/>
    </row>
    <row r="264" spans="5:6" x14ac:dyDescent="0.25">
      <c r="E264" s="19"/>
      <c r="F264" s="19"/>
    </row>
    <row r="265" spans="5:6" x14ac:dyDescent="0.25">
      <c r="E265" s="19"/>
      <c r="F265" s="19"/>
    </row>
    <row r="266" spans="5:6" x14ac:dyDescent="0.25">
      <c r="E266" s="19"/>
      <c r="F266" s="19"/>
    </row>
    <row r="267" spans="5:6" x14ac:dyDescent="0.25">
      <c r="E267" s="19"/>
      <c r="F267" s="19"/>
    </row>
    <row r="268" spans="5:6" x14ac:dyDescent="0.25">
      <c r="E268" s="19"/>
      <c r="F268" s="19"/>
    </row>
    <row r="269" spans="5:6" x14ac:dyDescent="0.25">
      <c r="E269" s="19"/>
      <c r="F269" s="19"/>
    </row>
    <row r="270" spans="5:6" x14ac:dyDescent="0.25">
      <c r="E270" s="19"/>
      <c r="F270" s="19"/>
    </row>
    <row r="271" spans="5:6" x14ac:dyDescent="0.25">
      <c r="E271" s="19"/>
      <c r="F271" s="19"/>
    </row>
    <row r="272" spans="5:6" x14ac:dyDescent="0.25">
      <c r="E272" s="19"/>
      <c r="F272" s="19"/>
    </row>
    <row r="273" spans="5:6" x14ac:dyDescent="0.25">
      <c r="E273" s="19"/>
      <c r="F273" s="19"/>
    </row>
    <row r="274" spans="5:6" x14ac:dyDescent="0.25">
      <c r="E274" s="19"/>
      <c r="F274" s="19"/>
    </row>
    <row r="275" spans="5:6" x14ac:dyDescent="0.25">
      <c r="E275" s="19"/>
      <c r="F275" s="19"/>
    </row>
    <row r="276" spans="5:6" x14ac:dyDescent="0.25">
      <c r="E276" s="19"/>
      <c r="F276" s="19"/>
    </row>
    <row r="277" spans="5:6" x14ac:dyDescent="0.25">
      <c r="E277" s="19"/>
      <c r="F277" s="19"/>
    </row>
    <row r="278" spans="5:6" x14ac:dyDescent="0.25">
      <c r="E278" s="19"/>
      <c r="F278" s="19"/>
    </row>
    <row r="279" spans="5:6" x14ac:dyDescent="0.25">
      <c r="E279" s="19"/>
      <c r="F279" s="19"/>
    </row>
    <row r="280" spans="5:6" x14ac:dyDescent="0.25">
      <c r="E280" s="19"/>
      <c r="F280" s="19"/>
    </row>
    <row r="281" spans="5:6" x14ac:dyDescent="0.25">
      <c r="E281" s="19"/>
      <c r="F281" s="19"/>
    </row>
    <row r="282" spans="5:6" x14ac:dyDescent="0.25">
      <c r="E282" s="19"/>
      <c r="F282" s="19"/>
    </row>
    <row r="283" spans="5:6" x14ac:dyDescent="0.25">
      <c r="E283" s="19"/>
      <c r="F283" s="19"/>
    </row>
    <row r="284" spans="5:6" x14ac:dyDescent="0.25">
      <c r="E284" s="19"/>
      <c r="F284" s="19"/>
    </row>
    <row r="285" spans="5:6" x14ac:dyDescent="0.25">
      <c r="E285" s="19"/>
      <c r="F285" s="19"/>
    </row>
    <row r="286" spans="5:6" x14ac:dyDescent="0.25">
      <c r="E286" s="19"/>
      <c r="F286" s="19"/>
    </row>
    <row r="287" spans="5:6" x14ac:dyDescent="0.25">
      <c r="E287" s="19"/>
      <c r="F287" s="19"/>
    </row>
    <row r="288" spans="5:6" x14ac:dyDescent="0.25">
      <c r="E288" s="19"/>
      <c r="F288" s="19"/>
    </row>
    <row r="289" spans="5:6" x14ac:dyDescent="0.25">
      <c r="E289" s="19"/>
      <c r="F289" s="19"/>
    </row>
    <row r="290" spans="5:6" x14ac:dyDescent="0.25">
      <c r="E290" s="19"/>
      <c r="F290" s="19"/>
    </row>
    <row r="291" spans="5:6" x14ac:dyDescent="0.25">
      <c r="E291" s="19"/>
      <c r="F291" s="19"/>
    </row>
    <row r="292" spans="5:6" x14ac:dyDescent="0.25">
      <c r="E292" s="19"/>
      <c r="F292" s="19"/>
    </row>
    <row r="293" spans="5:6" x14ac:dyDescent="0.25">
      <c r="E293" s="19"/>
      <c r="F293" s="19"/>
    </row>
    <row r="294" spans="5:6" x14ac:dyDescent="0.25">
      <c r="E294" s="19"/>
      <c r="F294" s="19"/>
    </row>
    <row r="295" spans="5:6" x14ac:dyDescent="0.25">
      <c r="E295" s="19"/>
      <c r="F295" s="19"/>
    </row>
    <row r="296" spans="5:6" x14ac:dyDescent="0.25">
      <c r="E296" s="19"/>
      <c r="F296" s="19"/>
    </row>
    <row r="297" spans="5:6" x14ac:dyDescent="0.25">
      <c r="E297" s="19"/>
      <c r="F297" s="19"/>
    </row>
    <row r="298" spans="5:6" x14ac:dyDescent="0.25">
      <c r="E298" s="19"/>
      <c r="F298" s="19"/>
    </row>
    <row r="299" spans="5:6" x14ac:dyDescent="0.25">
      <c r="E299" s="19"/>
      <c r="F299" s="19"/>
    </row>
    <row r="300" spans="5:6" x14ac:dyDescent="0.25">
      <c r="E300" s="19"/>
      <c r="F300" s="19"/>
    </row>
    <row r="301" spans="5:6" x14ac:dyDescent="0.25">
      <c r="E301" s="19"/>
      <c r="F301" s="19"/>
    </row>
    <row r="302" spans="5:6" x14ac:dyDescent="0.25">
      <c r="E302" s="19"/>
      <c r="F302" s="19"/>
    </row>
    <row r="303" spans="5:6" x14ac:dyDescent="0.25">
      <c r="E303" s="19"/>
      <c r="F303" s="19"/>
    </row>
    <row r="304" spans="5:6" x14ac:dyDescent="0.25">
      <c r="E304" s="19"/>
      <c r="F304" s="19"/>
    </row>
    <row r="305" spans="5:6" x14ac:dyDescent="0.25">
      <c r="E305" s="19"/>
      <c r="F305" s="19"/>
    </row>
    <row r="306" spans="5:6" x14ac:dyDescent="0.25">
      <c r="E306" s="19"/>
      <c r="F306" s="19"/>
    </row>
    <row r="307" spans="5:6" x14ac:dyDescent="0.25">
      <c r="E307" s="19"/>
      <c r="F307" s="19"/>
    </row>
    <row r="308" spans="5:6" x14ac:dyDescent="0.25">
      <c r="E308" s="19"/>
      <c r="F308" s="19"/>
    </row>
    <row r="309" spans="5:6" x14ac:dyDescent="0.25">
      <c r="E309" s="19"/>
      <c r="F309" s="19"/>
    </row>
    <row r="310" spans="5:6" x14ac:dyDescent="0.25">
      <c r="E310" s="19"/>
      <c r="F310" s="19"/>
    </row>
    <row r="311" spans="5:6" x14ac:dyDescent="0.25">
      <c r="E311" s="19"/>
      <c r="F311" s="19"/>
    </row>
    <row r="312" spans="5:6" x14ac:dyDescent="0.25">
      <c r="E312" s="19"/>
      <c r="F312" s="19"/>
    </row>
    <row r="313" spans="5:6" x14ac:dyDescent="0.25">
      <c r="E313" s="19"/>
      <c r="F313" s="19"/>
    </row>
    <row r="314" spans="5:6" x14ac:dyDescent="0.25">
      <c r="E314" s="19"/>
      <c r="F314" s="19"/>
    </row>
    <row r="315" spans="5:6" x14ac:dyDescent="0.25">
      <c r="E315" s="19"/>
      <c r="F315" s="19"/>
    </row>
    <row r="316" spans="5:6" x14ac:dyDescent="0.25">
      <c r="E316" s="19"/>
      <c r="F316" s="19"/>
    </row>
    <row r="317" spans="5:6" x14ac:dyDescent="0.25">
      <c r="E317" s="19"/>
      <c r="F317" s="19"/>
    </row>
    <row r="318" spans="5:6" x14ac:dyDescent="0.25">
      <c r="E318" s="19"/>
      <c r="F318" s="19"/>
    </row>
    <row r="319" spans="5:6" x14ac:dyDescent="0.25">
      <c r="E319" s="19"/>
      <c r="F319" s="19"/>
    </row>
    <row r="320" spans="5:6" x14ac:dyDescent="0.25">
      <c r="E320" s="19"/>
      <c r="F320" s="19"/>
    </row>
    <row r="321" spans="5:6" x14ac:dyDescent="0.25">
      <c r="E321" s="19"/>
      <c r="F321" s="19"/>
    </row>
    <row r="322" spans="5:6" x14ac:dyDescent="0.25">
      <c r="E322" s="19"/>
      <c r="F322" s="19"/>
    </row>
    <row r="323" spans="5:6" x14ac:dyDescent="0.25">
      <c r="E323" s="19"/>
      <c r="F323" s="19"/>
    </row>
    <row r="324" spans="5:6" x14ac:dyDescent="0.25">
      <c r="E324" s="19"/>
      <c r="F324" s="19"/>
    </row>
    <row r="325" spans="5:6" x14ac:dyDescent="0.25">
      <c r="E325" s="19"/>
      <c r="F325" s="19"/>
    </row>
    <row r="326" spans="5:6" x14ac:dyDescent="0.25">
      <c r="E326" s="19"/>
      <c r="F326" s="19"/>
    </row>
    <row r="327" spans="5:6" x14ac:dyDescent="0.25">
      <c r="E327" s="19"/>
      <c r="F327" s="19"/>
    </row>
    <row r="328" spans="5:6" x14ac:dyDescent="0.25">
      <c r="E328" s="19"/>
      <c r="F328" s="19"/>
    </row>
    <row r="329" spans="5:6" x14ac:dyDescent="0.25">
      <c r="E329" s="19"/>
      <c r="F329" s="19"/>
    </row>
    <row r="330" spans="5:6" x14ac:dyDescent="0.25">
      <c r="E330" s="19"/>
      <c r="F330" s="19"/>
    </row>
    <row r="331" spans="5:6" x14ac:dyDescent="0.25">
      <c r="E331" s="19"/>
      <c r="F331" s="19"/>
    </row>
    <row r="332" spans="5:6" x14ac:dyDescent="0.25">
      <c r="E332" s="19"/>
      <c r="F332" s="19"/>
    </row>
    <row r="333" spans="5:6" x14ac:dyDescent="0.25">
      <c r="E333" s="19"/>
      <c r="F333" s="19"/>
    </row>
    <row r="334" spans="5:6" x14ac:dyDescent="0.25">
      <c r="E334" s="19"/>
      <c r="F334" s="19"/>
    </row>
    <row r="335" spans="5:6" x14ac:dyDescent="0.25">
      <c r="E335" s="19"/>
      <c r="F335" s="19"/>
    </row>
    <row r="336" spans="5:6" x14ac:dyDescent="0.25">
      <c r="E336" s="19"/>
      <c r="F336" s="19"/>
    </row>
    <row r="337" spans="5:6" x14ac:dyDescent="0.25">
      <c r="E337" s="19"/>
      <c r="F337" s="19"/>
    </row>
    <row r="338" spans="5:6" x14ac:dyDescent="0.25">
      <c r="E338" s="19"/>
      <c r="F338" s="19"/>
    </row>
    <row r="339" spans="5:6" x14ac:dyDescent="0.25">
      <c r="E339" s="19"/>
      <c r="F339" s="19"/>
    </row>
    <row r="340" spans="5:6" x14ac:dyDescent="0.25">
      <c r="E340" s="19"/>
      <c r="F340" s="19"/>
    </row>
    <row r="341" spans="5:6" x14ac:dyDescent="0.25">
      <c r="E341" s="19"/>
      <c r="F341" s="19"/>
    </row>
    <row r="342" spans="5:6" x14ac:dyDescent="0.25">
      <c r="E342" s="19"/>
      <c r="F342" s="19"/>
    </row>
    <row r="343" spans="5:6" x14ac:dyDescent="0.25">
      <c r="E343" s="19"/>
      <c r="F343" s="19"/>
    </row>
    <row r="344" spans="5:6" x14ac:dyDescent="0.25">
      <c r="E344" s="19"/>
      <c r="F344" s="19"/>
    </row>
    <row r="345" spans="5:6" x14ac:dyDescent="0.25">
      <c r="E345" s="19"/>
      <c r="F345" s="19"/>
    </row>
    <row r="346" spans="5:6" x14ac:dyDescent="0.25">
      <c r="E346" s="19"/>
      <c r="F346" s="19"/>
    </row>
    <row r="347" spans="5:6" x14ac:dyDescent="0.25">
      <c r="E347" s="19"/>
      <c r="F347" s="19"/>
    </row>
    <row r="348" spans="5:6" x14ac:dyDescent="0.25">
      <c r="E348" s="19"/>
      <c r="F348" s="19"/>
    </row>
    <row r="349" spans="5:6" x14ac:dyDescent="0.25">
      <c r="E349" s="19"/>
      <c r="F349" s="19"/>
    </row>
    <row r="350" spans="5:6" x14ac:dyDescent="0.25">
      <c r="E350" s="19"/>
      <c r="F350" s="19"/>
    </row>
    <row r="351" spans="5:6" x14ac:dyDescent="0.25">
      <c r="E351" s="19"/>
      <c r="F351" s="19"/>
    </row>
    <row r="352" spans="5:6" x14ac:dyDescent="0.25">
      <c r="E352" s="19"/>
      <c r="F352" s="19"/>
    </row>
    <row r="353" spans="5:6" x14ac:dyDescent="0.25">
      <c r="E353" s="19"/>
      <c r="F353" s="19"/>
    </row>
    <row r="354" spans="5:6" x14ac:dyDescent="0.25">
      <c r="E354" s="19"/>
      <c r="F354" s="19"/>
    </row>
    <row r="355" spans="5:6" x14ac:dyDescent="0.25">
      <c r="E355" s="19"/>
      <c r="F355" s="19"/>
    </row>
    <row r="356" spans="5:6" x14ac:dyDescent="0.25">
      <c r="E356" s="19"/>
      <c r="F356" s="19"/>
    </row>
    <row r="357" spans="5:6" x14ac:dyDescent="0.25">
      <c r="E357" s="19"/>
      <c r="F357" s="19"/>
    </row>
    <row r="358" spans="5:6" x14ac:dyDescent="0.25">
      <c r="E358" s="19"/>
      <c r="F358" s="19"/>
    </row>
    <row r="359" spans="5:6" x14ac:dyDescent="0.25">
      <c r="E359" s="19"/>
      <c r="F359" s="19"/>
    </row>
    <row r="360" spans="5:6" x14ac:dyDescent="0.25">
      <c r="E360" s="19"/>
      <c r="F360" s="19"/>
    </row>
    <row r="361" spans="5:6" x14ac:dyDescent="0.25">
      <c r="E361" s="19"/>
      <c r="F361" s="19"/>
    </row>
    <row r="362" spans="5:6" x14ac:dyDescent="0.25">
      <c r="E362" s="19"/>
      <c r="F362" s="19"/>
    </row>
    <row r="363" spans="5:6" x14ac:dyDescent="0.25">
      <c r="E363" s="19"/>
      <c r="F363" s="19"/>
    </row>
    <row r="364" spans="5:6" x14ac:dyDescent="0.25">
      <c r="E364" s="19"/>
      <c r="F364" s="19"/>
    </row>
    <row r="365" spans="5:6" x14ac:dyDescent="0.25">
      <c r="E365" s="19"/>
      <c r="F365" s="19"/>
    </row>
    <row r="366" spans="5:6" x14ac:dyDescent="0.25">
      <c r="E366" s="19"/>
      <c r="F366" s="19"/>
    </row>
    <row r="367" spans="5:6" x14ac:dyDescent="0.25">
      <c r="E367" s="19"/>
      <c r="F367" s="19"/>
    </row>
    <row r="368" spans="5:6" x14ac:dyDescent="0.25">
      <c r="E368" s="19"/>
      <c r="F368" s="19"/>
    </row>
    <row r="369" spans="5:6" x14ac:dyDescent="0.25">
      <c r="E369" s="19"/>
      <c r="F369" s="19"/>
    </row>
    <row r="370" spans="5:6" x14ac:dyDescent="0.25">
      <c r="E370" s="19"/>
      <c r="F370" s="19"/>
    </row>
    <row r="371" spans="5:6" x14ac:dyDescent="0.25">
      <c r="E371" s="19"/>
      <c r="F371" s="19"/>
    </row>
    <row r="372" spans="5:6" x14ac:dyDescent="0.25">
      <c r="E372" s="19"/>
      <c r="F372" s="19"/>
    </row>
    <row r="373" spans="5:6" x14ac:dyDescent="0.25">
      <c r="E373" s="19"/>
      <c r="F373" s="19"/>
    </row>
    <row r="374" spans="5:6" x14ac:dyDescent="0.25">
      <c r="E374" s="19"/>
      <c r="F374" s="19"/>
    </row>
    <row r="375" spans="5:6" x14ac:dyDescent="0.25">
      <c r="E375" s="19"/>
      <c r="F375" s="19"/>
    </row>
    <row r="376" spans="5:6" x14ac:dyDescent="0.25">
      <c r="E376" s="19"/>
      <c r="F376" s="19"/>
    </row>
    <row r="377" spans="5:6" x14ac:dyDescent="0.25">
      <c r="E377" s="19"/>
      <c r="F377" s="19"/>
    </row>
    <row r="378" spans="5:6" x14ac:dyDescent="0.25">
      <c r="E378" s="19"/>
      <c r="F378" s="19"/>
    </row>
    <row r="379" spans="5:6" x14ac:dyDescent="0.25">
      <c r="E379" s="19"/>
      <c r="F379" s="19"/>
    </row>
    <row r="380" spans="5:6" x14ac:dyDescent="0.25">
      <c r="E380" s="19"/>
      <c r="F380" s="19"/>
    </row>
    <row r="381" spans="5:6" x14ac:dyDescent="0.25">
      <c r="E381" s="19"/>
      <c r="F381" s="19"/>
    </row>
    <row r="382" spans="5:6" x14ac:dyDescent="0.25">
      <c r="E382" s="19"/>
      <c r="F382" s="19"/>
    </row>
    <row r="383" spans="5:6" x14ac:dyDescent="0.25">
      <c r="E383" s="19"/>
      <c r="F383" s="19"/>
    </row>
    <row r="384" spans="5:6" x14ac:dyDescent="0.25">
      <c r="E384" s="19"/>
      <c r="F384" s="19"/>
    </row>
    <row r="385" spans="5:6" x14ac:dyDescent="0.25">
      <c r="E385" s="19"/>
      <c r="F385" s="19"/>
    </row>
    <row r="386" spans="5:6" x14ac:dyDescent="0.25">
      <c r="E386" s="19"/>
      <c r="F386" s="19"/>
    </row>
    <row r="387" spans="5:6" x14ac:dyDescent="0.25">
      <c r="E387" s="19"/>
      <c r="F387" s="19"/>
    </row>
    <row r="388" spans="5:6" x14ac:dyDescent="0.25">
      <c r="E388" s="19"/>
      <c r="F388" s="19"/>
    </row>
    <row r="389" spans="5:6" x14ac:dyDescent="0.25">
      <c r="E389" s="19"/>
      <c r="F389" s="19"/>
    </row>
    <row r="390" spans="5:6" x14ac:dyDescent="0.25">
      <c r="E390" s="19"/>
      <c r="F390" s="19"/>
    </row>
    <row r="391" spans="5:6" x14ac:dyDescent="0.25">
      <c r="E391" s="19"/>
      <c r="F391" s="19"/>
    </row>
    <row r="392" spans="5:6" x14ac:dyDescent="0.25">
      <c r="E392" s="19"/>
      <c r="F392" s="19"/>
    </row>
    <row r="393" spans="5:6" x14ac:dyDescent="0.25">
      <c r="E393" s="19"/>
      <c r="F393" s="19"/>
    </row>
    <row r="394" spans="5:6" x14ac:dyDescent="0.25">
      <c r="E394" s="19"/>
      <c r="F394" s="19"/>
    </row>
    <row r="395" spans="5:6" x14ac:dyDescent="0.25">
      <c r="E395" s="19"/>
      <c r="F395" s="19"/>
    </row>
    <row r="396" spans="5:6" x14ac:dyDescent="0.25">
      <c r="E396" s="19"/>
      <c r="F396" s="19"/>
    </row>
    <row r="397" spans="5:6" x14ac:dyDescent="0.25">
      <c r="E397" s="19"/>
      <c r="F397" s="19"/>
    </row>
    <row r="398" spans="5:6" x14ac:dyDescent="0.25">
      <c r="E398" s="19"/>
      <c r="F398" s="19"/>
    </row>
    <row r="399" spans="5:6" x14ac:dyDescent="0.25">
      <c r="E399" s="19"/>
      <c r="F399" s="19"/>
    </row>
    <row r="400" spans="5:6" x14ac:dyDescent="0.25">
      <c r="E400" s="19"/>
      <c r="F400" s="19"/>
    </row>
    <row r="401" spans="5:6" x14ac:dyDescent="0.25">
      <c r="E401" s="19"/>
      <c r="F401" s="19"/>
    </row>
    <row r="402" spans="5:6" x14ac:dyDescent="0.25">
      <c r="E402" s="19"/>
      <c r="F402" s="19"/>
    </row>
    <row r="403" spans="5:6" x14ac:dyDescent="0.25">
      <c r="E403" s="19"/>
      <c r="F403" s="19"/>
    </row>
    <row r="404" spans="5:6" x14ac:dyDescent="0.25">
      <c r="E404" s="19"/>
      <c r="F404" s="19"/>
    </row>
    <row r="405" spans="5:6" x14ac:dyDescent="0.25">
      <c r="E405" s="19"/>
      <c r="F405" s="19"/>
    </row>
    <row r="406" spans="5:6" x14ac:dyDescent="0.25">
      <c r="E406" s="19"/>
      <c r="F406" s="19"/>
    </row>
    <row r="407" spans="5:6" x14ac:dyDescent="0.25">
      <c r="E407" s="19"/>
      <c r="F407" s="19"/>
    </row>
    <row r="408" spans="5:6" x14ac:dyDescent="0.25">
      <c r="E408" s="19"/>
      <c r="F408" s="19"/>
    </row>
    <row r="409" spans="5:6" x14ac:dyDescent="0.25">
      <c r="E409" s="19"/>
      <c r="F409" s="19"/>
    </row>
    <row r="410" spans="5:6" x14ac:dyDescent="0.25">
      <c r="E410" s="19"/>
      <c r="F410" s="19"/>
    </row>
    <row r="411" spans="5:6" x14ac:dyDescent="0.25">
      <c r="E411" s="19"/>
      <c r="F411" s="19"/>
    </row>
    <row r="412" spans="5:6" x14ac:dyDescent="0.25">
      <c r="E412" s="19"/>
      <c r="F412" s="19"/>
    </row>
    <row r="413" spans="5:6" x14ac:dyDescent="0.25">
      <c r="E413" s="19"/>
      <c r="F413" s="19"/>
    </row>
    <row r="414" spans="5:6" x14ac:dyDescent="0.25">
      <c r="E414" s="19"/>
      <c r="F414" s="19"/>
    </row>
    <row r="415" spans="5:6" x14ac:dyDescent="0.25">
      <c r="E415" s="19"/>
      <c r="F415" s="19"/>
    </row>
    <row r="416" spans="5:6" x14ac:dyDescent="0.25">
      <c r="E416" s="19"/>
      <c r="F416" s="19"/>
    </row>
    <row r="417" spans="5:6" x14ac:dyDescent="0.25">
      <c r="E417" s="19"/>
      <c r="F417" s="19"/>
    </row>
    <row r="418" spans="5:6" x14ac:dyDescent="0.25">
      <c r="E418" s="19"/>
      <c r="F418" s="19"/>
    </row>
    <row r="419" spans="5:6" x14ac:dyDescent="0.25">
      <c r="E419" s="19"/>
      <c r="F419" s="19"/>
    </row>
    <row r="420" spans="5:6" x14ac:dyDescent="0.25">
      <c r="E420" s="19"/>
      <c r="F420" s="19"/>
    </row>
    <row r="421" spans="5:6" x14ac:dyDescent="0.25">
      <c r="E421" s="19"/>
      <c r="F421" s="19"/>
    </row>
    <row r="422" spans="5:6" x14ac:dyDescent="0.25">
      <c r="E422" s="19"/>
      <c r="F422" s="19"/>
    </row>
    <row r="423" spans="5:6" x14ac:dyDescent="0.25">
      <c r="E423" s="19"/>
      <c r="F423" s="19"/>
    </row>
    <row r="424" spans="5:6" x14ac:dyDescent="0.25">
      <c r="E424" s="19"/>
      <c r="F424" s="19"/>
    </row>
    <row r="425" spans="5:6" x14ac:dyDescent="0.25">
      <c r="E425" s="19"/>
      <c r="F425" s="19"/>
    </row>
    <row r="426" spans="5:6" x14ac:dyDescent="0.25">
      <c r="E426" s="19"/>
      <c r="F426" s="19"/>
    </row>
    <row r="427" spans="5:6" x14ac:dyDescent="0.25">
      <c r="E427" s="19"/>
      <c r="F427" s="19"/>
    </row>
    <row r="428" spans="5:6" x14ac:dyDescent="0.25">
      <c r="E428" s="19"/>
      <c r="F428" s="19"/>
    </row>
    <row r="429" spans="5:6" x14ac:dyDescent="0.25">
      <c r="E429" s="19"/>
      <c r="F429" s="19"/>
    </row>
    <row r="430" spans="5:6" x14ac:dyDescent="0.25">
      <c r="E430" s="19"/>
      <c r="F430" s="19"/>
    </row>
    <row r="431" spans="5:6" x14ac:dyDescent="0.25">
      <c r="E431" s="19"/>
      <c r="F431" s="19"/>
    </row>
    <row r="432" spans="5:6" x14ac:dyDescent="0.25">
      <c r="E432" s="19"/>
      <c r="F432" s="19"/>
    </row>
    <row r="433" spans="5:6" x14ac:dyDescent="0.25">
      <c r="E433" s="19"/>
      <c r="F433" s="19"/>
    </row>
    <row r="434" spans="5:6" x14ac:dyDescent="0.25">
      <c r="E434" s="19"/>
      <c r="F434" s="19"/>
    </row>
    <row r="435" spans="5:6" x14ac:dyDescent="0.25">
      <c r="E435" s="19"/>
      <c r="F435" s="19"/>
    </row>
    <row r="436" spans="5:6" x14ac:dyDescent="0.25">
      <c r="E436" s="19"/>
      <c r="F436" s="19"/>
    </row>
    <row r="437" spans="5:6" x14ac:dyDescent="0.25">
      <c r="E437" s="19"/>
      <c r="F437" s="19"/>
    </row>
    <row r="438" spans="5:6" x14ac:dyDescent="0.25">
      <c r="E438" s="19"/>
      <c r="F438" s="19"/>
    </row>
    <row r="439" spans="5:6" x14ac:dyDescent="0.25">
      <c r="E439" s="19"/>
      <c r="F439" s="19"/>
    </row>
    <row r="440" spans="5:6" x14ac:dyDescent="0.25">
      <c r="E440" s="19"/>
      <c r="F440" s="19"/>
    </row>
    <row r="441" spans="5:6" x14ac:dyDescent="0.25">
      <c r="E441" s="19"/>
      <c r="F441" s="19"/>
    </row>
    <row r="442" spans="5:6" x14ac:dyDescent="0.25">
      <c r="E442" s="19"/>
      <c r="F442" s="19"/>
    </row>
    <row r="443" spans="5:6" x14ac:dyDescent="0.25">
      <c r="E443" s="19"/>
      <c r="F443" s="19"/>
    </row>
    <row r="444" spans="5:6" x14ac:dyDescent="0.25">
      <c r="E444" s="19"/>
      <c r="F444" s="19"/>
    </row>
    <row r="445" spans="5:6" x14ac:dyDescent="0.25">
      <c r="E445" s="19"/>
      <c r="F445" s="19"/>
    </row>
    <row r="446" spans="5:6" x14ac:dyDescent="0.25">
      <c r="E446" s="19"/>
      <c r="F446" s="19"/>
    </row>
    <row r="447" spans="5:6" x14ac:dyDescent="0.25">
      <c r="E447" s="19"/>
      <c r="F447" s="19"/>
    </row>
    <row r="448" spans="5:6" x14ac:dyDescent="0.25">
      <c r="E448" s="19"/>
      <c r="F448" s="19"/>
    </row>
    <row r="449" spans="5:6" x14ac:dyDescent="0.25">
      <c r="E449" s="19"/>
      <c r="F449" s="19"/>
    </row>
    <row r="450" spans="5:6" x14ac:dyDescent="0.25">
      <c r="E450" s="19"/>
      <c r="F450" s="19"/>
    </row>
    <row r="451" spans="5:6" x14ac:dyDescent="0.25">
      <c r="E451" s="19"/>
      <c r="F451" s="19"/>
    </row>
    <row r="452" spans="5:6" x14ac:dyDescent="0.25">
      <c r="E452" s="19"/>
      <c r="F452" s="19"/>
    </row>
    <row r="453" spans="5:6" x14ac:dyDescent="0.25">
      <c r="E453" s="19"/>
      <c r="F453" s="19"/>
    </row>
    <row r="454" spans="5:6" x14ac:dyDescent="0.25">
      <c r="E454" s="19"/>
      <c r="F454" s="19"/>
    </row>
    <row r="455" spans="5:6" x14ac:dyDescent="0.25">
      <c r="E455" s="19"/>
      <c r="F455" s="19"/>
    </row>
    <row r="456" spans="5:6" x14ac:dyDescent="0.25">
      <c r="E456" s="19"/>
      <c r="F456" s="19"/>
    </row>
    <row r="457" spans="5:6" x14ac:dyDescent="0.25">
      <c r="E457" s="19"/>
      <c r="F457" s="19"/>
    </row>
    <row r="458" spans="5:6" x14ac:dyDescent="0.25">
      <c r="E458" s="19"/>
      <c r="F458" s="19"/>
    </row>
    <row r="459" spans="5:6" x14ac:dyDescent="0.25">
      <c r="E459" s="19"/>
      <c r="F459" s="19"/>
    </row>
    <row r="460" spans="5:6" x14ac:dyDescent="0.25">
      <c r="E460" s="19"/>
      <c r="F460" s="19"/>
    </row>
    <row r="461" spans="5:6" x14ac:dyDescent="0.25">
      <c r="E461" s="19"/>
      <c r="F461" s="19"/>
    </row>
    <row r="462" spans="5:6" x14ac:dyDescent="0.25">
      <c r="E462" s="19"/>
      <c r="F462" s="19"/>
    </row>
    <row r="463" spans="5:6" x14ac:dyDescent="0.25">
      <c r="E463" s="19"/>
      <c r="F463" s="19"/>
    </row>
    <row r="464" spans="5:6" x14ac:dyDescent="0.25">
      <c r="E464" s="19"/>
      <c r="F464" s="19"/>
    </row>
    <row r="465" spans="5:6" x14ac:dyDescent="0.25">
      <c r="E465" s="19"/>
      <c r="F465" s="19"/>
    </row>
    <row r="466" spans="5:6" x14ac:dyDescent="0.25">
      <c r="E466" s="19"/>
      <c r="F466" s="19"/>
    </row>
    <row r="467" spans="5:6" x14ac:dyDescent="0.25">
      <c r="E467" s="19"/>
      <c r="F467" s="19"/>
    </row>
    <row r="468" spans="5:6" x14ac:dyDescent="0.25">
      <c r="E468" s="19"/>
      <c r="F468" s="19"/>
    </row>
    <row r="469" spans="5:6" x14ac:dyDescent="0.25">
      <c r="E469" s="19"/>
      <c r="F469" s="19"/>
    </row>
    <row r="470" spans="5:6" x14ac:dyDescent="0.25">
      <c r="E470" s="19"/>
      <c r="F470" s="19"/>
    </row>
    <row r="471" spans="5:6" x14ac:dyDescent="0.25">
      <c r="E471" s="19"/>
      <c r="F471" s="19"/>
    </row>
    <row r="472" spans="5:6" x14ac:dyDescent="0.25">
      <c r="E472" s="19"/>
      <c r="F472" s="19"/>
    </row>
    <row r="473" spans="5:6" x14ac:dyDescent="0.25">
      <c r="E473" s="19"/>
      <c r="F473" s="19"/>
    </row>
    <row r="474" spans="5:6" x14ac:dyDescent="0.25">
      <c r="E474" s="19"/>
      <c r="F474" s="19"/>
    </row>
    <row r="475" spans="5:6" x14ac:dyDescent="0.25">
      <c r="E475" s="19"/>
      <c r="F475" s="19"/>
    </row>
    <row r="476" spans="5:6" x14ac:dyDescent="0.25">
      <c r="E476" s="19"/>
      <c r="F476" s="19"/>
    </row>
    <row r="477" spans="5:6" x14ac:dyDescent="0.25">
      <c r="E477" s="19"/>
      <c r="F477" s="19"/>
    </row>
    <row r="478" spans="5:6" x14ac:dyDescent="0.25">
      <c r="E478" s="19"/>
      <c r="F478" s="19"/>
    </row>
    <row r="479" spans="5:6" x14ac:dyDescent="0.25">
      <c r="E479" s="19"/>
      <c r="F479" s="19"/>
    </row>
    <row r="480" spans="5:6" x14ac:dyDescent="0.25">
      <c r="E480" s="19"/>
      <c r="F480" s="19"/>
    </row>
    <row r="481" spans="5:6" x14ac:dyDescent="0.25">
      <c r="E481" s="19"/>
      <c r="F481" s="19"/>
    </row>
    <row r="482" spans="5:6" x14ac:dyDescent="0.25">
      <c r="E482" s="19"/>
      <c r="F482" s="19"/>
    </row>
    <row r="483" spans="5:6" x14ac:dyDescent="0.25">
      <c r="E483" s="19"/>
      <c r="F483" s="19"/>
    </row>
    <row r="484" spans="5:6" x14ac:dyDescent="0.25">
      <c r="E484" s="19"/>
      <c r="F484" s="19"/>
    </row>
    <row r="485" spans="5:6" x14ac:dyDescent="0.25">
      <c r="E485" s="19"/>
      <c r="F485" s="19"/>
    </row>
    <row r="486" spans="5:6" x14ac:dyDescent="0.25">
      <c r="E486" s="19"/>
      <c r="F486" s="19"/>
    </row>
    <row r="487" spans="5:6" x14ac:dyDescent="0.25">
      <c r="E487" s="19"/>
      <c r="F487" s="19"/>
    </row>
    <row r="488" spans="5:6" x14ac:dyDescent="0.25">
      <c r="E488" s="19"/>
      <c r="F488" s="19"/>
    </row>
    <row r="489" spans="5:6" x14ac:dyDescent="0.25">
      <c r="E489" s="19"/>
      <c r="F489" s="19"/>
    </row>
    <row r="490" spans="5:6" x14ac:dyDescent="0.25">
      <c r="E490" s="19"/>
      <c r="F490" s="19"/>
    </row>
    <row r="491" spans="5:6" x14ac:dyDescent="0.25">
      <c r="E491" s="19"/>
      <c r="F491" s="19"/>
    </row>
    <row r="492" spans="5:6" x14ac:dyDescent="0.25">
      <c r="E492" s="19"/>
      <c r="F492" s="19"/>
    </row>
    <row r="493" spans="5:6" x14ac:dyDescent="0.25">
      <c r="E493" s="19"/>
      <c r="F493" s="19"/>
    </row>
    <row r="494" spans="5:6" x14ac:dyDescent="0.25">
      <c r="E494" s="19"/>
      <c r="F494" s="19"/>
    </row>
    <row r="495" spans="5:6" x14ac:dyDescent="0.25">
      <c r="E495" s="19"/>
      <c r="F495" s="19"/>
    </row>
    <row r="496" spans="5:6" x14ac:dyDescent="0.25">
      <c r="E496" s="19"/>
      <c r="F496" s="19"/>
    </row>
    <row r="497" spans="5:6" x14ac:dyDescent="0.25">
      <c r="E497" s="19"/>
      <c r="F497" s="19"/>
    </row>
    <row r="498" spans="5:6" x14ac:dyDescent="0.25">
      <c r="E498" s="19"/>
      <c r="F498" s="19"/>
    </row>
    <row r="499" spans="5:6" x14ac:dyDescent="0.25">
      <c r="E499" s="19"/>
      <c r="F499" s="19"/>
    </row>
    <row r="500" spans="5:6" x14ac:dyDescent="0.25">
      <c r="E500" s="19"/>
      <c r="F500" s="19"/>
    </row>
    <row r="501" spans="5:6" x14ac:dyDescent="0.25">
      <c r="E501" s="19"/>
      <c r="F501" s="19"/>
    </row>
    <row r="502" spans="5:6" x14ac:dyDescent="0.25">
      <c r="E502" s="19"/>
      <c r="F502" s="19"/>
    </row>
    <row r="503" spans="5:6" x14ac:dyDescent="0.25">
      <c r="E503" s="19"/>
      <c r="F503" s="19"/>
    </row>
    <row r="504" spans="5:6" x14ac:dyDescent="0.25">
      <c r="E504" s="19"/>
      <c r="F504" s="19"/>
    </row>
    <row r="505" spans="5:6" x14ac:dyDescent="0.25">
      <c r="E505" s="19"/>
      <c r="F505" s="19"/>
    </row>
    <row r="506" spans="5:6" x14ac:dyDescent="0.25">
      <c r="E506" s="19"/>
      <c r="F506" s="19"/>
    </row>
    <row r="507" spans="5:6" x14ac:dyDescent="0.25">
      <c r="E507" s="19"/>
      <c r="F507" s="19"/>
    </row>
    <row r="508" spans="5:6" x14ac:dyDescent="0.25">
      <c r="E508" s="19"/>
      <c r="F508" s="19"/>
    </row>
    <row r="509" spans="5:6" x14ac:dyDescent="0.25">
      <c r="E509" s="19"/>
      <c r="F509" s="19"/>
    </row>
    <row r="510" spans="5:6" x14ac:dyDescent="0.25">
      <c r="E510" s="19"/>
      <c r="F510" s="19"/>
    </row>
    <row r="511" spans="5:6" x14ac:dyDescent="0.25">
      <c r="E511" s="19"/>
      <c r="F511" s="19"/>
    </row>
    <row r="512" spans="5:6" x14ac:dyDescent="0.25">
      <c r="E512" s="19"/>
      <c r="F512" s="19"/>
    </row>
    <row r="513" spans="5:6" x14ac:dyDescent="0.25">
      <c r="E513" s="19"/>
      <c r="F513" s="19"/>
    </row>
    <row r="514" spans="5:6" x14ac:dyDescent="0.25">
      <c r="E514" s="19"/>
      <c r="F514" s="19"/>
    </row>
    <row r="515" spans="5:6" x14ac:dyDescent="0.25">
      <c r="E515" s="19"/>
      <c r="F515" s="19"/>
    </row>
    <row r="516" spans="5:6" x14ac:dyDescent="0.25">
      <c r="E516" s="19"/>
      <c r="F516" s="19"/>
    </row>
    <row r="517" spans="5:6" x14ac:dyDescent="0.25">
      <c r="E517" s="19"/>
      <c r="F517" s="19"/>
    </row>
    <row r="518" spans="5:6" x14ac:dyDescent="0.25">
      <c r="E518" s="19"/>
      <c r="F518" s="19"/>
    </row>
    <row r="519" spans="5:6" x14ac:dyDescent="0.25">
      <c r="E519" s="19"/>
      <c r="F519" s="19"/>
    </row>
    <row r="520" spans="5:6" x14ac:dyDescent="0.25">
      <c r="E520" s="19"/>
      <c r="F520" s="19"/>
    </row>
    <row r="521" spans="5:6" x14ac:dyDescent="0.25">
      <c r="E521" s="19"/>
      <c r="F521" s="19"/>
    </row>
    <row r="522" spans="5:6" x14ac:dyDescent="0.25">
      <c r="E522" s="19"/>
      <c r="F522" s="19"/>
    </row>
    <row r="523" spans="5:6" x14ac:dyDescent="0.25">
      <c r="E523" s="19"/>
      <c r="F523" s="19"/>
    </row>
    <row r="524" spans="5:6" x14ac:dyDescent="0.25">
      <c r="E524" s="19"/>
      <c r="F524" s="19"/>
    </row>
    <row r="525" spans="5:6" x14ac:dyDescent="0.25">
      <c r="E525" s="19"/>
      <c r="F525" s="19"/>
    </row>
    <row r="526" spans="5:6" x14ac:dyDescent="0.25">
      <c r="E526" s="19"/>
      <c r="F526" s="19"/>
    </row>
    <row r="527" spans="5:6" x14ac:dyDescent="0.25">
      <c r="E527" s="19"/>
      <c r="F527" s="19"/>
    </row>
    <row r="528" spans="5:6" x14ac:dyDescent="0.25">
      <c r="E528" s="19"/>
      <c r="F528" s="19"/>
    </row>
    <row r="529" spans="5:6" x14ac:dyDescent="0.25">
      <c r="E529" s="19"/>
      <c r="F529" s="19"/>
    </row>
    <row r="530" spans="5:6" x14ac:dyDescent="0.25">
      <c r="E530" s="19"/>
      <c r="F530" s="19"/>
    </row>
    <row r="531" spans="5:6" x14ac:dyDescent="0.25">
      <c r="E531" s="19"/>
      <c r="F531" s="19"/>
    </row>
    <row r="532" spans="5:6" x14ac:dyDescent="0.25">
      <c r="E532" s="19"/>
      <c r="F532" s="19"/>
    </row>
    <row r="533" spans="5:6" x14ac:dyDescent="0.25">
      <c r="E533" s="19"/>
      <c r="F533" s="19"/>
    </row>
    <row r="534" spans="5:6" x14ac:dyDescent="0.25">
      <c r="E534" s="19"/>
      <c r="F534" s="19"/>
    </row>
    <row r="535" spans="5:6" x14ac:dyDescent="0.25">
      <c r="E535" s="19"/>
      <c r="F535" s="19"/>
    </row>
    <row r="536" spans="5:6" x14ac:dyDescent="0.25">
      <c r="E536" s="19"/>
      <c r="F536" s="19"/>
    </row>
    <row r="537" spans="5:6" x14ac:dyDescent="0.25">
      <c r="E537" s="19"/>
      <c r="F537" s="19"/>
    </row>
    <row r="538" spans="5:6" x14ac:dyDescent="0.25">
      <c r="E538" s="19"/>
      <c r="F538" s="19"/>
    </row>
    <row r="539" spans="5:6" x14ac:dyDescent="0.25">
      <c r="E539" s="19"/>
      <c r="F539" s="19"/>
    </row>
    <row r="540" spans="5:6" x14ac:dyDescent="0.25">
      <c r="E540" s="19"/>
      <c r="F540" s="19"/>
    </row>
    <row r="541" spans="5:6" x14ac:dyDescent="0.25">
      <c r="E541" s="19"/>
      <c r="F541" s="19"/>
    </row>
    <row r="542" spans="5:6" x14ac:dyDescent="0.25">
      <c r="E542" s="19"/>
      <c r="F542" s="19"/>
    </row>
    <row r="543" spans="5:6" x14ac:dyDescent="0.25">
      <c r="E543" s="19"/>
      <c r="F543" s="19"/>
    </row>
    <row r="544" spans="5:6" x14ac:dyDescent="0.25">
      <c r="E544" s="19"/>
      <c r="F544" s="19"/>
    </row>
    <row r="545" spans="5:6" x14ac:dyDescent="0.25">
      <c r="E545" s="19"/>
      <c r="F545" s="19"/>
    </row>
    <row r="546" spans="5:6" x14ac:dyDescent="0.25">
      <c r="E546" s="19"/>
      <c r="F546" s="19"/>
    </row>
    <row r="547" spans="5:6" x14ac:dyDescent="0.25">
      <c r="E547" s="19"/>
      <c r="F547" s="19"/>
    </row>
    <row r="548" spans="5:6" x14ac:dyDescent="0.25">
      <c r="E548" s="19"/>
      <c r="F548" s="19"/>
    </row>
    <row r="549" spans="5:6" x14ac:dyDescent="0.25">
      <c r="E549" s="19"/>
      <c r="F549" s="19"/>
    </row>
    <row r="550" spans="5:6" x14ac:dyDescent="0.25">
      <c r="E550" s="19"/>
      <c r="F550" s="19"/>
    </row>
    <row r="551" spans="5:6" x14ac:dyDescent="0.25">
      <c r="E551" s="19"/>
      <c r="F551" s="19"/>
    </row>
    <row r="552" spans="5:6" x14ac:dyDescent="0.25">
      <c r="E552" s="19"/>
      <c r="F552" s="19"/>
    </row>
    <row r="553" spans="5:6" x14ac:dyDescent="0.25">
      <c r="E553" s="19"/>
      <c r="F553" s="19"/>
    </row>
    <row r="554" spans="5:6" x14ac:dyDescent="0.25">
      <c r="E554" s="19"/>
      <c r="F554" s="19"/>
    </row>
    <row r="555" spans="5:6" x14ac:dyDescent="0.25">
      <c r="E555" s="19"/>
      <c r="F555" s="19"/>
    </row>
    <row r="556" spans="5:6" x14ac:dyDescent="0.25">
      <c r="E556" s="19"/>
      <c r="F556" s="19"/>
    </row>
    <row r="557" spans="5:6" x14ac:dyDescent="0.25">
      <c r="E557" s="19"/>
      <c r="F557" s="19"/>
    </row>
    <row r="558" spans="5:6" x14ac:dyDescent="0.25">
      <c r="E558" s="19"/>
      <c r="F558" s="19"/>
    </row>
    <row r="559" spans="5:6" x14ac:dyDescent="0.25">
      <c r="E559" s="19"/>
      <c r="F559" s="19"/>
    </row>
    <row r="560" spans="5:6" x14ac:dyDescent="0.25">
      <c r="E560" s="19"/>
      <c r="F560" s="19"/>
    </row>
    <row r="561" spans="5:6" x14ac:dyDescent="0.25">
      <c r="E561" s="19"/>
      <c r="F561" s="19"/>
    </row>
    <row r="562" spans="5:6" x14ac:dyDescent="0.25">
      <c r="E562" s="19"/>
      <c r="F562" s="19"/>
    </row>
    <row r="563" spans="5:6" x14ac:dyDescent="0.25">
      <c r="E563" s="19"/>
      <c r="F563" s="19"/>
    </row>
    <row r="564" spans="5:6" x14ac:dyDescent="0.25">
      <c r="E564" s="19"/>
      <c r="F564" s="19"/>
    </row>
    <row r="565" spans="5:6" x14ac:dyDescent="0.25">
      <c r="E565" s="19"/>
      <c r="F565" s="19"/>
    </row>
    <row r="566" spans="5:6" x14ac:dyDescent="0.25">
      <c r="E566" s="19"/>
      <c r="F566" s="19"/>
    </row>
    <row r="567" spans="5:6" x14ac:dyDescent="0.25">
      <c r="E567" s="19"/>
      <c r="F567" s="19"/>
    </row>
    <row r="568" spans="5:6" x14ac:dyDescent="0.25">
      <c r="E568" s="19"/>
      <c r="F568" s="19"/>
    </row>
    <row r="569" spans="5:6" x14ac:dyDescent="0.25">
      <c r="E569" s="19"/>
      <c r="F569" s="19"/>
    </row>
    <row r="570" spans="5:6" x14ac:dyDescent="0.25">
      <c r="E570" s="19"/>
      <c r="F570" s="19"/>
    </row>
    <row r="571" spans="5:6" x14ac:dyDescent="0.25">
      <c r="E571" s="19"/>
      <c r="F571" s="19"/>
    </row>
    <row r="572" spans="5:6" x14ac:dyDescent="0.25">
      <c r="E572" s="19"/>
      <c r="F572" s="19"/>
    </row>
    <row r="573" spans="5:6" x14ac:dyDescent="0.25">
      <c r="E573" s="19"/>
      <c r="F573" s="19"/>
    </row>
    <row r="574" spans="5:6" x14ac:dyDescent="0.25">
      <c r="E574" s="19"/>
      <c r="F574" s="19"/>
    </row>
    <row r="575" spans="5:6" x14ac:dyDescent="0.25">
      <c r="E575" s="19"/>
      <c r="F575" s="19"/>
    </row>
    <row r="576" spans="5:6" x14ac:dyDescent="0.25">
      <c r="E576" s="19"/>
      <c r="F576" s="19"/>
    </row>
    <row r="577" spans="5:6" x14ac:dyDescent="0.25">
      <c r="E577" s="19"/>
      <c r="F577" s="19"/>
    </row>
    <row r="578" spans="5:6" x14ac:dyDescent="0.25">
      <c r="E578" s="19"/>
      <c r="F578" s="19"/>
    </row>
    <row r="579" spans="5:6" x14ac:dyDescent="0.25">
      <c r="E579" s="19"/>
      <c r="F579" s="19"/>
    </row>
    <row r="580" spans="5:6" x14ac:dyDescent="0.25">
      <c r="E580" s="19"/>
      <c r="F580" s="19"/>
    </row>
    <row r="581" spans="5:6" x14ac:dyDescent="0.25">
      <c r="E581" s="19"/>
      <c r="F581" s="19"/>
    </row>
    <row r="582" spans="5:6" x14ac:dyDescent="0.25">
      <c r="E582" s="19"/>
      <c r="F582" s="19"/>
    </row>
    <row r="583" spans="5:6" x14ac:dyDescent="0.25">
      <c r="E583" s="19"/>
      <c r="F583" s="19"/>
    </row>
    <row r="584" spans="5:6" x14ac:dyDescent="0.25">
      <c r="E584" s="19"/>
      <c r="F584" s="19"/>
    </row>
    <row r="585" spans="5:6" x14ac:dyDescent="0.25">
      <c r="E585" s="19"/>
      <c r="F585" s="19"/>
    </row>
    <row r="586" spans="5:6" x14ac:dyDescent="0.25">
      <c r="E586" s="19"/>
      <c r="F586" s="19"/>
    </row>
    <row r="587" spans="5:6" x14ac:dyDescent="0.25">
      <c r="E587" s="19"/>
      <c r="F587" s="19"/>
    </row>
    <row r="588" spans="5:6" x14ac:dyDescent="0.25">
      <c r="E588" s="19"/>
      <c r="F588" s="19"/>
    </row>
    <row r="589" spans="5:6" x14ac:dyDescent="0.25">
      <c r="E589" s="19"/>
      <c r="F589" s="19"/>
    </row>
    <row r="590" spans="5:6" x14ac:dyDescent="0.25">
      <c r="E590" s="19"/>
      <c r="F590" s="19"/>
    </row>
    <row r="591" spans="5:6" x14ac:dyDescent="0.25">
      <c r="E591" s="19"/>
      <c r="F591" s="19"/>
    </row>
    <row r="592" spans="5:6" x14ac:dyDescent="0.25">
      <c r="E592" s="19"/>
      <c r="F592" s="19"/>
    </row>
    <row r="593" spans="5:6" x14ac:dyDescent="0.25">
      <c r="E593" s="19"/>
      <c r="F593" s="19"/>
    </row>
    <row r="594" spans="5:6" x14ac:dyDescent="0.25">
      <c r="E594" s="19"/>
      <c r="F594" s="19"/>
    </row>
    <row r="595" spans="5:6" x14ac:dyDescent="0.25">
      <c r="E595" s="19"/>
      <c r="F595" s="19"/>
    </row>
    <row r="596" spans="5:6" x14ac:dyDescent="0.25">
      <c r="E596" s="19"/>
      <c r="F596" s="19"/>
    </row>
    <row r="597" spans="5:6" x14ac:dyDescent="0.25">
      <c r="E597" s="19"/>
      <c r="F597" s="19"/>
    </row>
    <row r="598" spans="5:6" x14ac:dyDescent="0.25">
      <c r="E598" s="19"/>
      <c r="F598" s="19"/>
    </row>
    <row r="599" spans="5:6" x14ac:dyDescent="0.25">
      <c r="E599" s="19"/>
      <c r="F599" s="19"/>
    </row>
    <row r="600" spans="5:6" x14ac:dyDescent="0.25">
      <c r="E600" s="19"/>
      <c r="F600" s="19"/>
    </row>
    <row r="601" spans="5:6" x14ac:dyDescent="0.25">
      <c r="E601" s="19"/>
      <c r="F601" s="19"/>
    </row>
    <row r="602" spans="5:6" x14ac:dyDescent="0.25">
      <c r="E602" s="19"/>
      <c r="F602" s="19"/>
    </row>
    <row r="603" spans="5:6" x14ac:dyDescent="0.25">
      <c r="E603" s="19"/>
      <c r="F603" s="19"/>
    </row>
    <row r="604" spans="5:6" x14ac:dyDescent="0.25">
      <c r="E604" s="19"/>
      <c r="F604" s="19"/>
    </row>
    <row r="605" spans="5:6" x14ac:dyDescent="0.25">
      <c r="E605" s="19"/>
      <c r="F605" s="19"/>
    </row>
    <row r="606" spans="5:6" x14ac:dyDescent="0.25">
      <c r="E606" s="19"/>
      <c r="F606" s="19"/>
    </row>
    <row r="607" spans="5:6" x14ac:dyDescent="0.25">
      <c r="E607" s="19"/>
      <c r="F607" s="19"/>
    </row>
    <row r="608" spans="5:6" x14ac:dyDescent="0.25">
      <c r="E608" s="19"/>
      <c r="F608" s="19"/>
    </row>
    <row r="609" spans="5:6" x14ac:dyDescent="0.25">
      <c r="E609" s="19"/>
      <c r="F609" s="19"/>
    </row>
    <row r="610" spans="5:6" x14ac:dyDescent="0.25">
      <c r="E610" s="19"/>
      <c r="F610" s="19"/>
    </row>
    <row r="611" spans="5:6" x14ac:dyDescent="0.25">
      <c r="E611" s="19"/>
      <c r="F611" s="19"/>
    </row>
    <row r="612" spans="5:6" x14ac:dyDescent="0.25">
      <c r="E612" s="19"/>
      <c r="F612" s="19"/>
    </row>
    <row r="613" spans="5:6" x14ac:dyDescent="0.25">
      <c r="E613" s="19"/>
      <c r="F613" s="19"/>
    </row>
    <row r="614" spans="5:6" x14ac:dyDescent="0.25">
      <c r="E614" s="19"/>
      <c r="F614" s="19"/>
    </row>
    <row r="615" spans="5:6" x14ac:dyDescent="0.25">
      <c r="E615" s="19"/>
      <c r="F615" s="19"/>
    </row>
    <row r="616" spans="5:6" x14ac:dyDescent="0.25">
      <c r="E616" s="19"/>
      <c r="F616" s="19"/>
    </row>
    <row r="617" spans="5:6" x14ac:dyDescent="0.25">
      <c r="E617" s="19"/>
      <c r="F617" s="19"/>
    </row>
    <row r="618" spans="5:6" x14ac:dyDescent="0.25">
      <c r="E618" s="19"/>
      <c r="F618" s="19"/>
    </row>
    <row r="619" spans="5:6" x14ac:dyDescent="0.25">
      <c r="E619" s="19"/>
      <c r="F619" s="19"/>
    </row>
    <row r="620" spans="5:6" x14ac:dyDescent="0.25">
      <c r="E620" s="19"/>
      <c r="F620" s="19"/>
    </row>
    <row r="621" spans="5:6" x14ac:dyDescent="0.25">
      <c r="E621" s="19"/>
      <c r="F621" s="19"/>
    </row>
    <row r="622" spans="5:6" x14ac:dyDescent="0.25">
      <c r="E622" s="19"/>
      <c r="F622" s="19"/>
    </row>
    <row r="623" spans="5:6" x14ac:dyDescent="0.25">
      <c r="E623" s="19"/>
      <c r="F623" s="19"/>
    </row>
    <row r="624" spans="5:6" x14ac:dyDescent="0.25">
      <c r="E624" s="19"/>
      <c r="F624" s="19"/>
    </row>
    <row r="625" spans="5:6" x14ac:dyDescent="0.25">
      <c r="E625" s="19"/>
      <c r="F625" s="19"/>
    </row>
    <row r="626" spans="5:6" x14ac:dyDescent="0.25">
      <c r="E626" s="19"/>
      <c r="F626" s="19"/>
    </row>
    <row r="627" spans="5:6" x14ac:dyDescent="0.25">
      <c r="E627" s="19"/>
      <c r="F627" s="19"/>
    </row>
    <row r="628" spans="5:6" x14ac:dyDescent="0.25">
      <c r="E628" s="19"/>
      <c r="F628" s="19"/>
    </row>
    <row r="629" spans="5:6" x14ac:dyDescent="0.25">
      <c r="E629" s="19"/>
      <c r="F629" s="19"/>
    </row>
    <row r="630" spans="5:6" x14ac:dyDescent="0.25">
      <c r="E630" s="19"/>
      <c r="F630" s="19"/>
    </row>
    <row r="631" spans="5:6" x14ac:dyDescent="0.25">
      <c r="E631" s="19"/>
      <c r="F631" s="19"/>
    </row>
    <row r="632" spans="5:6" x14ac:dyDescent="0.25">
      <c r="E632" s="19"/>
      <c r="F632" s="19"/>
    </row>
    <row r="633" spans="5:6" x14ac:dyDescent="0.25">
      <c r="E633" s="19"/>
      <c r="F633" s="19"/>
    </row>
    <row r="634" spans="5:6" x14ac:dyDescent="0.25">
      <c r="E634" s="19"/>
      <c r="F634" s="19"/>
    </row>
    <row r="635" spans="5:6" x14ac:dyDescent="0.25">
      <c r="E635" s="19"/>
      <c r="F635" s="19"/>
    </row>
    <row r="636" spans="5:6" x14ac:dyDescent="0.25">
      <c r="E636" s="19"/>
      <c r="F636" s="19"/>
    </row>
    <row r="637" spans="5:6" x14ac:dyDescent="0.25">
      <c r="E637" s="19"/>
      <c r="F637" s="19"/>
    </row>
    <row r="638" spans="5:6" x14ac:dyDescent="0.25">
      <c r="E638" s="19"/>
      <c r="F638" s="19"/>
    </row>
    <row r="639" spans="5:6" x14ac:dyDescent="0.25">
      <c r="E639" s="19"/>
      <c r="F639" s="19"/>
    </row>
    <row r="640" spans="5:6" x14ac:dyDescent="0.25">
      <c r="E640" s="19"/>
      <c r="F640" s="19"/>
    </row>
    <row r="641" spans="5:6" x14ac:dyDescent="0.25">
      <c r="E641" s="19"/>
      <c r="F641" s="19"/>
    </row>
    <row r="642" spans="5:6" x14ac:dyDescent="0.25">
      <c r="E642" s="19"/>
      <c r="F642" s="19"/>
    </row>
    <row r="643" spans="5:6" x14ac:dyDescent="0.25">
      <c r="E643" s="19"/>
      <c r="F643" s="19"/>
    </row>
    <row r="644" spans="5:6" x14ac:dyDescent="0.25">
      <c r="E644" s="19"/>
      <c r="F644" s="19"/>
    </row>
    <row r="645" spans="5:6" x14ac:dyDescent="0.25">
      <c r="E645" s="19"/>
      <c r="F645" s="19"/>
    </row>
    <row r="646" spans="5:6" x14ac:dyDescent="0.25">
      <c r="E646" s="19"/>
      <c r="F646" s="19"/>
    </row>
    <row r="647" spans="5:6" x14ac:dyDescent="0.25">
      <c r="E647" s="19"/>
      <c r="F647" s="19"/>
    </row>
    <row r="648" spans="5:6" x14ac:dyDescent="0.25">
      <c r="E648" s="19"/>
      <c r="F648" s="19"/>
    </row>
    <row r="649" spans="5:6" x14ac:dyDescent="0.25">
      <c r="E649" s="19"/>
      <c r="F649" s="19"/>
    </row>
    <row r="650" spans="5:6" x14ac:dyDescent="0.25">
      <c r="E650" s="19"/>
      <c r="F650" s="19"/>
    </row>
    <row r="651" spans="5:6" x14ac:dyDescent="0.25">
      <c r="E651" s="19"/>
      <c r="F651" s="19"/>
    </row>
    <row r="652" spans="5:6" x14ac:dyDescent="0.25">
      <c r="E652" s="19"/>
      <c r="F652" s="19"/>
    </row>
    <row r="653" spans="5:6" x14ac:dyDescent="0.25">
      <c r="E653" s="19"/>
      <c r="F653" s="19"/>
    </row>
    <row r="654" spans="5:6" x14ac:dyDescent="0.25">
      <c r="E654" s="19"/>
      <c r="F654" s="19"/>
    </row>
    <row r="655" spans="5:6" x14ac:dyDescent="0.25">
      <c r="E655" s="19"/>
      <c r="F655" s="19"/>
    </row>
    <row r="656" spans="5:6" x14ac:dyDescent="0.25">
      <c r="E656" s="19"/>
      <c r="F656" s="19"/>
    </row>
    <row r="657" spans="5:6" x14ac:dyDescent="0.25">
      <c r="E657" s="19"/>
      <c r="F657" s="19"/>
    </row>
    <row r="658" spans="5:6" x14ac:dyDescent="0.25">
      <c r="E658" s="19"/>
      <c r="F658" s="19"/>
    </row>
    <row r="659" spans="5:6" x14ac:dyDescent="0.25">
      <c r="E659" s="19"/>
      <c r="F659" s="19"/>
    </row>
    <row r="660" spans="5:6" x14ac:dyDescent="0.25">
      <c r="E660" s="19"/>
      <c r="F660" s="19"/>
    </row>
    <row r="661" spans="5:6" x14ac:dyDescent="0.25">
      <c r="E661" s="19"/>
      <c r="F661" s="19"/>
    </row>
    <row r="662" spans="5:6" x14ac:dyDescent="0.25">
      <c r="E662" s="19"/>
      <c r="F662" s="19"/>
    </row>
    <row r="663" spans="5:6" x14ac:dyDescent="0.25">
      <c r="E663" s="19"/>
      <c r="F663" s="19"/>
    </row>
    <row r="664" spans="5:6" x14ac:dyDescent="0.25">
      <c r="E664" s="19"/>
      <c r="F664" s="19"/>
    </row>
    <row r="665" spans="5:6" x14ac:dyDescent="0.25">
      <c r="E665" s="19"/>
      <c r="F665" s="19"/>
    </row>
    <row r="666" spans="5:6" x14ac:dyDescent="0.25">
      <c r="E666" s="19"/>
      <c r="F666" s="19"/>
    </row>
    <row r="667" spans="5:6" x14ac:dyDescent="0.25">
      <c r="E667" s="19"/>
      <c r="F667" s="19"/>
    </row>
    <row r="668" spans="5:6" x14ac:dyDescent="0.25">
      <c r="E668" s="19"/>
      <c r="F668" s="19"/>
    </row>
    <row r="669" spans="5:6" x14ac:dyDescent="0.25">
      <c r="E669" s="19"/>
      <c r="F669" s="19"/>
    </row>
    <row r="670" spans="5:6" x14ac:dyDescent="0.25">
      <c r="E670" s="19"/>
      <c r="F670" s="19"/>
    </row>
    <row r="671" spans="5:6" x14ac:dyDescent="0.25">
      <c r="E671" s="19"/>
      <c r="F671" s="19"/>
    </row>
    <row r="672" spans="5:6" x14ac:dyDescent="0.25">
      <c r="E672" s="19"/>
      <c r="F672" s="19"/>
    </row>
    <row r="673" spans="5:6" x14ac:dyDescent="0.25">
      <c r="E673" s="19"/>
      <c r="F673" s="19"/>
    </row>
    <row r="674" spans="5:6" x14ac:dyDescent="0.25">
      <c r="E674" s="19"/>
      <c r="F674" s="19"/>
    </row>
    <row r="675" spans="5:6" x14ac:dyDescent="0.25">
      <c r="E675" s="19"/>
      <c r="F675" s="19"/>
    </row>
    <row r="676" spans="5:6" x14ac:dyDescent="0.25">
      <c r="E676" s="19"/>
      <c r="F676" s="19"/>
    </row>
    <row r="677" spans="5:6" x14ac:dyDescent="0.25">
      <c r="E677" s="19"/>
      <c r="F677" s="19"/>
    </row>
    <row r="678" spans="5:6" x14ac:dyDescent="0.25">
      <c r="E678" s="19"/>
      <c r="F678" s="19"/>
    </row>
    <row r="679" spans="5:6" x14ac:dyDescent="0.25">
      <c r="E679" s="19"/>
      <c r="F679" s="19"/>
    </row>
    <row r="680" spans="5:6" x14ac:dyDescent="0.25">
      <c r="E680" s="19"/>
      <c r="F680" s="19"/>
    </row>
    <row r="681" spans="5:6" x14ac:dyDescent="0.25">
      <c r="E681" s="19"/>
      <c r="F681" s="19"/>
    </row>
    <row r="682" spans="5:6" x14ac:dyDescent="0.25">
      <c r="E682" s="19"/>
      <c r="F682" s="19"/>
    </row>
    <row r="683" spans="5:6" x14ac:dyDescent="0.25">
      <c r="E683" s="19"/>
      <c r="F683" s="19"/>
    </row>
    <row r="684" spans="5:6" x14ac:dyDescent="0.25">
      <c r="E684" s="19"/>
      <c r="F684" s="19"/>
    </row>
    <row r="685" spans="5:6" x14ac:dyDescent="0.25">
      <c r="E685" s="19"/>
      <c r="F685" s="19"/>
    </row>
    <row r="686" spans="5:6" x14ac:dyDescent="0.25">
      <c r="E686" s="19"/>
      <c r="F686" s="19"/>
    </row>
    <row r="687" spans="5:6" x14ac:dyDescent="0.25">
      <c r="E687" s="19"/>
      <c r="F687" s="19"/>
    </row>
    <row r="688" spans="5:6" x14ac:dyDescent="0.25">
      <c r="E688" s="19"/>
      <c r="F688" s="19"/>
    </row>
    <row r="689" spans="5:6" x14ac:dyDescent="0.25">
      <c r="E689" s="19"/>
      <c r="F689" s="19"/>
    </row>
    <row r="690" spans="5:6" x14ac:dyDescent="0.25">
      <c r="E690" s="19"/>
      <c r="F690" s="19"/>
    </row>
    <row r="691" spans="5:6" x14ac:dyDescent="0.25">
      <c r="E691" s="19"/>
      <c r="F691" s="19"/>
    </row>
    <row r="692" spans="5:6" x14ac:dyDescent="0.25">
      <c r="E692" s="19"/>
      <c r="F692" s="19"/>
    </row>
    <row r="693" spans="5:6" x14ac:dyDescent="0.25">
      <c r="E693" s="19"/>
      <c r="F693" s="19"/>
    </row>
    <row r="694" spans="5:6" x14ac:dyDescent="0.25">
      <c r="E694" s="19"/>
      <c r="F694" s="19"/>
    </row>
    <row r="695" spans="5:6" x14ac:dyDescent="0.25">
      <c r="E695" s="19"/>
      <c r="F695" s="19"/>
    </row>
    <row r="696" spans="5:6" x14ac:dyDescent="0.25">
      <c r="E696" s="19"/>
      <c r="F696" s="19"/>
    </row>
    <row r="697" spans="5:6" x14ac:dyDescent="0.25">
      <c r="E697" s="19"/>
      <c r="F697" s="19"/>
    </row>
    <row r="698" spans="5:6" x14ac:dyDescent="0.25">
      <c r="E698" s="19"/>
      <c r="F698" s="19"/>
    </row>
    <row r="699" spans="5:6" x14ac:dyDescent="0.25">
      <c r="E699" s="19"/>
      <c r="F699" s="19"/>
    </row>
    <row r="700" spans="5:6" x14ac:dyDescent="0.25">
      <c r="E700" s="19"/>
      <c r="F700" s="19"/>
    </row>
    <row r="701" spans="5:6" x14ac:dyDescent="0.25">
      <c r="E701" s="19"/>
      <c r="F701" s="19"/>
    </row>
    <row r="702" spans="5:6" x14ac:dyDescent="0.25">
      <c r="E702" s="19"/>
      <c r="F702" s="19"/>
    </row>
    <row r="703" spans="5:6" x14ac:dyDescent="0.25">
      <c r="E703" s="19"/>
      <c r="F703" s="19"/>
    </row>
    <row r="704" spans="5:6" x14ac:dyDescent="0.25">
      <c r="E704" s="19"/>
      <c r="F704" s="19"/>
    </row>
    <row r="705" spans="5:6" x14ac:dyDescent="0.25">
      <c r="E705" s="19"/>
      <c r="F705" s="19"/>
    </row>
    <row r="706" spans="5:6" x14ac:dyDescent="0.25">
      <c r="E706" s="19"/>
      <c r="F706" s="19"/>
    </row>
    <row r="707" spans="5:6" x14ac:dyDescent="0.25">
      <c r="E707" s="19"/>
      <c r="F707" s="19"/>
    </row>
    <row r="708" spans="5:6" x14ac:dyDescent="0.25">
      <c r="E708" s="19"/>
      <c r="F708" s="19"/>
    </row>
    <row r="709" spans="5:6" x14ac:dyDescent="0.25">
      <c r="E709" s="19"/>
      <c r="F709" s="19"/>
    </row>
    <row r="710" spans="5:6" x14ac:dyDescent="0.25">
      <c r="E710" s="19"/>
      <c r="F710" s="19"/>
    </row>
    <row r="711" spans="5:6" x14ac:dyDescent="0.25">
      <c r="E711" s="19"/>
      <c r="F711" s="19"/>
    </row>
    <row r="712" spans="5:6" x14ac:dyDescent="0.25">
      <c r="E712" s="19"/>
      <c r="F712" s="19"/>
    </row>
    <row r="713" spans="5:6" x14ac:dyDescent="0.25">
      <c r="E713" s="19"/>
      <c r="F713" s="19"/>
    </row>
    <row r="714" spans="5:6" x14ac:dyDescent="0.25">
      <c r="E714" s="19"/>
      <c r="F714" s="19"/>
    </row>
    <row r="715" spans="5:6" x14ac:dyDescent="0.25">
      <c r="E715" s="19"/>
      <c r="F715" s="19"/>
    </row>
    <row r="716" spans="5:6" x14ac:dyDescent="0.25">
      <c r="E716" s="19"/>
      <c r="F716" s="19"/>
    </row>
    <row r="717" spans="5:6" x14ac:dyDescent="0.25">
      <c r="E717" s="19"/>
      <c r="F717" s="19"/>
    </row>
    <row r="718" spans="5:6" x14ac:dyDescent="0.25">
      <c r="E718" s="19"/>
      <c r="F718" s="19"/>
    </row>
    <row r="719" spans="5:6" x14ac:dyDescent="0.25">
      <c r="E719" s="19"/>
      <c r="F719" s="19"/>
    </row>
    <row r="720" spans="5:6" x14ac:dyDescent="0.25">
      <c r="E720" s="19"/>
      <c r="F720" s="19"/>
    </row>
    <row r="721" spans="5:6" x14ac:dyDescent="0.25">
      <c r="E721" s="19"/>
      <c r="F721" s="19"/>
    </row>
    <row r="722" spans="5:6" x14ac:dyDescent="0.25">
      <c r="E722" s="19"/>
      <c r="F722" s="19"/>
    </row>
    <row r="723" spans="5:6" x14ac:dyDescent="0.25">
      <c r="E723" s="19"/>
      <c r="F723" s="19"/>
    </row>
    <row r="724" spans="5:6" x14ac:dyDescent="0.25">
      <c r="E724" s="19"/>
      <c r="F724" s="19"/>
    </row>
    <row r="725" spans="5:6" x14ac:dyDescent="0.25">
      <c r="E725" s="19"/>
      <c r="F725" s="19"/>
    </row>
    <row r="726" spans="5:6" x14ac:dyDescent="0.25">
      <c r="E726" s="19"/>
      <c r="F726" s="19"/>
    </row>
    <row r="727" spans="5:6" x14ac:dyDescent="0.25">
      <c r="E727" s="19"/>
      <c r="F727" s="19"/>
    </row>
    <row r="728" spans="5:6" x14ac:dyDescent="0.25">
      <c r="E728" s="19"/>
      <c r="F728" s="19"/>
    </row>
    <row r="729" spans="5:6" x14ac:dyDescent="0.25">
      <c r="E729" s="19"/>
      <c r="F729" s="19"/>
    </row>
    <row r="730" spans="5:6" x14ac:dyDescent="0.25">
      <c r="E730" s="19"/>
      <c r="F730" s="19"/>
    </row>
    <row r="731" spans="5:6" x14ac:dyDescent="0.25">
      <c r="E731" s="19"/>
      <c r="F731" s="19"/>
    </row>
    <row r="732" spans="5:6" x14ac:dyDescent="0.25">
      <c r="E732" s="19"/>
      <c r="F732" s="19"/>
    </row>
    <row r="733" spans="5:6" x14ac:dyDescent="0.25">
      <c r="E733" s="19"/>
      <c r="F733" s="19"/>
    </row>
    <row r="734" spans="5:6" x14ac:dyDescent="0.25">
      <c r="E734" s="19"/>
      <c r="F734" s="19"/>
    </row>
    <row r="735" spans="5:6" x14ac:dyDescent="0.25">
      <c r="E735" s="19"/>
      <c r="F735" s="19"/>
    </row>
    <row r="736" spans="5:6" x14ac:dyDescent="0.25">
      <c r="E736" s="19"/>
      <c r="F736" s="19"/>
    </row>
    <row r="737" spans="5:6" x14ac:dyDescent="0.25">
      <c r="E737" s="19"/>
      <c r="F737" s="19"/>
    </row>
    <row r="738" spans="5:6" x14ac:dyDescent="0.25">
      <c r="E738" s="19"/>
      <c r="F738" s="19"/>
    </row>
    <row r="739" spans="5:6" x14ac:dyDescent="0.25">
      <c r="E739" s="19"/>
      <c r="F739" s="19"/>
    </row>
    <row r="740" spans="5:6" x14ac:dyDescent="0.25">
      <c r="E740" s="19"/>
      <c r="F740" s="19"/>
    </row>
    <row r="741" spans="5:6" x14ac:dyDescent="0.25">
      <c r="E741" s="19"/>
      <c r="F741" s="19"/>
    </row>
    <row r="742" spans="5:6" x14ac:dyDescent="0.25">
      <c r="E742" s="19"/>
      <c r="F742" s="19"/>
    </row>
    <row r="743" spans="5:6" x14ac:dyDescent="0.25">
      <c r="E743" s="19"/>
      <c r="F743" s="19"/>
    </row>
    <row r="744" spans="5:6" x14ac:dyDescent="0.25">
      <c r="E744" s="19"/>
      <c r="F744" s="19"/>
    </row>
    <row r="745" spans="5:6" x14ac:dyDescent="0.25">
      <c r="E745" s="19"/>
      <c r="F745" s="19"/>
    </row>
    <row r="746" spans="5:6" x14ac:dyDescent="0.25">
      <c r="E746" s="19"/>
      <c r="F746" s="19"/>
    </row>
    <row r="747" spans="5:6" x14ac:dyDescent="0.25">
      <c r="E747" s="19"/>
      <c r="F747" s="19"/>
    </row>
    <row r="748" spans="5:6" x14ac:dyDescent="0.25">
      <c r="E748" s="19"/>
      <c r="F748" s="19"/>
    </row>
    <row r="749" spans="5:6" x14ac:dyDescent="0.25">
      <c r="E749" s="19"/>
      <c r="F749" s="19"/>
    </row>
    <row r="750" spans="5:6" x14ac:dyDescent="0.25">
      <c r="E750" s="19"/>
      <c r="F750" s="19"/>
    </row>
    <row r="751" spans="5:6" x14ac:dyDescent="0.25">
      <c r="E751" s="19"/>
      <c r="F751" s="19"/>
    </row>
    <row r="752" spans="5:6" x14ac:dyDescent="0.25">
      <c r="E752" s="19"/>
      <c r="F752" s="19"/>
    </row>
    <row r="753" spans="5:6" x14ac:dyDescent="0.25">
      <c r="E753" s="19"/>
      <c r="F753" s="19"/>
    </row>
    <row r="754" spans="5:6" x14ac:dyDescent="0.25">
      <c r="E754" s="19"/>
      <c r="F754" s="19"/>
    </row>
    <row r="755" spans="5:6" x14ac:dyDescent="0.25">
      <c r="E755" s="19"/>
      <c r="F755" s="19"/>
    </row>
    <row r="756" spans="5:6" x14ac:dyDescent="0.25">
      <c r="E756" s="19"/>
      <c r="F756" s="19"/>
    </row>
    <row r="757" spans="5:6" x14ac:dyDescent="0.25">
      <c r="E757" s="19"/>
      <c r="F757" s="19"/>
    </row>
    <row r="758" spans="5:6" x14ac:dyDescent="0.25">
      <c r="E758" s="19"/>
      <c r="F758" s="19"/>
    </row>
    <row r="759" spans="5:6" x14ac:dyDescent="0.25">
      <c r="E759" s="19"/>
      <c r="F759" s="19"/>
    </row>
    <row r="760" spans="5:6" x14ac:dyDescent="0.25">
      <c r="E760" s="19"/>
      <c r="F760" s="19"/>
    </row>
    <row r="761" spans="5:6" x14ac:dyDescent="0.25">
      <c r="E761" s="19"/>
      <c r="F761" s="19"/>
    </row>
    <row r="762" spans="5:6" x14ac:dyDescent="0.25">
      <c r="E762" s="19"/>
      <c r="F762" s="19"/>
    </row>
    <row r="763" spans="5:6" x14ac:dyDescent="0.25">
      <c r="E763" s="19"/>
      <c r="F763" s="19"/>
    </row>
    <row r="764" spans="5:6" x14ac:dyDescent="0.25">
      <c r="E764" s="19"/>
      <c r="F764" s="19"/>
    </row>
    <row r="765" spans="5:6" x14ac:dyDescent="0.25">
      <c r="E765" s="19"/>
      <c r="F765" s="19"/>
    </row>
    <row r="766" spans="5:6" x14ac:dyDescent="0.25">
      <c r="E766" s="19"/>
      <c r="F766" s="19"/>
    </row>
    <row r="767" spans="5:6" x14ac:dyDescent="0.25">
      <c r="E767" s="19"/>
      <c r="F767" s="19"/>
    </row>
    <row r="768" spans="5:6" x14ac:dyDescent="0.25">
      <c r="E768" s="19"/>
      <c r="F768" s="19"/>
    </row>
    <row r="769" spans="5:6" x14ac:dyDescent="0.25">
      <c r="E769" s="19"/>
      <c r="F769" s="19"/>
    </row>
    <row r="770" spans="5:6" x14ac:dyDescent="0.25">
      <c r="E770" s="19"/>
      <c r="F770" s="19"/>
    </row>
    <row r="771" spans="5:6" x14ac:dyDescent="0.25">
      <c r="E771" s="19"/>
      <c r="F771" s="19"/>
    </row>
    <row r="772" spans="5:6" x14ac:dyDescent="0.25">
      <c r="E772" s="19"/>
      <c r="F772" s="19"/>
    </row>
    <row r="773" spans="5:6" x14ac:dyDescent="0.25">
      <c r="E773" s="19"/>
      <c r="F773" s="19"/>
    </row>
    <row r="774" spans="5:6" x14ac:dyDescent="0.25">
      <c r="E774" s="19"/>
      <c r="F774" s="19"/>
    </row>
    <row r="775" spans="5:6" x14ac:dyDescent="0.25">
      <c r="E775" s="19"/>
      <c r="F775" s="19"/>
    </row>
    <row r="776" spans="5:6" x14ac:dyDescent="0.25">
      <c r="E776" s="19"/>
      <c r="F776" s="19"/>
    </row>
    <row r="777" spans="5:6" x14ac:dyDescent="0.25">
      <c r="E777" s="19"/>
      <c r="F777" s="19"/>
    </row>
    <row r="778" spans="5:6" x14ac:dyDescent="0.25">
      <c r="E778" s="19"/>
      <c r="F778" s="19"/>
    </row>
    <row r="779" spans="5:6" x14ac:dyDescent="0.25">
      <c r="E779" s="19"/>
      <c r="F779" s="19"/>
    </row>
    <row r="780" spans="5:6" x14ac:dyDescent="0.25">
      <c r="E780" s="19"/>
      <c r="F780" s="19"/>
    </row>
    <row r="781" spans="5:6" x14ac:dyDescent="0.25">
      <c r="E781" s="19"/>
      <c r="F781" s="19"/>
    </row>
    <row r="782" spans="5:6" x14ac:dyDescent="0.25">
      <c r="E782" s="19"/>
      <c r="F782" s="19"/>
    </row>
    <row r="783" spans="5:6" x14ac:dyDescent="0.25">
      <c r="E783" s="19"/>
      <c r="F783" s="19"/>
    </row>
    <row r="784" spans="5:6" x14ac:dyDescent="0.25">
      <c r="E784" s="19"/>
      <c r="F784" s="19"/>
    </row>
    <row r="785" spans="5:6" x14ac:dyDescent="0.25">
      <c r="E785" s="19"/>
      <c r="F785" s="19"/>
    </row>
    <row r="786" spans="5:6" x14ac:dyDescent="0.25">
      <c r="E786" s="19"/>
      <c r="F786" s="19"/>
    </row>
    <row r="787" spans="5:6" x14ac:dyDescent="0.25">
      <c r="E787" s="19"/>
      <c r="F787" s="19"/>
    </row>
    <row r="788" spans="5:6" x14ac:dyDescent="0.25">
      <c r="E788" s="19"/>
      <c r="F788" s="19"/>
    </row>
    <row r="789" spans="5:6" x14ac:dyDescent="0.25">
      <c r="E789" s="19"/>
      <c r="F789" s="19"/>
    </row>
    <row r="790" spans="5:6" x14ac:dyDescent="0.25">
      <c r="E790" s="19"/>
      <c r="F790" s="19"/>
    </row>
    <row r="791" spans="5:6" x14ac:dyDescent="0.25">
      <c r="E791" s="19"/>
      <c r="F791" s="19"/>
    </row>
    <row r="792" spans="5:6" x14ac:dyDescent="0.25">
      <c r="E792" s="19"/>
      <c r="F792" s="19"/>
    </row>
    <row r="793" spans="5:6" x14ac:dyDescent="0.25">
      <c r="E793" s="19"/>
      <c r="F793" s="19"/>
    </row>
    <row r="794" spans="5:6" x14ac:dyDescent="0.25">
      <c r="E794" s="19"/>
      <c r="F794" s="19"/>
    </row>
    <row r="795" spans="5:6" x14ac:dyDescent="0.25">
      <c r="E795" s="19"/>
      <c r="F795" s="19"/>
    </row>
    <row r="796" spans="5:6" x14ac:dyDescent="0.25">
      <c r="E796" s="19"/>
      <c r="F796" s="19"/>
    </row>
    <row r="797" spans="5:6" x14ac:dyDescent="0.25">
      <c r="E797" s="19"/>
      <c r="F797" s="19"/>
    </row>
    <row r="798" spans="5:6" x14ac:dyDescent="0.25">
      <c r="E798" s="19"/>
      <c r="F798" s="19"/>
    </row>
    <row r="799" spans="5:6" x14ac:dyDescent="0.25">
      <c r="E799" s="19"/>
      <c r="F799" s="19"/>
    </row>
    <row r="800" spans="5:6" x14ac:dyDescent="0.25">
      <c r="E800" s="19"/>
      <c r="F800" s="19"/>
    </row>
    <row r="801" spans="5:6" x14ac:dyDescent="0.25">
      <c r="E801" s="19"/>
      <c r="F801" s="19"/>
    </row>
    <row r="802" spans="5:6" x14ac:dyDescent="0.25">
      <c r="E802" s="19"/>
      <c r="F802" s="19"/>
    </row>
    <row r="803" spans="5:6" x14ac:dyDescent="0.25">
      <c r="E803" s="19"/>
      <c r="F803" s="19"/>
    </row>
    <row r="804" spans="5:6" x14ac:dyDescent="0.25">
      <c r="E804" s="19"/>
      <c r="F804" s="19"/>
    </row>
    <row r="805" spans="5:6" x14ac:dyDescent="0.25">
      <c r="E805" s="19"/>
      <c r="F805" s="19"/>
    </row>
    <row r="806" spans="5:6" x14ac:dyDescent="0.25">
      <c r="E806" s="19"/>
      <c r="F806" s="19"/>
    </row>
    <row r="807" spans="5:6" x14ac:dyDescent="0.25">
      <c r="E807" s="19"/>
      <c r="F807" s="19"/>
    </row>
    <row r="808" spans="5:6" x14ac:dyDescent="0.25">
      <c r="E808" s="19"/>
      <c r="F808" s="19"/>
    </row>
    <row r="809" spans="5:6" x14ac:dyDescent="0.25">
      <c r="E809" s="19"/>
      <c r="F809" s="19"/>
    </row>
    <row r="810" spans="5:6" x14ac:dyDescent="0.25">
      <c r="E810" s="19"/>
      <c r="F810" s="19"/>
    </row>
    <row r="811" spans="5:6" x14ac:dyDescent="0.25">
      <c r="E811" s="19"/>
      <c r="F811" s="19"/>
    </row>
    <row r="812" spans="5:6" x14ac:dyDescent="0.25">
      <c r="E812" s="19"/>
      <c r="F812" s="19"/>
    </row>
    <row r="813" spans="5:6" x14ac:dyDescent="0.25">
      <c r="E813" s="19"/>
      <c r="F813" s="19"/>
    </row>
    <row r="814" spans="5:6" x14ac:dyDescent="0.25">
      <c r="E814" s="19"/>
      <c r="F814" s="19"/>
    </row>
    <row r="815" spans="5:6" x14ac:dyDescent="0.25">
      <c r="E815" s="19"/>
      <c r="F815" s="19"/>
    </row>
    <row r="816" spans="5:6" x14ac:dyDescent="0.25">
      <c r="E816" s="19"/>
      <c r="F816" s="19"/>
    </row>
    <row r="817" spans="5:6" x14ac:dyDescent="0.25">
      <c r="E817" s="19"/>
      <c r="F817" s="19"/>
    </row>
    <row r="818" spans="5:6" x14ac:dyDescent="0.25">
      <c r="E818" s="19"/>
      <c r="F818" s="19"/>
    </row>
    <row r="819" spans="5:6" x14ac:dyDescent="0.25">
      <c r="E819" s="19"/>
      <c r="F819" s="19"/>
    </row>
    <row r="820" spans="5:6" x14ac:dyDescent="0.25">
      <c r="E820" s="19"/>
      <c r="F820" s="19"/>
    </row>
    <row r="821" spans="5:6" x14ac:dyDescent="0.25">
      <c r="E821" s="19"/>
      <c r="F821" s="19"/>
    </row>
    <row r="822" spans="5:6" x14ac:dyDescent="0.25">
      <c r="E822" s="19"/>
      <c r="F822" s="19"/>
    </row>
    <row r="823" spans="5:6" x14ac:dyDescent="0.25">
      <c r="E823" s="19"/>
      <c r="F823" s="19"/>
    </row>
    <row r="824" spans="5:6" x14ac:dyDescent="0.25">
      <c r="E824" s="19"/>
      <c r="F824" s="19"/>
    </row>
    <row r="825" spans="5:6" x14ac:dyDescent="0.25">
      <c r="E825" s="19"/>
      <c r="F825" s="19"/>
    </row>
    <row r="826" spans="5:6" x14ac:dyDescent="0.25">
      <c r="E826" s="19"/>
      <c r="F826" s="19"/>
    </row>
    <row r="827" spans="5:6" x14ac:dyDescent="0.25">
      <c r="E827" s="19"/>
      <c r="F827" s="19"/>
    </row>
    <row r="828" spans="5:6" x14ac:dyDescent="0.25">
      <c r="E828" s="19"/>
      <c r="F828" s="19"/>
    </row>
    <row r="829" spans="5:6" x14ac:dyDescent="0.25">
      <c r="E829" s="19"/>
      <c r="F829" s="19"/>
    </row>
    <row r="830" spans="5:6" x14ac:dyDescent="0.25">
      <c r="E830" s="19"/>
      <c r="F830" s="19"/>
    </row>
    <row r="831" spans="5:6" x14ac:dyDescent="0.25">
      <c r="E831" s="19"/>
      <c r="F831" s="19"/>
    </row>
    <row r="832" spans="5:6" x14ac:dyDescent="0.25">
      <c r="E832" s="19"/>
      <c r="F832" s="19"/>
    </row>
    <row r="833" spans="5:6" x14ac:dyDescent="0.25">
      <c r="E833" s="19"/>
      <c r="F833" s="19"/>
    </row>
    <row r="834" spans="5:6" x14ac:dyDescent="0.25">
      <c r="E834" s="19"/>
      <c r="F834" s="19"/>
    </row>
    <row r="835" spans="5:6" x14ac:dyDescent="0.25">
      <c r="E835" s="19"/>
      <c r="F835" s="19"/>
    </row>
    <row r="836" spans="5:6" x14ac:dyDescent="0.25">
      <c r="E836" s="19"/>
      <c r="F836" s="19"/>
    </row>
    <row r="837" spans="5:6" x14ac:dyDescent="0.25">
      <c r="E837" s="19"/>
      <c r="F837" s="19"/>
    </row>
    <row r="838" spans="5:6" x14ac:dyDescent="0.25">
      <c r="E838" s="19"/>
      <c r="F838" s="19"/>
    </row>
    <row r="839" spans="5:6" x14ac:dyDescent="0.25">
      <c r="E839" s="19"/>
      <c r="F839" s="19"/>
    </row>
    <row r="840" spans="5:6" x14ac:dyDescent="0.25">
      <c r="E840" s="19"/>
      <c r="F840" s="19"/>
    </row>
    <row r="841" spans="5:6" x14ac:dyDescent="0.25">
      <c r="E841" s="19"/>
      <c r="F841" s="19"/>
    </row>
    <row r="842" spans="5:6" x14ac:dyDescent="0.25">
      <c r="E842" s="19"/>
      <c r="F842" s="19"/>
    </row>
    <row r="843" spans="5:6" x14ac:dyDescent="0.25">
      <c r="E843" s="19"/>
      <c r="F843" s="19"/>
    </row>
    <row r="844" spans="5:6" x14ac:dyDescent="0.25">
      <c r="E844" s="19"/>
      <c r="F844" s="19"/>
    </row>
    <row r="845" spans="5:6" x14ac:dyDescent="0.25">
      <c r="E845" s="19"/>
      <c r="F845" s="19"/>
    </row>
    <row r="846" spans="5:6" x14ac:dyDescent="0.25">
      <c r="E846" s="19"/>
      <c r="F846" s="19"/>
    </row>
    <row r="847" spans="5:6" x14ac:dyDescent="0.25">
      <c r="E847" s="19"/>
      <c r="F847" s="19"/>
    </row>
    <row r="848" spans="5:6" x14ac:dyDescent="0.25">
      <c r="E848" s="19"/>
      <c r="F848" s="19"/>
    </row>
    <row r="849" spans="5:6" x14ac:dyDescent="0.25">
      <c r="E849" s="19"/>
      <c r="F849" s="19"/>
    </row>
    <row r="850" spans="5:6" x14ac:dyDescent="0.25">
      <c r="E850" s="19"/>
      <c r="F850" s="19"/>
    </row>
    <row r="851" spans="5:6" x14ac:dyDescent="0.25">
      <c r="E851" s="19"/>
      <c r="F851" s="19"/>
    </row>
    <row r="852" spans="5:6" x14ac:dyDescent="0.25">
      <c r="E852" s="19"/>
      <c r="F852" s="19"/>
    </row>
    <row r="853" spans="5:6" x14ac:dyDescent="0.25">
      <c r="E853" s="19"/>
      <c r="F853" s="19"/>
    </row>
    <row r="854" spans="5:6" x14ac:dyDescent="0.25">
      <c r="E854" s="19"/>
      <c r="F854" s="19"/>
    </row>
    <row r="855" spans="5:6" x14ac:dyDescent="0.25">
      <c r="E855" s="19"/>
      <c r="F855" s="19"/>
    </row>
    <row r="856" spans="5:6" x14ac:dyDescent="0.25">
      <c r="E856" s="19"/>
      <c r="F856" s="19"/>
    </row>
    <row r="857" spans="5:6" x14ac:dyDescent="0.25">
      <c r="E857" s="19"/>
      <c r="F857" s="19"/>
    </row>
    <row r="858" spans="5:6" x14ac:dyDescent="0.25">
      <c r="E858" s="19"/>
      <c r="F858" s="19"/>
    </row>
    <row r="859" spans="5:6" x14ac:dyDescent="0.25">
      <c r="E859" s="19"/>
      <c r="F859" s="19"/>
    </row>
    <row r="860" spans="5:6" x14ac:dyDescent="0.25">
      <c r="E860" s="19"/>
      <c r="F860" s="19"/>
    </row>
    <row r="861" spans="5:6" x14ac:dyDescent="0.25">
      <c r="E861" s="19"/>
      <c r="F861" s="19"/>
    </row>
    <row r="862" spans="5:6" x14ac:dyDescent="0.25">
      <c r="E862" s="19"/>
      <c r="F862" s="19"/>
    </row>
    <row r="863" spans="5:6" x14ac:dyDescent="0.25">
      <c r="E863" s="19"/>
      <c r="F863" s="19"/>
    </row>
    <row r="864" spans="5:6" x14ac:dyDescent="0.25">
      <c r="E864" s="19"/>
      <c r="F864" s="19"/>
    </row>
    <row r="865" spans="5:6" x14ac:dyDescent="0.25">
      <c r="E865" s="19"/>
      <c r="F865" s="19"/>
    </row>
    <row r="866" spans="5:6" x14ac:dyDescent="0.25">
      <c r="E866" s="19"/>
      <c r="F866" s="19"/>
    </row>
    <row r="867" spans="5:6" x14ac:dyDescent="0.25">
      <c r="E867" s="19"/>
      <c r="F867" s="19"/>
    </row>
    <row r="868" spans="5:6" x14ac:dyDescent="0.25">
      <c r="E868" s="19"/>
      <c r="F868" s="19"/>
    </row>
    <row r="869" spans="5:6" x14ac:dyDescent="0.25">
      <c r="E869" s="19"/>
      <c r="F869" s="19"/>
    </row>
    <row r="870" spans="5:6" x14ac:dyDescent="0.25">
      <c r="E870" s="19"/>
      <c r="F870" s="19"/>
    </row>
    <row r="871" spans="5:6" x14ac:dyDescent="0.25">
      <c r="E871" s="19"/>
      <c r="F871" s="19"/>
    </row>
    <row r="872" spans="5:6" x14ac:dyDescent="0.25">
      <c r="E872" s="19"/>
      <c r="F872" s="19"/>
    </row>
    <row r="873" spans="5:6" x14ac:dyDescent="0.25">
      <c r="E873" s="19"/>
      <c r="F873" s="19"/>
    </row>
    <row r="874" spans="5:6" x14ac:dyDescent="0.25">
      <c r="E874" s="19"/>
      <c r="F874" s="19"/>
    </row>
    <row r="875" spans="5:6" x14ac:dyDescent="0.25">
      <c r="E875" s="19"/>
      <c r="F875" s="19"/>
    </row>
    <row r="876" spans="5:6" x14ac:dyDescent="0.25">
      <c r="E876" s="19"/>
      <c r="F876" s="19"/>
    </row>
    <row r="877" spans="5:6" x14ac:dyDescent="0.25">
      <c r="E877" s="19"/>
      <c r="F877" s="19"/>
    </row>
    <row r="878" spans="5:6" x14ac:dyDescent="0.25">
      <c r="E878" s="19"/>
      <c r="F878" s="19"/>
    </row>
    <row r="879" spans="5:6" x14ac:dyDescent="0.25">
      <c r="E879" s="19"/>
      <c r="F879" s="19"/>
    </row>
    <row r="880" spans="5:6" x14ac:dyDescent="0.25">
      <c r="E880" s="19"/>
      <c r="F880" s="19"/>
    </row>
    <row r="881" spans="5:6" x14ac:dyDescent="0.25">
      <c r="E881" s="19"/>
      <c r="F881" s="19"/>
    </row>
    <row r="882" spans="5:6" x14ac:dyDescent="0.25">
      <c r="E882" s="19"/>
      <c r="F882" s="19"/>
    </row>
    <row r="883" spans="5:6" x14ac:dyDescent="0.25">
      <c r="E883" s="19"/>
      <c r="F883" s="19"/>
    </row>
    <row r="884" spans="5:6" x14ac:dyDescent="0.25">
      <c r="E884" s="19"/>
      <c r="F884" s="19"/>
    </row>
    <row r="885" spans="5:6" x14ac:dyDescent="0.25">
      <c r="E885" s="19"/>
      <c r="F885" s="19"/>
    </row>
    <row r="886" spans="5:6" x14ac:dyDescent="0.25">
      <c r="E886" s="19"/>
      <c r="F886" s="19"/>
    </row>
    <row r="887" spans="5:6" x14ac:dyDescent="0.25">
      <c r="E887" s="19"/>
      <c r="F887" s="19"/>
    </row>
    <row r="888" spans="5:6" x14ac:dyDescent="0.25">
      <c r="E888" s="19"/>
      <c r="F888" s="19"/>
    </row>
    <row r="889" spans="5:6" x14ac:dyDescent="0.25">
      <c r="E889" s="19"/>
      <c r="F889" s="19"/>
    </row>
    <row r="890" spans="5:6" x14ac:dyDescent="0.25">
      <c r="E890" s="19"/>
      <c r="F890" s="19"/>
    </row>
    <row r="891" spans="5:6" x14ac:dyDescent="0.25">
      <c r="E891" s="19"/>
      <c r="F891" s="19"/>
    </row>
    <row r="892" spans="5:6" x14ac:dyDescent="0.25">
      <c r="E892" s="19"/>
      <c r="F892" s="19"/>
    </row>
    <row r="893" spans="5:6" x14ac:dyDescent="0.25">
      <c r="E893" s="19"/>
      <c r="F893" s="19"/>
    </row>
    <row r="894" spans="5:6" x14ac:dyDescent="0.25">
      <c r="E894" s="19"/>
      <c r="F894" s="19"/>
    </row>
    <row r="895" spans="5:6" x14ac:dyDescent="0.25">
      <c r="E895" s="19"/>
      <c r="F895" s="19"/>
    </row>
    <row r="896" spans="5:6" x14ac:dyDescent="0.25">
      <c r="E896" s="19"/>
      <c r="F896" s="19"/>
    </row>
    <row r="897" spans="5:6" x14ac:dyDescent="0.25">
      <c r="E897" s="19"/>
      <c r="F897" s="19"/>
    </row>
    <row r="898" spans="5:6" x14ac:dyDescent="0.25">
      <c r="E898" s="19"/>
      <c r="F898" s="19"/>
    </row>
    <row r="899" spans="5:6" x14ac:dyDescent="0.25">
      <c r="E899" s="19"/>
      <c r="F899" s="19"/>
    </row>
    <row r="900" spans="5:6" x14ac:dyDescent="0.25">
      <c r="E900" s="19"/>
      <c r="F900" s="19"/>
    </row>
    <row r="901" spans="5:6" x14ac:dyDescent="0.25">
      <c r="E901" s="19"/>
      <c r="F901" s="19"/>
    </row>
    <row r="902" spans="5:6" x14ac:dyDescent="0.25">
      <c r="E902" s="19"/>
      <c r="F902" s="19"/>
    </row>
    <row r="903" spans="5:6" x14ac:dyDescent="0.25">
      <c r="E903" s="19"/>
      <c r="F903" s="19"/>
    </row>
    <row r="904" spans="5:6" x14ac:dyDescent="0.25">
      <c r="E904" s="19"/>
      <c r="F904" s="19"/>
    </row>
    <row r="905" spans="5:6" x14ac:dyDescent="0.25">
      <c r="E905" s="19"/>
      <c r="F905" s="19"/>
    </row>
    <row r="906" spans="5:6" x14ac:dyDescent="0.25">
      <c r="E906" s="19"/>
      <c r="F906" s="19"/>
    </row>
    <row r="907" spans="5:6" x14ac:dyDescent="0.25">
      <c r="E907" s="19"/>
      <c r="F907" s="19"/>
    </row>
    <row r="908" spans="5:6" x14ac:dyDescent="0.25">
      <c r="E908" s="19"/>
      <c r="F908" s="19"/>
    </row>
    <row r="909" spans="5:6" x14ac:dyDescent="0.25">
      <c r="E909" s="19"/>
      <c r="F909" s="19"/>
    </row>
    <row r="910" spans="5:6" x14ac:dyDescent="0.25">
      <c r="E910" s="19"/>
      <c r="F910" s="19"/>
    </row>
    <row r="911" spans="5:6" x14ac:dyDescent="0.25">
      <c r="E911" s="19"/>
      <c r="F911" s="19"/>
    </row>
    <row r="912" spans="5:6" x14ac:dyDescent="0.25">
      <c r="E912" s="19"/>
      <c r="F912" s="19"/>
    </row>
    <row r="913" spans="5:6" x14ac:dyDescent="0.25">
      <c r="E913" s="19"/>
      <c r="F913" s="19"/>
    </row>
    <row r="914" spans="5:6" x14ac:dyDescent="0.25">
      <c r="E914" s="19"/>
      <c r="F914" s="19"/>
    </row>
    <row r="915" spans="5:6" x14ac:dyDescent="0.25">
      <c r="E915" s="19"/>
      <c r="F915" s="19"/>
    </row>
    <row r="916" spans="5:6" x14ac:dyDescent="0.25">
      <c r="E916" s="19"/>
      <c r="F916" s="19"/>
    </row>
    <row r="917" spans="5:6" x14ac:dyDescent="0.25">
      <c r="E917" s="19"/>
      <c r="F917" s="19"/>
    </row>
    <row r="918" spans="5:6" x14ac:dyDescent="0.25">
      <c r="E918" s="19"/>
      <c r="F918" s="19"/>
    </row>
    <row r="919" spans="5:6" x14ac:dyDescent="0.25">
      <c r="E919" s="19"/>
      <c r="F919" s="19"/>
    </row>
    <row r="920" spans="5:6" x14ac:dyDescent="0.25">
      <c r="E920" s="19"/>
      <c r="F920" s="19"/>
    </row>
    <row r="921" spans="5:6" x14ac:dyDescent="0.25">
      <c r="E921" s="19"/>
      <c r="F921" s="19"/>
    </row>
    <row r="922" spans="5:6" x14ac:dyDescent="0.25">
      <c r="E922" s="19"/>
      <c r="F922" s="19"/>
    </row>
    <row r="923" spans="5:6" x14ac:dyDescent="0.25">
      <c r="E923" s="19"/>
      <c r="F923" s="19"/>
    </row>
    <row r="924" spans="5:6" x14ac:dyDescent="0.25">
      <c r="E924" s="19"/>
      <c r="F924" s="19"/>
    </row>
    <row r="925" spans="5:6" x14ac:dyDescent="0.25">
      <c r="E925" s="19"/>
      <c r="F925" s="19"/>
    </row>
    <row r="926" spans="5:6" x14ac:dyDescent="0.25">
      <c r="E926" s="19"/>
      <c r="F926" s="19"/>
    </row>
    <row r="927" spans="5:6" x14ac:dyDescent="0.25">
      <c r="E927" s="19"/>
      <c r="F927" s="19"/>
    </row>
    <row r="928" spans="5:6" x14ac:dyDescent="0.25">
      <c r="E928" s="19"/>
      <c r="F928" s="19"/>
    </row>
    <row r="929" spans="5:6" x14ac:dyDescent="0.25">
      <c r="E929" s="19"/>
      <c r="F929" s="19"/>
    </row>
    <row r="930" spans="5:6" x14ac:dyDescent="0.25">
      <c r="E930" s="19"/>
      <c r="F930" s="19"/>
    </row>
    <row r="931" spans="5:6" x14ac:dyDescent="0.25">
      <c r="E931" s="19"/>
      <c r="F931" s="19"/>
    </row>
    <row r="932" spans="5:6" x14ac:dyDescent="0.25">
      <c r="E932" s="19"/>
      <c r="F932" s="19"/>
    </row>
    <row r="933" spans="5:6" x14ac:dyDescent="0.25">
      <c r="E933" s="19"/>
      <c r="F933" s="19"/>
    </row>
    <row r="934" spans="5:6" x14ac:dyDescent="0.25">
      <c r="E934" s="19"/>
      <c r="F934" s="19"/>
    </row>
    <row r="935" spans="5:6" x14ac:dyDescent="0.25">
      <c r="E935" s="19"/>
      <c r="F935" s="19"/>
    </row>
    <row r="936" spans="5:6" x14ac:dyDescent="0.25">
      <c r="E936" s="19"/>
      <c r="F936" s="19"/>
    </row>
    <row r="937" spans="5:6" x14ac:dyDescent="0.25">
      <c r="E937" s="19"/>
      <c r="F937" s="19"/>
    </row>
    <row r="938" spans="5:6" x14ac:dyDescent="0.25">
      <c r="E938" s="19"/>
      <c r="F938" s="19"/>
    </row>
    <row r="939" spans="5:6" x14ac:dyDescent="0.25">
      <c r="E939" s="19"/>
      <c r="F939" s="19"/>
    </row>
    <row r="940" spans="5:6" x14ac:dyDescent="0.25">
      <c r="E940" s="19"/>
      <c r="F940" s="19"/>
    </row>
    <row r="941" spans="5:6" x14ac:dyDescent="0.25">
      <c r="E941" s="19"/>
      <c r="F941" s="19"/>
    </row>
    <row r="942" spans="5:6" x14ac:dyDescent="0.25">
      <c r="E942" s="19"/>
      <c r="F942" s="19"/>
    </row>
    <row r="943" spans="5:6" x14ac:dyDescent="0.25">
      <c r="E943" s="19"/>
      <c r="F943" s="19"/>
    </row>
    <row r="944" spans="5:6" x14ac:dyDescent="0.25">
      <c r="E944" s="19"/>
      <c r="F944" s="19"/>
    </row>
    <row r="945" spans="5:6" x14ac:dyDescent="0.25">
      <c r="E945" s="19"/>
      <c r="F945" s="19"/>
    </row>
    <row r="946" spans="5:6" x14ac:dyDescent="0.25">
      <c r="E946" s="19"/>
      <c r="F946" s="19"/>
    </row>
    <row r="947" spans="5:6" x14ac:dyDescent="0.25">
      <c r="E947" s="19"/>
      <c r="F947" s="19"/>
    </row>
    <row r="948" spans="5:6" x14ac:dyDescent="0.25">
      <c r="E948" s="19"/>
      <c r="F948" s="19"/>
    </row>
    <row r="949" spans="5:6" x14ac:dyDescent="0.25">
      <c r="E949" s="19"/>
      <c r="F949" s="19"/>
    </row>
    <row r="950" spans="5:6" x14ac:dyDescent="0.25">
      <c r="E950" s="19"/>
      <c r="F950" s="19"/>
    </row>
    <row r="951" spans="5:6" x14ac:dyDescent="0.25">
      <c r="E951" s="19"/>
      <c r="F951" s="19"/>
    </row>
    <row r="952" spans="5:6" x14ac:dyDescent="0.25">
      <c r="E952" s="19"/>
      <c r="F952" s="19"/>
    </row>
    <row r="953" spans="5:6" x14ac:dyDescent="0.25">
      <c r="E953" s="19"/>
      <c r="F953" s="19"/>
    </row>
    <row r="954" spans="5:6" x14ac:dyDescent="0.25">
      <c r="E954" s="19"/>
      <c r="F954" s="19"/>
    </row>
    <row r="955" spans="5:6" x14ac:dyDescent="0.25">
      <c r="E955" s="19"/>
      <c r="F955" s="19"/>
    </row>
    <row r="956" spans="5:6" x14ac:dyDescent="0.25">
      <c r="E956" s="19"/>
      <c r="F956" s="19"/>
    </row>
    <row r="957" spans="5:6" x14ac:dyDescent="0.25">
      <c r="E957" s="19"/>
      <c r="F957" s="19"/>
    </row>
    <row r="958" spans="5:6" x14ac:dyDescent="0.25">
      <c r="E958" s="19"/>
      <c r="F958" s="19"/>
    </row>
    <row r="959" spans="5:6" x14ac:dyDescent="0.25">
      <c r="E959" s="19"/>
      <c r="F959" s="19"/>
    </row>
    <row r="960" spans="5:6" x14ac:dyDescent="0.25">
      <c r="E960" s="19"/>
      <c r="F960" s="19"/>
    </row>
    <row r="961" spans="5:6" x14ac:dyDescent="0.25">
      <c r="E961" s="19"/>
      <c r="F961" s="19"/>
    </row>
    <row r="962" spans="5:6" x14ac:dyDescent="0.25">
      <c r="E962" s="19"/>
      <c r="F962" s="19"/>
    </row>
    <row r="963" spans="5:6" x14ac:dyDescent="0.25">
      <c r="E963" s="19"/>
      <c r="F963" s="19"/>
    </row>
    <row r="964" spans="5:6" x14ac:dyDescent="0.25">
      <c r="E964" s="19"/>
      <c r="F964" s="19"/>
    </row>
    <row r="965" spans="5:6" x14ac:dyDescent="0.25">
      <c r="E965" s="19"/>
      <c r="F965" s="19"/>
    </row>
    <row r="966" spans="5:6" x14ac:dyDescent="0.25">
      <c r="E966" s="19"/>
      <c r="F966" s="19"/>
    </row>
    <row r="967" spans="5:6" x14ac:dyDescent="0.25">
      <c r="E967" s="19"/>
      <c r="F967" s="19"/>
    </row>
    <row r="968" spans="5:6" x14ac:dyDescent="0.25">
      <c r="E968" s="19"/>
      <c r="F968" s="19"/>
    </row>
    <row r="969" spans="5:6" x14ac:dyDescent="0.25">
      <c r="E969" s="19"/>
      <c r="F969" s="19"/>
    </row>
    <row r="970" spans="5:6" x14ac:dyDescent="0.25">
      <c r="E970" s="19"/>
      <c r="F970" s="19"/>
    </row>
    <row r="971" spans="5:6" x14ac:dyDescent="0.25">
      <c r="E971" s="19"/>
      <c r="F971" s="19"/>
    </row>
    <row r="972" spans="5:6" x14ac:dyDescent="0.25">
      <c r="E972" s="19"/>
      <c r="F972" s="19"/>
    </row>
    <row r="973" spans="5:6" x14ac:dyDescent="0.25">
      <c r="E973" s="19"/>
      <c r="F973" s="19"/>
    </row>
    <row r="974" spans="5:6" x14ac:dyDescent="0.25">
      <c r="E974" s="19"/>
      <c r="F974" s="19"/>
    </row>
    <row r="975" spans="5:6" x14ac:dyDescent="0.25">
      <c r="E975" s="19"/>
      <c r="F975" s="19"/>
    </row>
    <row r="976" spans="5:6" x14ac:dyDescent="0.25">
      <c r="E976" s="19"/>
      <c r="F976" s="19"/>
    </row>
    <row r="977" spans="5:6" x14ac:dyDescent="0.25">
      <c r="E977" s="19"/>
      <c r="F977" s="19"/>
    </row>
    <row r="978" spans="5:6" x14ac:dyDescent="0.25">
      <c r="E978" s="19"/>
      <c r="F978" s="19"/>
    </row>
    <row r="979" spans="5:6" x14ac:dyDescent="0.25">
      <c r="E979" s="19"/>
      <c r="F979" s="19"/>
    </row>
    <row r="980" spans="5:6" x14ac:dyDescent="0.25">
      <c r="E980" s="19"/>
      <c r="F980" s="19"/>
    </row>
    <row r="981" spans="5:6" x14ac:dyDescent="0.25">
      <c r="E981" s="19"/>
      <c r="F981" s="19"/>
    </row>
    <row r="982" spans="5:6" x14ac:dyDescent="0.25">
      <c r="E982" s="19"/>
      <c r="F982" s="19"/>
    </row>
    <row r="983" spans="5:6" x14ac:dyDescent="0.25">
      <c r="E983" s="19"/>
      <c r="F983" s="19"/>
    </row>
    <row r="984" spans="5:6" x14ac:dyDescent="0.25">
      <c r="E984" s="19"/>
      <c r="F984" s="19"/>
    </row>
    <row r="985" spans="5:6" x14ac:dyDescent="0.25">
      <c r="E985" s="19"/>
      <c r="F985" s="19"/>
    </row>
    <row r="986" spans="5:6" x14ac:dyDescent="0.25">
      <c r="E986" s="19"/>
      <c r="F986" s="19"/>
    </row>
    <row r="987" spans="5:6" x14ac:dyDescent="0.25">
      <c r="E987" s="19"/>
      <c r="F987" s="19"/>
    </row>
    <row r="988" spans="5:6" x14ac:dyDescent="0.25">
      <c r="E988" s="19"/>
      <c r="F988" s="19"/>
    </row>
    <row r="989" spans="5:6" x14ac:dyDescent="0.25">
      <c r="E989" s="19"/>
      <c r="F989" s="19"/>
    </row>
    <row r="990" spans="5:6" x14ac:dyDescent="0.25">
      <c r="E990" s="19"/>
      <c r="F990" s="19"/>
    </row>
    <row r="991" spans="5:6" x14ac:dyDescent="0.25">
      <c r="E991" s="19"/>
      <c r="F991" s="19"/>
    </row>
    <row r="992" spans="5:6" x14ac:dyDescent="0.25">
      <c r="E992" s="19"/>
      <c r="F992" s="19"/>
    </row>
    <row r="993" spans="5:6" x14ac:dyDescent="0.25">
      <c r="E993" s="19"/>
      <c r="F993" s="19"/>
    </row>
    <row r="994" spans="5:6" x14ac:dyDescent="0.25">
      <c r="E994" s="19"/>
      <c r="F994" s="19"/>
    </row>
    <row r="995" spans="5:6" x14ac:dyDescent="0.25">
      <c r="E995" s="19"/>
      <c r="F995" s="19"/>
    </row>
    <row r="996" spans="5:6" x14ac:dyDescent="0.25">
      <c r="E996" s="19"/>
      <c r="F996" s="19"/>
    </row>
    <row r="997" spans="5:6" x14ac:dyDescent="0.25">
      <c r="E997" s="19"/>
      <c r="F997" s="19"/>
    </row>
    <row r="998" spans="5:6" x14ac:dyDescent="0.25">
      <c r="E998" s="19"/>
      <c r="F998" s="19"/>
    </row>
    <row r="999" spans="5:6" x14ac:dyDescent="0.25">
      <c r="E999" s="19"/>
      <c r="F999" s="19"/>
    </row>
    <row r="1000" spans="5:6" x14ac:dyDescent="0.25">
      <c r="E1000" s="19"/>
      <c r="F1000" s="19"/>
    </row>
    <row r="1001" spans="5:6" x14ac:dyDescent="0.25">
      <c r="E1001" s="19"/>
      <c r="F1001" s="19"/>
    </row>
    <row r="1002" spans="5:6" x14ac:dyDescent="0.25">
      <c r="E1002" s="19"/>
      <c r="F1002" s="19"/>
    </row>
    <row r="1003" spans="5:6" x14ac:dyDescent="0.25">
      <c r="E1003" s="19"/>
      <c r="F1003" s="19"/>
    </row>
    <row r="1004" spans="5:6" x14ac:dyDescent="0.25">
      <c r="E1004" s="19"/>
      <c r="F1004" s="19"/>
    </row>
    <row r="1005" spans="5:6" x14ac:dyDescent="0.25">
      <c r="E1005" s="19"/>
      <c r="F1005" s="19"/>
    </row>
    <row r="1006" spans="5:6" x14ac:dyDescent="0.25">
      <c r="E1006" s="19"/>
      <c r="F1006" s="19"/>
    </row>
    <row r="1007" spans="5:6" x14ac:dyDescent="0.25">
      <c r="E1007" s="19"/>
      <c r="F1007" s="19"/>
    </row>
    <row r="1008" spans="5:6" x14ac:dyDescent="0.25">
      <c r="E1008" s="19"/>
      <c r="F1008" s="19"/>
    </row>
    <row r="1009" spans="5:6" x14ac:dyDescent="0.25">
      <c r="E1009" s="19"/>
      <c r="F1009" s="19"/>
    </row>
    <row r="1010" spans="5:6" x14ac:dyDescent="0.25">
      <c r="E1010" s="19"/>
      <c r="F1010" s="19"/>
    </row>
    <row r="1011" spans="5:6" x14ac:dyDescent="0.25">
      <c r="E1011" s="19"/>
      <c r="F1011" s="19"/>
    </row>
    <row r="1012" spans="5:6" x14ac:dyDescent="0.25">
      <c r="E1012" s="19"/>
      <c r="F1012" s="19"/>
    </row>
    <row r="1013" spans="5:6" x14ac:dyDescent="0.25">
      <c r="E1013" s="19"/>
      <c r="F1013" s="19"/>
    </row>
    <row r="1014" spans="5:6" x14ac:dyDescent="0.25">
      <c r="E1014" s="19"/>
      <c r="F1014" s="19"/>
    </row>
    <row r="1015" spans="5:6" x14ac:dyDescent="0.25">
      <c r="E1015" s="19"/>
      <c r="F1015" s="19"/>
    </row>
    <row r="1016" spans="5:6" x14ac:dyDescent="0.25">
      <c r="E1016" s="19"/>
      <c r="F1016" s="19"/>
    </row>
    <row r="1017" spans="5:6" x14ac:dyDescent="0.25">
      <c r="E1017" s="19"/>
      <c r="F1017" s="19"/>
    </row>
    <row r="1018" spans="5:6" x14ac:dyDescent="0.25">
      <c r="E1018" s="19"/>
      <c r="F1018" s="19"/>
    </row>
    <row r="1019" spans="5:6" x14ac:dyDescent="0.25">
      <c r="E1019" s="19"/>
      <c r="F1019" s="19"/>
    </row>
    <row r="1020" spans="5:6" x14ac:dyDescent="0.25">
      <c r="E1020" s="19"/>
      <c r="F1020" s="19"/>
    </row>
    <row r="1021" spans="5:6" x14ac:dyDescent="0.25">
      <c r="E1021" s="19"/>
      <c r="F1021" s="19"/>
    </row>
    <row r="1022" spans="5:6" x14ac:dyDescent="0.25">
      <c r="E1022" s="19"/>
      <c r="F1022" s="19"/>
    </row>
    <row r="1023" spans="5:6" x14ac:dyDescent="0.25">
      <c r="E1023" s="19"/>
      <c r="F1023" s="19"/>
    </row>
    <row r="1024" spans="5:6" x14ac:dyDescent="0.25">
      <c r="E1024" s="19"/>
      <c r="F1024" s="19"/>
    </row>
    <row r="1025" spans="5:6" x14ac:dyDescent="0.25">
      <c r="E1025" s="19"/>
      <c r="F1025" s="19"/>
    </row>
    <row r="1026" spans="5:6" x14ac:dyDescent="0.25">
      <c r="E1026" s="19"/>
      <c r="F1026" s="19"/>
    </row>
    <row r="1027" spans="5:6" x14ac:dyDescent="0.25">
      <c r="E1027" s="19"/>
      <c r="F1027" s="19"/>
    </row>
    <row r="1028" spans="5:6" x14ac:dyDescent="0.25">
      <c r="E1028" s="19"/>
      <c r="F1028" s="19"/>
    </row>
    <row r="1029" spans="5:6" x14ac:dyDescent="0.25">
      <c r="E1029" s="19"/>
      <c r="F1029" s="19"/>
    </row>
    <row r="1030" spans="5:6" x14ac:dyDescent="0.25">
      <c r="E1030" s="19"/>
      <c r="F1030" s="19"/>
    </row>
    <row r="1031" spans="5:6" x14ac:dyDescent="0.25">
      <c r="E1031" s="19"/>
      <c r="F1031" s="19"/>
    </row>
    <row r="1032" spans="5:6" x14ac:dyDescent="0.25">
      <c r="E1032" s="19"/>
      <c r="F1032" s="19"/>
    </row>
    <row r="1033" spans="5:6" x14ac:dyDescent="0.25">
      <c r="E1033" s="19"/>
      <c r="F1033" s="19"/>
    </row>
    <row r="1034" spans="5:6" x14ac:dyDescent="0.25">
      <c r="E1034" s="19"/>
      <c r="F1034" s="19"/>
    </row>
    <row r="1035" spans="5:6" x14ac:dyDescent="0.25">
      <c r="E1035" s="19"/>
      <c r="F1035" s="19"/>
    </row>
    <row r="1036" spans="5:6" x14ac:dyDescent="0.25">
      <c r="E1036" s="19"/>
      <c r="F1036" s="19"/>
    </row>
    <row r="1037" spans="5:6" x14ac:dyDescent="0.25">
      <c r="E1037" s="19"/>
      <c r="F1037" s="19"/>
    </row>
    <row r="1038" spans="5:6" x14ac:dyDescent="0.25">
      <c r="E1038" s="19"/>
      <c r="F1038" s="19"/>
    </row>
    <row r="1039" spans="5:6" x14ac:dyDescent="0.25">
      <c r="E1039" s="19"/>
      <c r="F1039" s="19"/>
    </row>
    <row r="1040" spans="5:6" x14ac:dyDescent="0.25">
      <c r="E1040" s="19"/>
      <c r="F1040" s="19"/>
    </row>
    <row r="1041" spans="5:6" x14ac:dyDescent="0.25">
      <c r="E1041" s="19"/>
      <c r="F1041" s="19"/>
    </row>
    <row r="1042" spans="5:6" x14ac:dyDescent="0.25">
      <c r="E1042" s="19"/>
      <c r="F1042" s="19"/>
    </row>
    <row r="1043" spans="5:6" x14ac:dyDescent="0.25">
      <c r="E1043" s="19"/>
      <c r="F1043" s="19"/>
    </row>
    <row r="1044" spans="5:6" x14ac:dyDescent="0.25">
      <c r="E1044" s="19"/>
      <c r="F1044" s="19"/>
    </row>
    <row r="1045" spans="5:6" x14ac:dyDescent="0.25">
      <c r="E1045" s="19"/>
      <c r="F1045" s="19"/>
    </row>
    <row r="1046" spans="5:6" x14ac:dyDescent="0.25">
      <c r="E1046" s="19"/>
      <c r="F1046" s="19"/>
    </row>
    <row r="1047" spans="5:6" x14ac:dyDescent="0.25">
      <c r="E1047" s="19"/>
      <c r="F1047" s="19"/>
    </row>
    <row r="1048" spans="5:6" x14ac:dyDescent="0.25">
      <c r="E1048" s="19"/>
      <c r="F1048" s="19"/>
    </row>
    <row r="1049" spans="5:6" x14ac:dyDescent="0.25">
      <c r="E1049" s="19"/>
      <c r="F1049" s="19"/>
    </row>
    <row r="1050" spans="5:6" x14ac:dyDescent="0.25">
      <c r="E1050" s="19"/>
      <c r="F1050" s="19"/>
    </row>
    <row r="1051" spans="5:6" x14ac:dyDescent="0.25">
      <c r="E1051" s="19"/>
      <c r="F1051" s="19"/>
    </row>
    <row r="1052" spans="5:6" x14ac:dyDescent="0.25">
      <c r="E1052" s="19"/>
      <c r="F1052" s="19"/>
    </row>
    <row r="1053" spans="5:6" x14ac:dyDescent="0.25">
      <c r="E1053" s="19"/>
      <c r="F1053" s="19"/>
    </row>
    <row r="1054" spans="5:6" x14ac:dyDescent="0.25">
      <c r="E1054" s="19"/>
      <c r="F1054" s="19"/>
    </row>
    <row r="1055" spans="5:6" x14ac:dyDescent="0.25">
      <c r="E1055" s="19"/>
      <c r="F1055" s="19"/>
    </row>
    <row r="1056" spans="5:6" x14ac:dyDescent="0.25">
      <c r="E1056" s="19"/>
      <c r="F1056" s="19"/>
    </row>
    <row r="1057" spans="5:6" x14ac:dyDescent="0.25">
      <c r="E1057" s="19"/>
      <c r="F1057" s="19"/>
    </row>
    <row r="1058" spans="5:6" x14ac:dyDescent="0.25">
      <c r="E1058" s="19"/>
      <c r="F1058" s="19"/>
    </row>
    <row r="1059" spans="5:6" x14ac:dyDescent="0.25">
      <c r="E1059" s="19"/>
      <c r="F1059" s="19"/>
    </row>
    <row r="1060" spans="5:6" x14ac:dyDescent="0.25">
      <c r="E1060" s="19"/>
      <c r="F1060" s="19"/>
    </row>
    <row r="1061" spans="5:6" x14ac:dyDescent="0.25">
      <c r="E1061" s="19"/>
      <c r="F1061" s="19"/>
    </row>
    <row r="1062" spans="5:6" x14ac:dyDescent="0.25">
      <c r="E1062" s="19"/>
      <c r="F1062" s="19"/>
    </row>
    <row r="1063" spans="5:6" x14ac:dyDescent="0.25">
      <c r="E1063" s="19"/>
      <c r="F1063" s="19"/>
    </row>
    <row r="1064" spans="5:6" x14ac:dyDescent="0.25">
      <c r="E1064" s="19"/>
      <c r="F1064" s="19"/>
    </row>
    <row r="1065" spans="5:6" x14ac:dyDescent="0.25">
      <c r="E1065" s="19"/>
      <c r="F1065" s="19"/>
    </row>
    <row r="1066" spans="5:6" x14ac:dyDescent="0.25">
      <c r="E1066" s="19"/>
      <c r="F1066" s="19"/>
    </row>
    <row r="1067" spans="5:6" x14ac:dyDescent="0.25">
      <c r="E1067" s="19"/>
      <c r="F1067" s="19"/>
    </row>
    <row r="1068" spans="5:6" x14ac:dyDescent="0.25">
      <c r="E1068" s="19"/>
      <c r="F1068" s="19"/>
    </row>
    <row r="1069" spans="5:6" x14ac:dyDescent="0.25">
      <c r="E1069" s="19"/>
      <c r="F1069" s="19"/>
    </row>
    <row r="1070" spans="5:6" x14ac:dyDescent="0.25">
      <c r="E1070" s="19"/>
      <c r="F1070" s="19"/>
    </row>
  </sheetData>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H73"/>
  <sheetViews>
    <sheetView topLeftCell="B4" zoomScaleNormal="100" workbookViewId="0">
      <selection activeCell="B14" sqref="B14"/>
    </sheetView>
  </sheetViews>
  <sheetFormatPr defaultColWidth="8.5703125" defaultRowHeight="15" x14ac:dyDescent="0.25"/>
  <cols>
    <col min="2" max="3" width="36.42578125" customWidth="1"/>
    <col min="4" max="4" width="18" customWidth="1"/>
    <col min="6" max="6" width="24.140625" customWidth="1"/>
  </cols>
  <sheetData>
    <row r="2" spans="2:8" x14ac:dyDescent="0.25">
      <c r="B2" t="s">
        <v>562</v>
      </c>
    </row>
    <row r="4" spans="2:8" ht="45" x14ac:dyDescent="0.25">
      <c r="B4" s="19" t="s">
        <v>102</v>
      </c>
      <c r="C4" s="64" t="s">
        <v>563</v>
      </c>
      <c r="D4" s="19" t="s">
        <v>106</v>
      </c>
      <c r="G4" s="50"/>
    </row>
    <row r="5" spans="2:8" x14ac:dyDescent="0.25">
      <c r="B5" s="57" t="s">
        <v>216</v>
      </c>
      <c r="C5" t="s">
        <v>82</v>
      </c>
      <c r="D5" s="7" t="s">
        <v>215</v>
      </c>
      <c r="G5" s="50"/>
      <c r="H5" s="7"/>
    </row>
    <row r="6" spans="2:8" x14ac:dyDescent="0.25">
      <c r="B6" s="57" t="s">
        <v>222</v>
      </c>
      <c r="C6" t="s">
        <v>86</v>
      </c>
      <c r="D6" s="7" t="s">
        <v>215</v>
      </c>
      <c r="G6" s="50"/>
      <c r="H6" s="7"/>
    </row>
    <row r="7" spans="2:8" x14ac:dyDescent="0.25">
      <c r="B7" t="s">
        <v>228</v>
      </c>
      <c r="C7" t="s">
        <v>564</v>
      </c>
      <c r="D7" s="7" t="s">
        <v>215</v>
      </c>
      <c r="G7" s="50"/>
      <c r="H7" s="7"/>
    </row>
    <row r="8" spans="2:8" x14ac:dyDescent="0.25">
      <c r="B8" t="s">
        <v>260</v>
      </c>
      <c r="C8" t="s">
        <v>565</v>
      </c>
      <c r="D8" s="7" t="s">
        <v>215</v>
      </c>
      <c r="G8" s="50"/>
      <c r="H8" s="7"/>
    </row>
    <row r="9" spans="2:8" x14ac:dyDescent="0.25">
      <c r="B9" t="s">
        <v>566</v>
      </c>
      <c r="C9" t="s">
        <v>79</v>
      </c>
      <c r="D9" s="7" t="s">
        <v>215</v>
      </c>
      <c r="G9" s="50"/>
      <c r="H9" s="7"/>
    </row>
    <row r="10" spans="2:8" x14ac:dyDescent="0.25">
      <c r="B10" t="s">
        <v>567</v>
      </c>
      <c r="C10" t="s">
        <v>89</v>
      </c>
      <c r="D10" s="7" t="s">
        <v>215</v>
      </c>
      <c r="G10" s="50"/>
      <c r="H10" s="7"/>
    </row>
    <row r="11" spans="2:8" x14ac:dyDescent="0.25">
      <c r="B11" t="s">
        <v>281</v>
      </c>
      <c r="C11" t="s">
        <v>568</v>
      </c>
      <c r="D11" s="7" t="s">
        <v>215</v>
      </c>
      <c r="G11" s="50"/>
      <c r="H11" s="7"/>
    </row>
    <row r="12" spans="2:8" x14ac:dyDescent="0.25">
      <c r="B12" s="57" t="s">
        <v>287</v>
      </c>
      <c r="C12" t="s">
        <v>569</v>
      </c>
      <c r="D12" s="7" t="s">
        <v>286</v>
      </c>
      <c r="G12" s="50"/>
      <c r="H12" s="7"/>
    </row>
    <row r="13" spans="2:8" x14ac:dyDescent="0.25">
      <c r="B13" s="57" t="s">
        <v>291</v>
      </c>
      <c r="C13" t="s">
        <v>546</v>
      </c>
      <c r="D13" s="7" t="s">
        <v>286</v>
      </c>
      <c r="G13" s="50"/>
      <c r="H13" s="7"/>
    </row>
    <row r="14" spans="2:8" x14ac:dyDescent="0.25">
      <c r="B14" s="57" t="s">
        <v>294</v>
      </c>
      <c r="C14" s="28" t="s">
        <v>155</v>
      </c>
      <c r="D14" s="7" t="s">
        <v>286</v>
      </c>
      <c r="H14" s="7"/>
    </row>
    <row r="15" spans="2:8" x14ac:dyDescent="0.25">
      <c r="B15" s="57" t="s">
        <v>300</v>
      </c>
      <c r="C15" s="28" t="s">
        <v>156</v>
      </c>
      <c r="D15" s="7" t="s">
        <v>286</v>
      </c>
      <c r="H15" s="7"/>
    </row>
    <row r="16" spans="2:8" x14ac:dyDescent="0.25">
      <c r="B16" s="57" t="s">
        <v>304</v>
      </c>
      <c r="C16" s="28" t="s">
        <v>157</v>
      </c>
      <c r="D16" s="7" t="s">
        <v>286</v>
      </c>
      <c r="H16" s="7"/>
    </row>
    <row r="17" spans="2:8" x14ac:dyDescent="0.25">
      <c r="B17" s="57" t="s">
        <v>308</v>
      </c>
      <c r="C17" s="28" t="s">
        <v>158</v>
      </c>
      <c r="D17" s="7" t="s">
        <v>286</v>
      </c>
      <c r="H17" s="7"/>
    </row>
    <row r="18" spans="2:8" x14ac:dyDescent="0.25">
      <c r="B18" s="57" t="s">
        <v>312</v>
      </c>
      <c r="C18" s="28" t="s">
        <v>159</v>
      </c>
      <c r="D18" s="7" t="s">
        <v>286</v>
      </c>
      <c r="H18" s="7"/>
    </row>
    <row r="19" spans="2:8" x14ac:dyDescent="0.25">
      <c r="B19" s="57" t="s">
        <v>316</v>
      </c>
      <c r="C19" s="28" t="s">
        <v>160</v>
      </c>
      <c r="D19" s="7" t="s">
        <v>286</v>
      </c>
      <c r="H19" s="7"/>
    </row>
    <row r="20" spans="2:8" x14ac:dyDescent="0.25">
      <c r="B20" s="57" t="s">
        <v>320</v>
      </c>
      <c r="C20" s="28" t="s">
        <v>161</v>
      </c>
      <c r="D20" s="7" t="s">
        <v>286</v>
      </c>
      <c r="H20" s="7"/>
    </row>
    <row r="21" spans="2:8" x14ac:dyDescent="0.25">
      <c r="B21" s="57" t="s">
        <v>323</v>
      </c>
      <c r="C21" s="28" t="s">
        <v>162</v>
      </c>
      <c r="D21" s="7" t="s">
        <v>286</v>
      </c>
      <c r="H21" s="7"/>
    </row>
    <row r="22" spans="2:8" x14ac:dyDescent="0.25">
      <c r="B22" s="57" t="s">
        <v>327</v>
      </c>
      <c r="C22" s="28" t="s">
        <v>163</v>
      </c>
      <c r="D22" s="7" t="s">
        <v>286</v>
      </c>
      <c r="H22" s="7"/>
    </row>
    <row r="23" spans="2:8" x14ac:dyDescent="0.25">
      <c r="B23" s="57" t="s">
        <v>335</v>
      </c>
      <c r="C23" t="s">
        <v>555</v>
      </c>
      <c r="D23" s="7" t="s">
        <v>334</v>
      </c>
      <c r="H23" s="7"/>
    </row>
    <row r="24" spans="2:8" x14ac:dyDescent="0.25">
      <c r="B24" t="s">
        <v>338</v>
      </c>
      <c r="C24" t="s">
        <v>556</v>
      </c>
      <c r="D24" s="7" t="s">
        <v>334</v>
      </c>
      <c r="H24" s="7"/>
    </row>
    <row r="25" spans="2:8" x14ac:dyDescent="0.25">
      <c r="B25" t="s">
        <v>340</v>
      </c>
      <c r="C25" t="s">
        <v>570</v>
      </c>
      <c r="D25" s="7" t="s">
        <v>334</v>
      </c>
      <c r="H25" s="7"/>
    </row>
    <row r="26" spans="2:8" x14ac:dyDescent="0.25">
      <c r="B26" s="57" t="s">
        <v>343</v>
      </c>
      <c r="C26" t="s">
        <v>547</v>
      </c>
      <c r="D26" s="7" t="s">
        <v>334</v>
      </c>
      <c r="H26" s="7"/>
    </row>
    <row r="27" spans="2:8" x14ac:dyDescent="0.25">
      <c r="B27" s="57" t="s">
        <v>346</v>
      </c>
      <c r="C27" t="s">
        <v>345</v>
      </c>
      <c r="D27" s="7" t="s">
        <v>334</v>
      </c>
      <c r="H27" s="7"/>
    </row>
    <row r="28" spans="2:8" x14ac:dyDescent="0.25">
      <c r="B28" s="57" t="s">
        <v>348</v>
      </c>
      <c r="C28" t="s">
        <v>548</v>
      </c>
      <c r="D28" s="7" t="s">
        <v>334</v>
      </c>
      <c r="H28" s="7"/>
    </row>
    <row r="29" spans="2:8" x14ac:dyDescent="0.25">
      <c r="B29" s="57" t="s">
        <v>350</v>
      </c>
      <c r="C29" t="s">
        <v>549</v>
      </c>
      <c r="D29" s="7" t="s">
        <v>334</v>
      </c>
      <c r="H29" s="7"/>
    </row>
    <row r="30" spans="2:8" x14ac:dyDescent="0.25">
      <c r="B30" s="57" t="s">
        <v>353</v>
      </c>
      <c r="C30" t="s">
        <v>552</v>
      </c>
      <c r="D30" s="7" t="s">
        <v>334</v>
      </c>
      <c r="H30" s="7"/>
    </row>
    <row r="31" spans="2:8" x14ac:dyDescent="0.25">
      <c r="B31" s="57" t="s">
        <v>355</v>
      </c>
      <c r="C31" t="s">
        <v>551</v>
      </c>
      <c r="D31" s="7" t="s">
        <v>334</v>
      </c>
      <c r="H31" s="7"/>
    </row>
    <row r="32" spans="2:8" x14ac:dyDescent="0.25">
      <c r="B32" s="57" t="s">
        <v>357</v>
      </c>
      <c r="C32" t="s">
        <v>553</v>
      </c>
      <c r="D32" s="7" t="s">
        <v>334</v>
      </c>
      <c r="H32" s="7"/>
    </row>
    <row r="33" spans="2:8" x14ac:dyDescent="0.25">
      <c r="B33" s="57" t="s">
        <v>359</v>
      </c>
      <c r="C33" t="s">
        <v>550</v>
      </c>
      <c r="D33" s="7" t="s">
        <v>334</v>
      </c>
      <c r="H33" s="7"/>
    </row>
    <row r="34" spans="2:8" x14ac:dyDescent="0.25">
      <c r="B34" s="57" t="s">
        <v>361</v>
      </c>
      <c r="C34" s="57" t="s">
        <v>194</v>
      </c>
      <c r="D34" s="7" t="s">
        <v>334</v>
      </c>
      <c r="H34" s="7"/>
    </row>
    <row r="35" spans="2:8" x14ac:dyDescent="0.25">
      <c r="B35" s="57" t="s">
        <v>364</v>
      </c>
      <c r="C35" s="57" t="s">
        <v>196</v>
      </c>
      <c r="D35" s="7" t="s">
        <v>334</v>
      </c>
      <c r="H35" s="7"/>
    </row>
    <row r="36" spans="2:8" x14ac:dyDescent="0.25">
      <c r="B36" s="57" t="s">
        <v>366</v>
      </c>
      <c r="C36" s="57" t="s">
        <v>197</v>
      </c>
      <c r="D36" s="7" t="s">
        <v>334</v>
      </c>
      <c r="H36" s="7"/>
    </row>
    <row r="37" spans="2:8" x14ac:dyDescent="0.25">
      <c r="B37" s="57" t="s">
        <v>369</v>
      </c>
      <c r="C37" t="s">
        <v>561</v>
      </c>
      <c r="D37" s="7" t="s">
        <v>334</v>
      </c>
      <c r="H37" s="7"/>
    </row>
    <row r="38" spans="2:8" x14ac:dyDescent="0.25">
      <c r="B38" s="57" t="s">
        <v>381</v>
      </c>
      <c r="C38" t="s">
        <v>557</v>
      </c>
      <c r="D38" s="7" t="s">
        <v>334</v>
      </c>
      <c r="H38" s="7"/>
    </row>
    <row r="39" spans="2:8" x14ac:dyDescent="0.25">
      <c r="B39" s="57" t="s">
        <v>384</v>
      </c>
      <c r="C39" t="s">
        <v>558</v>
      </c>
      <c r="D39" s="7" t="s">
        <v>334</v>
      </c>
      <c r="H39" s="7"/>
    </row>
    <row r="40" spans="2:8" x14ac:dyDescent="0.25">
      <c r="B40" s="57" t="s">
        <v>373</v>
      </c>
      <c r="C40" s="57" t="s">
        <v>559</v>
      </c>
      <c r="D40" s="7" t="s">
        <v>334</v>
      </c>
      <c r="H40" s="7"/>
    </row>
    <row r="41" spans="2:8" x14ac:dyDescent="0.25">
      <c r="B41" s="57" t="s">
        <v>378</v>
      </c>
      <c r="C41" s="57" t="s">
        <v>560</v>
      </c>
      <c r="D41" s="7" t="s">
        <v>334</v>
      </c>
      <c r="H41" s="7"/>
    </row>
    <row r="42" spans="2:8" x14ac:dyDescent="0.25">
      <c r="B42" s="57" t="s">
        <v>66</v>
      </c>
      <c r="C42" s="57" t="s">
        <v>66</v>
      </c>
      <c r="D42" s="7" t="s">
        <v>334</v>
      </c>
      <c r="H42" s="7"/>
    </row>
    <row r="43" spans="2:8" x14ac:dyDescent="0.25">
      <c r="B43" s="57" t="s">
        <v>456</v>
      </c>
      <c r="C43" s="57" t="s">
        <v>198</v>
      </c>
      <c r="D43" s="7" t="s">
        <v>455</v>
      </c>
      <c r="H43" s="7"/>
    </row>
    <row r="44" spans="2:8" x14ac:dyDescent="0.25">
      <c r="B44" s="57" t="s">
        <v>459</v>
      </c>
      <c r="C44" s="57" t="s">
        <v>201</v>
      </c>
      <c r="D44" s="7" t="s">
        <v>455</v>
      </c>
      <c r="H44" s="7"/>
    </row>
    <row r="45" spans="2:8" x14ac:dyDescent="0.25">
      <c r="B45" t="s">
        <v>329</v>
      </c>
      <c r="C45" t="s">
        <v>172</v>
      </c>
      <c r="D45" s="7" t="s">
        <v>455</v>
      </c>
      <c r="H45" s="7"/>
    </row>
    <row r="46" spans="2:8" x14ac:dyDescent="0.25">
      <c r="B46" s="57" t="s">
        <v>460</v>
      </c>
      <c r="C46" t="s">
        <v>545</v>
      </c>
      <c r="D46" s="7" t="s">
        <v>455</v>
      </c>
      <c r="H46" s="7"/>
    </row>
    <row r="47" spans="2:8" x14ac:dyDescent="0.25">
      <c r="B47" s="57" t="s">
        <v>464</v>
      </c>
      <c r="C47" t="s">
        <v>554</v>
      </c>
      <c r="D47" s="7" t="s">
        <v>463</v>
      </c>
      <c r="H47" s="7"/>
    </row>
    <row r="48" spans="2:8" x14ac:dyDescent="0.25">
      <c r="B48" s="57" t="s">
        <v>467</v>
      </c>
      <c r="C48" s="57" t="s">
        <v>182</v>
      </c>
      <c r="D48" s="7" t="s">
        <v>463</v>
      </c>
      <c r="H48" s="7"/>
    </row>
    <row r="49" spans="2:8" x14ac:dyDescent="0.25">
      <c r="B49" s="57" t="s">
        <v>470</v>
      </c>
      <c r="C49" s="57" t="s">
        <v>184</v>
      </c>
      <c r="D49" s="7" t="s">
        <v>463</v>
      </c>
      <c r="H49" s="7"/>
    </row>
    <row r="50" spans="2:8" x14ac:dyDescent="0.25">
      <c r="B50" s="57" t="s">
        <v>473</v>
      </c>
      <c r="C50" s="57" t="s">
        <v>185</v>
      </c>
      <c r="D50" s="7" t="s">
        <v>463</v>
      </c>
      <c r="H50" s="7"/>
    </row>
    <row r="51" spans="2:8" x14ac:dyDescent="0.25">
      <c r="B51" s="57" t="s">
        <v>476</v>
      </c>
      <c r="C51" s="57" t="s">
        <v>186</v>
      </c>
      <c r="D51" s="7" t="s">
        <v>463</v>
      </c>
      <c r="H51" s="7"/>
    </row>
    <row r="52" spans="2:8" x14ac:dyDescent="0.25">
      <c r="B52" s="57" t="s">
        <v>478</v>
      </c>
      <c r="C52" s="57" t="s">
        <v>187</v>
      </c>
      <c r="D52" s="7" t="s">
        <v>463</v>
      </c>
      <c r="H52" s="7"/>
    </row>
    <row r="53" spans="2:8" x14ac:dyDescent="0.25">
      <c r="B53" s="57" t="s">
        <v>480</v>
      </c>
      <c r="C53" s="57" t="s">
        <v>188</v>
      </c>
      <c r="D53" s="7" t="s">
        <v>463</v>
      </c>
      <c r="H53" s="7"/>
    </row>
    <row r="54" spans="2:8" x14ac:dyDescent="0.25">
      <c r="B54" s="57" t="s">
        <v>482</v>
      </c>
      <c r="C54" s="57" t="s">
        <v>189</v>
      </c>
      <c r="D54" s="7" t="s">
        <v>463</v>
      </c>
      <c r="H54" s="7"/>
    </row>
    <row r="55" spans="2:8" x14ac:dyDescent="0.25">
      <c r="B55" s="57" t="s">
        <v>484</v>
      </c>
      <c r="C55" s="57" t="s">
        <v>190</v>
      </c>
      <c r="D55" s="7" t="s">
        <v>463</v>
      </c>
      <c r="H55" s="7"/>
    </row>
    <row r="56" spans="2:8" x14ac:dyDescent="0.25">
      <c r="B56" s="57" t="s">
        <v>486</v>
      </c>
      <c r="C56" s="57" t="s">
        <v>191</v>
      </c>
      <c r="D56" s="7" t="s">
        <v>463</v>
      </c>
      <c r="H56" s="7"/>
    </row>
    <row r="57" spans="2:8" x14ac:dyDescent="0.25">
      <c r="B57" s="57" t="s">
        <v>488</v>
      </c>
      <c r="C57" s="57" t="s">
        <v>192</v>
      </c>
      <c r="D57" s="7" t="s">
        <v>463</v>
      </c>
      <c r="H57" s="7"/>
    </row>
    <row r="58" spans="2:8" ht="30" x14ac:dyDescent="0.25">
      <c r="B58" s="57" t="s">
        <v>497</v>
      </c>
      <c r="C58" s="57" t="s">
        <v>571</v>
      </c>
      <c r="D58" s="7" t="s">
        <v>491</v>
      </c>
      <c r="H58" s="7"/>
    </row>
    <row r="59" spans="2:8" ht="30" x14ac:dyDescent="0.25">
      <c r="B59" s="57" t="s">
        <v>492</v>
      </c>
      <c r="C59" s="57" t="s">
        <v>572</v>
      </c>
      <c r="D59" s="7" t="s">
        <v>491</v>
      </c>
      <c r="H59" s="7"/>
    </row>
    <row r="60" spans="2:8" x14ac:dyDescent="0.25">
      <c r="B60" s="57" t="s">
        <v>504</v>
      </c>
      <c r="C60" s="57" t="s">
        <v>90</v>
      </c>
      <c r="D60" s="7" t="s">
        <v>503</v>
      </c>
      <c r="H60" s="7"/>
    </row>
    <row r="61" spans="2:8" x14ac:dyDescent="0.25">
      <c r="B61" s="57" t="s">
        <v>510</v>
      </c>
      <c r="C61" s="57" t="s">
        <v>92</v>
      </c>
      <c r="D61" s="7" t="s">
        <v>503</v>
      </c>
      <c r="H61" s="7"/>
    </row>
    <row r="62" spans="2:8" x14ac:dyDescent="0.25">
      <c r="B62" s="57" t="s">
        <v>511</v>
      </c>
      <c r="C62" s="57" t="s">
        <v>169</v>
      </c>
      <c r="D62" s="7" t="s">
        <v>503</v>
      </c>
      <c r="H62" s="7"/>
    </row>
    <row r="63" spans="2:8" x14ac:dyDescent="0.25">
      <c r="B63" s="57" t="s">
        <v>516</v>
      </c>
      <c r="C63" s="57" t="s">
        <v>202</v>
      </c>
      <c r="D63" s="7" t="s">
        <v>503</v>
      </c>
      <c r="H63" s="7"/>
    </row>
    <row r="64" spans="2:8" x14ac:dyDescent="0.25">
      <c r="B64" s="57" t="s">
        <v>424</v>
      </c>
      <c r="C64" s="57" t="s">
        <v>171</v>
      </c>
      <c r="D64" s="7" t="s">
        <v>334</v>
      </c>
      <c r="H64" s="7"/>
    </row>
    <row r="65" spans="2:4" x14ac:dyDescent="0.25">
      <c r="B65" s="57" t="s">
        <v>387</v>
      </c>
      <c r="C65" s="65" t="s">
        <v>386</v>
      </c>
      <c r="D65" s="7" t="s">
        <v>334</v>
      </c>
    </row>
    <row r="66" spans="2:4" x14ac:dyDescent="0.25">
      <c r="B66" s="57" t="s">
        <v>392</v>
      </c>
      <c r="C66" s="65" t="s">
        <v>391</v>
      </c>
      <c r="D66" s="7" t="s">
        <v>334</v>
      </c>
    </row>
    <row r="67" spans="2:4" x14ac:dyDescent="0.25">
      <c r="B67" s="57" t="s">
        <v>398</v>
      </c>
      <c r="C67" s="65" t="s">
        <v>397</v>
      </c>
      <c r="D67" s="7" t="s">
        <v>334</v>
      </c>
    </row>
    <row r="68" spans="2:4" x14ac:dyDescent="0.25">
      <c r="B68" s="57" t="s">
        <v>401</v>
      </c>
      <c r="C68" s="65" t="s">
        <v>400</v>
      </c>
      <c r="D68" s="7" t="s">
        <v>334</v>
      </c>
    </row>
    <row r="69" spans="2:4" x14ac:dyDescent="0.25">
      <c r="B69" s="57" t="s">
        <v>405</v>
      </c>
      <c r="C69" s="65" t="s">
        <v>404</v>
      </c>
      <c r="D69" s="7" t="s">
        <v>334</v>
      </c>
    </row>
    <row r="70" spans="2:4" x14ac:dyDescent="0.25">
      <c r="B70" s="57" t="s">
        <v>410</v>
      </c>
      <c r="C70" s="65" t="s">
        <v>409</v>
      </c>
      <c r="D70" s="7" t="s">
        <v>334</v>
      </c>
    </row>
    <row r="71" spans="2:4" x14ac:dyDescent="0.25">
      <c r="B71" s="57" t="s">
        <v>414</v>
      </c>
      <c r="C71" s="65" t="s">
        <v>413</v>
      </c>
      <c r="D71" s="7" t="s">
        <v>334</v>
      </c>
    </row>
    <row r="72" spans="2:4" x14ac:dyDescent="0.25">
      <c r="B72" s="57" t="s">
        <v>417</v>
      </c>
      <c r="C72" s="65" t="s">
        <v>416</v>
      </c>
      <c r="D72" s="7" t="s">
        <v>334</v>
      </c>
    </row>
    <row r="73" spans="2:4" x14ac:dyDescent="0.25">
      <c r="B73" s="57" t="s">
        <v>421</v>
      </c>
      <c r="C73" s="65" t="s">
        <v>420</v>
      </c>
      <c r="D73" s="7" t="s">
        <v>334</v>
      </c>
    </row>
  </sheetData>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F26"/>
  <sheetViews>
    <sheetView topLeftCell="A4" zoomScaleNormal="100" workbookViewId="0">
      <selection activeCell="F5" sqref="F5"/>
    </sheetView>
  </sheetViews>
  <sheetFormatPr defaultColWidth="8.5703125" defaultRowHeight="15" x14ac:dyDescent="0.25"/>
  <cols>
    <col min="3" max="3" width="19.85546875" customWidth="1"/>
    <col min="4" max="4" width="13" customWidth="1"/>
    <col min="5" max="5" width="25.42578125" customWidth="1"/>
    <col min="6" max="6" width="95.42578125" customWidth="1"/>
  </cols>
  <sheetData>
    <row r="2" spans="3:6" x14ac:dyDescent="0.25">
      <c r="C2" s="19" t="s">
        <v>573</v>
      </c>
    </row>
    <row r="4" spans="3:6" ht="131.25" customHeight="1" x14ac:dyDescent="0.25">
      <c r="C4" s="2" t="s">
        <v>574</v>
      </c>
      <c r="D4" s="2"/>
      <c r="E4" s="2"/>
      <c r="F4" s="2"/>
    </row>
    <row r="5" spans="3:6" ht="37.5" customHeight="1" x14ac:dyDescent="0.25">
      <c r="C5" s="66"/>
      <c r="D5" s="67"/>
      <c r="E5" s="67"/>
      <c r="F5" s="67"/>
    </row>
    <row r="6" spans="3:6" x14ac:dyDescent="0.25">
      <c r="C6" s="57" t="s">
        <v>575</v>
      </c>
    </row>
    <row r="7" spans="3:6" ht="45" x14ac:dyDescent="0.25">
      <c r="C7" s="68" t="s">
        <v>102</v>
      </c>
      <c r="D7" s="69" t="s">
        <v>576</v>
      </c>
      <c r="E7" s="69" t="s">
        <v>6</v>
      </c>
      <c r="F7" s="69" t="s">
        <v>577</v>
      </c>
    </row>
    <row r="8" spans="3:6" ht="15.75" customHeight="1" x14ac:dyDescent="0.25">
      <c r="C8" s="70" t="s">
        <v>578</v>
      </c>
      <c r="D8" s="71">
        <v>0.85</v>
      </c>
      <c r="E8" s="1" t="s">
        <v>579</v>
      </c>
      <c r="F8" s="1" t="s">
        <v>580</v>
      </c>
    </row>
    <row r="9" spans="3:6" x14ac:dyDescent="0.25">
      <c r="C9" s="70" t="s">
        <v>581</v>
      </c>
      <c r="D9" s="71">
        <v>0.85</v>
      </c>
      <c r="E9" s="1"/>
      <c r="F9" s="1"/>
    </row>
    <row r="10" spans="3:6" ht="15.75" customHeight="1" x14ac:dyDescent="0.25">
      <c r="C10" s="70" t="s">
        <v>582</v>
      </c>
      <c r="D10" s="71">
        <v>0.45</v>
      </c>
      <c r="E10" s="1" t="s">
        <v>583</v>
      </c>
      <c r="F10" s="1" t="s">
        <v>584</v>
      </c>
    </row>
    <row r="11" spans="3:6" x14ac:dyDescent="0.25">
      <c r="C11" s="70" t="s">
        <v>585</v>
      </c>
      <c r="D11" s="71">
        <v>0.4</v>
      </c>
      <c r="E11" s="1"/>
      <c r="F11" s="1"/>
    </row>
    <row r="12" spans="3:6" ht="15" customHeight="1" x14ac:dyDescent="0.25">
      <c r="C12" s="1" t="s">
        <v>586</v>
      </c>
      <c r="D12" s="1">
        <v>0.4</v>
      </c>
      <c r="E12" s="1" t="s">
        <v>587</v>
      </c>
      <c r="F12" s="1"/>
    </row>
    <row r="13" spans="3:6" x14ac:dyDescent="0.25">
      <c r="C13" s="1"/>
      <c r="D13" s="1"/>
      <c r="E13" s="1"/>
      <c r="F13" s="1"/>
    </row>
    <row r="14" spans="3:6" x14ac:dyDescent="0.25">
      <c r="C14" s="70" t="s">
        <v>588</v>
      </c>
      <c r="D14" s="71">
        <v>0.4</v>
      </c>
      <c r="E14" s="1"/>
      <c r="F14" s="1"/>
    </row>
    <row r="15" spans="3:6" ht="15.75" customHeight="1" x14ac:dyDescent="0.25">
      <c r="C15" s="70" t="s">
        <v>589</v>
      </c>
      <c r="D15" s="71">
        <v>0.52500000000000002</v>
      </c>
      <c r="E15" s="1" t="s">
        <v>590</v>
      </c>
      <c r="F15" s="1" t="s">
        <v>591</v>
      </c>
    </row>
    <row r="16" spans="3:6" x14ac:dyDescent="0.25">
      <c r="C16" s="70" t="s">
        <v>592</v>
      </c>
      <c r="D16" s="71">
        <v>0.52500000000000002</v>
      </c>
      <c r="E16" s="1"/>
      <c r="F16" s="1"/>
    </row>
    <row r="17" spans="3:6" ht="30" x14ac:dyDescent="0.25">
      <c r="C17" s="70" t="s">
        <v>593</v>
      </c>
      <c r="D17" s="71">
        <v>0.8</v>
      </c>
      <c r="E17" s="71" t="s">
        <v>594</v>
      </c>
      <c r="F17" s="1"/>
    </row>
    <row r="18" spans="3:6" x14ac:dyDescent="0.25">
      <c r="C18" s="72"/>
    </row>
    <row r="19" spans="3:6" x14ac:dyDescent="0.25">
      <c r="C19" s="73" t="s">
        <v>595</v>
      </c>
    </row>
    <row r="20" spans="3:6" x14ac:dyDescent="0.25">
      <c r="C20" s="74" t="s">
        <v>596</v>
      </c>
    </row>
    <row r="21" spans="3:6" x14ac:dyDescent="0.25">
      <c r="C21" s="72"/>
    </row>
    <row r="22" spans="3:6" x14ac:dyDescent="0.25">
      <c r="C22" s="75"/>
    </row>
    <row r="23" spans="3:6" x14ac:dyDescent="0.25">
      <c r="C23" s="72"/>
    </row>
    <row r="24" spans="3:6" x14ac:dyDescent="0.25">
      <c r="C24" s="75"/>
    </row>
    <row r="25" spans="3:6" x14ac:dyDescent="0.25">
      <c r="C25" s="75"/>
    </row>
    <row r="26" spans="3:6" x14ac:dyDescent="0.25">
      <c r="C26" s="72"/>
    </row>
  </sheetData>
  <mergeCells count="10">
    <mergeCell ref="E15:E16"/>
    <mergeCell ref="F15:F17"/>
    <mergeCell ref="C4:F4"/>
    <mergeCell ref="E8:E9"/>
    <mergeCell ref="F8:F9"/>
    <mergeCell ref="E10:E11"/>
    <mergeCell ref="F10:F14"/>
    <mergeCell ref="C12:C13"/>
    <mergeCell ref="D12:D13"/>
    <mergeCell ref="E12:E14"/>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8418</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all_city_parameter_inputs</vt:lpstr>
      <vt:lpstr>All_city_list</vt:lpstr>
      <vt:lpstr>all_global_parameter_inputs</vt:lpstr>
      <vt:lpstr>All_global_list</vt:lpstr>
      <vt:lpstr>Default</vt:lpstr>
      <vt:lpstr>Further_input_files</vt:lpstr>
      <vt:lpstr>Grouped_Sources</vt:lpstr>
      <vt:lpstr>Lookup</vt:lpstr>
      <vt:lpstr>Safety in Numbers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Anna Schroeder</dc:creator>
  <dc:description/>
  <cp:lastModifiedBy>Lambed Tatah</cp:lastModifiedBy>
  <cp:revision>34</cp:revision>
  <dcterms:created xsi:type="dcterms:W3CDTF">2021-09-23T14:34:16Z</dcterms:created>
  <dcterms:modified xsi:type="dcterms:W3CDTF">2025-05-21T11:58:57Z</dcterms:modified>
  <dc:language>en-US</dc:language>
</cp:coreProperties>
</file>